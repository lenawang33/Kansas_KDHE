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"/>
    </mc:Choice>
  </mc:AlternateContent>
  <xr:revisionPtr revIDLastSave="2" documentId="8_{D23F7548-7A0F-4F54-BE27-C1D219139E27}" xr6:coauthVersionLast="47" xr6:coauthVersionMax="47" xr10:uidLastSave="{D85D2CF5-3775-4377-92C7-265BA3DF1BCB}"/>
  <bookViews>
    <workbookView xWindow="-110" yWindow="-110" windowWidth="19420" windowHeight="10300" tabRatio="679" activeTab="1" xr2:uid="{00000000-000D-0000-FFFF-FFFF00000000}"/>
  </bookViews>
  <sheets>
    <sheet name="COVER" sheetId="6394" r:id="rId1"/>
    <sheet name="Investigator Data" sheetId="6399" r:id="rId2"/>
    <sheet name="Weigh Sheet" sheetId="6393" r:id="rId3"/>
    <sheet name="Investigator QA Data" sheetId="6395" r:id="rId4"/>
    <sheet name="ISIRF RAW" sheetId="6397" r:id="rId5"/>
    <sheet name="ISIRF 15N" sheetId="6396" r:id="rId6"/>
    <sheet name="ISIRF 13C" sheetId="6398" r:id="rId7"/>
    <sheet name="Tables" sheetId="6401" r:id="rId8"/>
    <sheet name="Revisions" sheetId="6400" r:id="rId9"/>
  </sheets>
  <definedNames>
    <definedName name="_xlnm.Print_Area" localSheetId="0">COVER!$A$1:$C$43</definedName>
    <definedName name="_xlnm.Print_Area" localSheetId="1">'Investigator Data'!$A$2:$I$39</definedName>
    <definedName name="_xlnm.Print_Area" localSheetId="2">'Weigh Sheet'!$A$1:$G$72</definedName>
    <definedName name="_xlnm.Print_Titles" localSheetId="2">'Weigh Sheet'!$16:$16</definedName>
    <definedName name="Standards">Tables!$A$2:$A$17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393" l="1"/>
  <c r="D11" i="6393"/>
  <c r="D10" i="6393"/>
  <c r="D9" i="6393"/>
  <c r="G14" i="6393" l="1"/>
  <c r="C22" i="6394"/>
  <c r="C2" i="6394" s="1"/>
  <c r="C13" i="6394"/>
  <c r="C12" i="6394"/>
  <c r="C11" i="6394"/>
  <c r="C10" i="6394"/>
  <c r="E24" i="6401"/>
  <c r="E28" i="6401" s="1"/>
  <c r="G4" i="6399" l="1"/>
  <c r="F4" i="6399"/>
  <c r="E4" i="6399"/>
  <c r="D4" i="6399"/>
  <c r="H4" i="6399" l="1"/>
  <c r="G19" i="6399"/>
  <c r="F19" i="6399"/>
  <c r="E19" i="6399"/>
  <c r="D19" i="6399"/>
  <c r="H19" i="6399" s="1"/>
  <c r="A50" i="6395" l="1"/>
  <c r="A49" i="6395"/>
  <c r="A48" i="6395"/>
  <c r="A47" i="6395"/>
  <c r="A46" i="6395"/>
  <c r="A45" i="6395"/>
  <c r="A44" i="6395"/>
  <c r="A43" i="6395"/>
  <c r="A42" i="6395"/>
  <c r="A41" i="6395"/>
  <c r="A40" i="6395"/>
  <c r="A39" i="6395"/>
  <c r="A38" i="6395"/>
  <c r="A37" i="6395"/>
  <c r="A36" i="6395"/>
  <c r="A35" i="6395"/>
  <c r="A34" i="6395"/>
  <c r="A33" i="6395"/>
  <c r="D67" i="6393" l="1"/>
  <c r="D66" i="6393"/>
  <c r="D65" i="6393"/>
  <c r="D64" i="6393"/>
  <c r="D63" i="6393"/>
  <c r="D62" i="6393"/>
  <c r="D61" i="6393"/>
  <c r="D60" i="6393"/>
  <c r="D59" i="6393"/>
  <c r="D58" i="6393"/>
  <c r="D56" i="6393"/>
  <c r="D55" i="6393"/>
  <c r="D54" i="6393"/>
  <c r="D53" i="6393"/>
  <c r="D52" i="6393"/>
  <c r="D51" i="6393"/>
  <c r="D50" i="6393"/>
  <c r="D49" i="6393"/>
  <c r="D48" i="6393"/>
  <c r="D42" i="6393"/>
  <c r="D41" i="6393"/>
  <c r="D40" i="6393"/>
  <c r="D39" i="6393"/>
  <c r="D38" i="6393"/>
  <c r="D37" i="6393"/>
  <c r="D36" i="6393"/>
  <c r="D35" i="6393"/>
  <c r="D34" i="6393"/>
  <c r="D33" i="6393"/>
  <c r="D31" i="6393"/>
  <c r="D30" i="6393"/>
  <c r="D29" i="6393"/>
  <c r="D28" i="6393"/>
  <c r="D27" i="6393"/>
  <c r="D26" i="6393"/>
  <c r="D25" i="6393"/>
  <c r="D24" i="6393"/>
  <c r="D23" i="6393"/>
  <c r="K24" i="6398" l="1"/>
  <c r="O46" i="6395" s="1"/>
  <c r="J24" i="6398"/>
  <c r="N46" i="6395" s="1"/>
  <c r="J23" i="6398"/>
  <c r="N45" i="6395" s="1"/>
  <c r="J22" i="6398"/>
  <c r="N44" i="6395" s="1"/>
  <c r="K18" i="6398"/>
  <c r="O40" i="6395" s="1"/>
  <c r="J18" i="6398"/>
  <c r="N40" i="6395" s="1"/>
  <c r="J17" i="6398"/>
  <c r="N39" i="6395" s="1"/>
  <c r="J16" i="6398"/>
  <c r="N38" i="6395" s="1"/>
  <c r="G23" i="6399"/>
  <c r="F23" i="6399"/>
  <c r="E23" i="6399"/>
  <c r="D23" i="6399"/>
  <c r="H23" i="6399" s="1"/>
  <c r="H31" i="6398" l="1"/>
  <c r="H33" i="6398"/>
  <c r="E31" i="6398"/>
  <c r="I8" i="6395" s="1"/>
  <c r="E33" i="6398"/>
  <c r="I6" i="6395" s="1"/>
  <c r="F31" i="6398"/>
  <c r="J8" i="6395" s="1"/>
  <c r="F33" i="6398"/>
  <c r="J6" i="6395" s="1"/>
  <c r="G39" i="6399"/>
  <c r="F39" i="6399"/>
  <c r="E39" i="6399"/>
  <c r="D39" i="6399"/>
  <c r="G38" i="6399"/>
  <c r="F38" i="6399"/>
  <c r="E38" i="6399"/>
  <c r="D38" i="6399"/>
  <c r="G37" i="6399"/>
  <c r="F37" i="6399"/>
  <c r="E37" i="6399"/>
  <c r="D37" i="6399"/>
  <c r="G36" i="6399"/>
  <c r="F36" i="6399"/>
  <c r="E36" i="6399"/>
  <c r="D36" i="6399"/>
  <c r="G35" i="6399"/>
  <c r="F35" i="6399"/>
  <c r="E35" i="6399"/>
  <c r="D35" i="6399"/>
  <c r="G34" i="6399"/>
  <c r="F34" i="6399"/>
  <c r="E34" i="6399"/>
  <c r="D34" i="6399"/>
  <c r="G33" i="6399"/>
  <c r="F33" i="6399"/>
  <c r="E33" i="6399"/>
  <c r="D33" i="6399"/>
  <c r="G32" i="6399"/>
  <c r="F32" i="6399"/>
  <c r="E32" i="6399"/>
  <c r="D32" i="6399"/>
  <c r="G31" i="6399"/>
  <c r="F31" i="6399"/>
  <c r="E31" i="6399"/>
  <c r="D31" i="6399"/>
  <c r="G30" i="6399"/>
  <c r="F30" i="6399"/>
  <c r="E30" i="6399"/>
  <c r="D30" i="6399"/>
  <c r="G29" i="6399"/>
  <c r="F29" i="6399"/>
  <c r="E29" i="6399"/>
  <c r="D29" i="6399"/>
  <c r="G28" i="6399"/>
  <c r="F28" i="6399"/>
  <c r="E28" i="6399"/>
  <c r="D28" i="6399"/>
  <c r="G27" i="6399"/>
  <c r="F27" i="6399"/>
  <c r="E27" i="6399"/>
  <c r="D27" i="6399"/>
  <c r="G26" i="6399"/>
  <c r="F26" i="6399"/>
  <c r="E26" i="6399"/>
  <c r="D26" i="6399"/>
  <c r="G25" i="6399"/>
  <c r="F25" i="6399"/>
  <c r="E25" i="6399"/>
  <c r="D25" i="6399"/>
  <c r="G24" i="6399"/>
  <c r="F24" i="6399"/>
  <c r="E24" i="6399"/>
  <c r="D24" i="6399"/>
  <c r="G22" i="6399"/>
  <c r="F22" i="6399"/>
  <c r="E22" i="6399"/>
  <c r="D22" i="6399"/>
  <c r="G21" i="6399"/>
  <c r="F21" i="6399"/>
  <c r="E21" i="6399"/>
  <c r="D21" i="6399"/>
  <c r="G20" i="6399"/>
  <c r="F20" i="6399"/>
  <c r="E20" i="6399"/>
  <c r="D20" i="6399"/>
  <c r="G18" i="6399"/>
  <c r="F18" i="6399"/>
  <c r="E18" i="6399"/>
  <c r="D18" i="6399"/>
  <c r="G17" i="6399"/>
  <c r="F17" i="6399"/>
  <c r="E17" i="6399"/>
  <c r="D17" i="6399"/>
  <c r="G16" i="6399"/>
  <c r="F16" i="6399"/>
  <c r="E16" i="6399"/>
  <c r="D16" i="6399"/>
  <c r="G15" i="6399"/>
  <c r="F15" i="6399"/>
  <c r="E15" i="6399"/>
  <c r="D15" i="6399"/>
  <c r="G14" i="6399"/>
  <c r="F14" i="6399"/>
  <c r="E14" i="6399"/>
  <c r="D14" i="6399"/>
  <c r="G13" i="6399"/>
  <c r="F13" i="6399"/>
  <c r="E13" i="6399"/>
  <c r="D13" i="6399"/>
  <c r="G12" i="6399"/>
  <c r="F12" i="6399"/>
  <c r="E12" i="6399"/>
  <c r="D12" i="6399"/>
  <c r="G11" i="6399"/>
  <c r="F11" i="6399"/>
  <c r="E11" i="6399"/>
  <c r="D11" i="6399"/>
  <c r="G10" i="6399"/>
  <c r="F10" i="6399"/>
  <c r="E10" i="6399"/>
  <c r="D10" i="6399"/>
  <c r="G9" i="6399"/>
  <c r="F9" i="6399"/>
  <c r="E9" i="6399"/>
  <c r="D9" i="6399"/>
  <c r="G8" i="6399"/>
  <c r="F8" i="6399"/>
  <c r="E8" i="6399"/>
  <c r="D8" i="6399"/>
  <c r="G7" i="6399"/>
  <c r="F7" i="6399"/>
  <c r="E7" i="6399"/>
  <c r="D7" i="6399"/>
  <c r="G6" i="6399"/>
  <c r="F6" i="6399"/>
  <c r="E6" i="6399"/>
  <c r="D6" i="6399"/>
  <c r="G5" i="6399"/>
  <c r="F5" i="6399"/>
  <c r="E5" i="6399"/>
  <c r="D5" i="6399"/>
  <c r="O50" i="6395"/>
  <c r="N50" i="6395"/>
  <c r="M50" i="6395"/>
  <c r="L50" i="6395"/>
  <c r="K50" i="6395"/>
  <c r="J50" i="6395"/>
  <c r="I50" i="6395"/>
  <c r="H50" i="6395"/>
  <c r="G50" i="6395"/>
  <c r="F50" i="6395"/>
  <c r="B50" i="6395"/>
  <c r="O49" i="6395"/>
  <c r="N49" i="6395"/>
  <c r="M49" i="6395"/>
  <c r="L49" i="6395"/>
  <c r="K49" i="6395"/>
  <c r="J49" i="6395"/>
  <c r="I49" i="6395"/>
  <c r="H49" i="6395"/>
  <c r="G49" i="6395"/>
  <c r="F49" i="6395"/>
  <c r="B49" i="6395"/>
  <c r="O48" i="6395"/>
  <c r="N48" i="6395"/>
  <c r="M48" i="6395"/>
  <c r="L48" i="6395"/>
  <c r="K48" i="6395"/>
  <c r="J48" i="6395"/>
  <c r="I48" i="6395"/>
  <c r="H48" i="6395"/>
  <c r="G48" i="6395"/>
  <c r="F48" i="6395"/>
  <c r="B48" i="6395"/>
  <c r="O47" i="6395"/>
  <c r="N47" i="6395"/>
  <c r="K47" i="6395"/>
  <c r="M47" i="6395"/>
  <c r="L47" i="6395"/>
  <c r="J47" i="6395"/>
  <c r="I47" i="6395"/>
  <c r="H47" i="6395"/>
  <c r="G47" i="6395"/>
  <c r="F47" i="6395"/>
  <c r="B47" i="6395"/>
  <c r="R50" i="6395"/>
  <c r="R48" i="6395"/>
  <c r="E46" i="6395"/>
  <c r="E45" i="6395"/>
  <c r="E44" i="6395"/>
  <c r="R37" i="6395"/>
  <c r="P37" i="6395"/>
  <c r="R36" i="6395"/>
  <c r="P36" i="6395"/>
  <c r="R35" i="6395"/>
  <c r="P35" i="6395"/>
  <c r="R34" i="6395"/>
  <c r="P34" i="6395"/>
  <c r="P33" i="6395"/>
  <c r="H29" i="6398"/>
  <c r="F29" i="6398"/>
  <c r="E29" i="6398"/>
  <c r="G29" i="6398" s="1"/>
  <c r="D29" i="6398"/>
  <c r="C29" i="6398"/>
  <c r="B29" i="6398"/>
  <c r="H28" i="6398"/>
  <c r="L10" i="6395" s="1"/>
  <c r="F28" i="6398"/>
  <c r="J10" i="6395" s="1"/>
  <c r="E28" i="6398"/>
  <c r="D28" i="6398"/>
  <c r="G10" i="6395" s="1"/>
  <c r="C28" i="6398"/>
  <c r="F10" i="6395" s="1"/>
  <c r="B28" i="6398"/>
  <c r="E10" i="6395" s="1"/>
  <c r="A33" i="6398"/>
  <c r="A32" i="6398"/>
  <c r="A31" i="6398"/>
  <c r="A30" i="6398"/>
  <c r="I24" i="6398"/>
  <c r="M46" i="6395" s="1"/>
  <c r="H24" i="6398"/>
  <c r="L46" i="6395" s="1"/>
  <c r="G24" i="6398"/>
  <c r="F24" i="6398"/>
  <c r="B24" i="6398"/>
  <c r="A24" i="6398"/>
  <c r="K23" i="6398"/>
  <c r="O45" i="6395" s="1"/>
  <c r="I23" i="6398"/>
  <c r="M45" i="6395" s="1"/>
  <c r="H23" i="6398"/>
  <c r="L45" i="6395" s="1"/>
  <c r="G23" i="6398"/>
  <c r="F23" i="6398"/>
  <c r="B23" i="6398"/>
  <c r="A23" i="6398"/>
  <c r="K22" i="6398"/>
  <c r="O44" i="6395" s="1"/>
  <c r="I22" i="6398"/>
  <c r="M44" i="6395" s="1"/>
  <c r="H22" i="6398"/>
  <c r="L44" i="6395" s="1"/>
  <c r="G22" i="6398"/>
  <c r="F22" i="6398"/>
  <c r="B22" i="6398"/>
  <c r="A22" i="6398"/>
  <c r="K21" i="6398"/>
  <c r="O43" i="6395" s="1"/>
  <c r="J21" i="6398"/>
  <c r="N43" i="6395" s="1"/>
  <c r="I21" i="6398"/>
  <c r="M43" i="6395" s="1"/>
  <c r="H21" i="6398"/>
  <c r="L43" i="6395" s="1"/>
  <c r="G21" i="6398"/>
  <c r="F21" i="6398"/>
  <c r="B21" i="6398"/>
  <c r="A21" i="6398"/>
  <c r="K20" i="6398"/>
  <c r="O42" i="6395" s="1"/>
  <c r="J20" i="6398"/>
  <c r="N42" i="6395" s="1"/>
  <c r="I20" i="6398"/>
  <c r="M42" i="6395" s="1"/>
  <c r="H20" i="6398"/>
  <c r="L42" i="6395" s="1"/>
  <c r="G20" i="6398"/>
  <c r="F20" i="6398"/>
  <c r="B20" i="6398"/>
  <c r="A20" i="6398"/>
  <c r="F19" i="6398"/>
  <c r="B19" i="6398"/>
  <c r="A19" i="6398"/>
  <c r="I18" i="6398"/>
  <c r="M40" i="6395" s="1"/>
  <c r="H18" i="6398"/>
  <c r="L40" i="6395" s="1"/>
  <c r="G18" i="6398"/>
  <c r="F18" i="6398"/>
  <c r="B18" i="6398"/>
  <c r="A18" i="6398"/>
  <c r="K17" i="6398"/>
  <c r="O39" i="6395" s="1"/>
  <c r="I17" i="6398"/>
  <c r="M39" i="6395" s="1"/>
  <c r="H17" i="6398"/>
  <c r="L39" i="6395" s="1"/>
  <c r="G17" i="6398"/>
  <c r="F17" i="6398"/>
  <c r="B17" i="6398"/>
  <c r="A17" i="6398"/>
  <c r="F16" i="6398"/>
  <c r="B16" i="6398"/>
  <c r="A16" i="6398"/>
  <c r="K15" i="6398"/>
  <c r="O37" i="6395" s="1"/>
  <c r="J15" i="6398"/>
  <c r="N37" i="6395" s="1"/>
  <c r="I15" i="6398"/>
  <c r="M37" i="6395" s="1"/>
  <c r="H15" i="6398"/>
  <c r="L37" i="6395" s="1"/>
  <c r="G15" i="6398"/>
  <c r="F15" i="6398"/>
  <c r="B15" i="6398"/>
  <c r="A15" i="6398"/>
  <c r="K14" i="6398"/>
  <c r="O36" i="6395" s="1"/>
  <c r="J14" i="6398"/>
  <c r="N36" i="6395" s="1"/>
  <c r="I14" i="6398"/>
  <c r="M36" i="6395" s="1"/>
  <c r="H14" i="6398"/>
  <c r="L36" i="6395" s="1"/>
  <c r="G14" i="6398"/>
  <c r="F14" i="6398"/>
  <c r="B14" i="6398"/>
  <c r="A14" i="6398"/>
  <c r="K13" i="6398"/>
  <c r="O35" i="6395" s="1"/>
  <c r="J13" i="6398"/>
  <c r="N35" i="6395" s="1"/>
  <c r="I13" i="6398"/>
  <c r="M35" i="6395" s="1"/>
  <c r="H13" i="6398"/>
  <c r="L35" i="6395" s="1"/>
  <c r="G13" i="6398"/>
  <c r="F13" i="6398"/>
  <c r="B13" i="6398"/>
  <c r="A13" i="6398"/>
  <c r="K12" i="6398"/>
  <c r="O34" i="6395" s="1"/>
  <c r="J12" i="6398"/>
  <c r="N34" i="6395" s="1"/>
  <c r="I12" i="6398"/>
  <c r="M34" i="6395" s="1"/>
  <c r="H12" i="6398"/>
  <c r="L34" i="6395" s="1"/>
  <c r="G12" i="6398"/>
  <c r="F12" i="6398"/>
  <c r="B12" i="6398"/>
  <c r="A12" i="6398"/>
  <c r="B11" i="6398"/>
  <c r="A11" i="6398"/>
  <c r="G31" i="6398" l="1"/>
  <c r="K8" i="6395" s="1"/>
  <c r="G28" i="6398"/>
  <c r="K10" i="6395" s="1"/>
  <c r="I10" i="6395"/>
  <c r="H5" i="6399"/>
  <c r="H6" i="6399"/>
  <c r="H7" i="6399"/>
  <c r="H8" i="6399"/>
  <c r="H9" i="6399"/>
  <c r="H10" i="6399"/>
  <c r="H11" i="6399"/>
  <c r="H13" i="6399"/>
  <c r="H15" i="6399"/>
  <c r="H17" i="6399"/>
  <c r="H21" i="6399"/>
  <c r="H24" i="6399"/>
  <c r="H26" i="6399"/>
  <c r="H28" i="6399"/>
  <c r="H30" i="6399"/>
  <c r="H32" i="6399"/>
  <c r="H34" i="6399"/>
  <c r="H36" i="6399"/>
  <c r="H38" i="6399"/>
  <c r="G33" i="6398"/>
  <c r="K6" i="6395" s="1"/>
  <c r="H12" i="6399"/>
  <c r="H14" i="6399"/>
  <c r="H16" i="6399"/>
  <c r="H18" i="6399"/>
  <c r="H20" i="6399"/>
  <c r="H22" i="6399"/>
  <c r="H25" i="6399"/>
  <c r="H27" i="6399"/>
  <c r="H29" i="6399"/>
  <c r="H31" i="6399"/>
  <c r="H33" i="6399"/>
  <c r="H35" i="6399"/>
  <c r="H37" i="6399"/>
  <c r="H39" i="6399"/>
  <c r="C33" i="6398"/>
  <c r="F6" i="6395" s="1"/>
  <c r="B33" i="6398"/>
  <c r="E6" i="6395" s="1"/>
  <c r="L6" i="6395"/>
  <c r="D33" i="6398"/>
  <c r="G6" i="6395" s="1"/>
  <c r="A33" i="6396"/>
  <c r="B24" i="6396"/>
  <c r="B46" i="6395" s="1"/>
  <c r="A24" i="6396"/>
  <c r="B23" i="6396"/>
  <c r="B45" i="6395" s="1"/>
  <c r="A23" i="6396"/>
  <c r="B22" i="6396"/>
  <c r="B44" i="6395" s="1"/>
  <c r="A22" i="6396"/>
  <c r="B21" i="6396"/>
  <c r="B43" i="6395" s="1"/>
  <c r="A21" i="6396"/>
  <c r="B20" i="6396"/>
  <c r="B42" i="6395" s="1"/>
  <c r="A20" i="6396"/>
  <c r="B19" i="6396"/>
  <c r="B41" i="6395" s="1"/>
  <c r="A19" i="6396"/>
  <c r="B18" i="6396"/>
  <c r="B40" i="6395" s="1"/>
  <c r="A18" i="6396"/>
  <c r="B17" i="6396"/>
  <c r="B39" i="6395" s="1"/>
  <c r="A17" i="6396"/>
  <c r="B16" i="6396"/>
  <c r="B38" i="6395" s="1"/>
  <c r="A16" i="6396"/>
  <c r="B15" i="6396"/>
  <c r="B37" i="6395" s="1"/>
  <c r="A15" i="6396"/>
  <c r="B14" i="6396"/>
  <c r="B36" i="6395" s="1"/>
  <c r="A14" i="6396"/>
  <c r="B13" i="6396"/>
  <c r="B35" i="6395" s="1"/>
  <c r="A13" i="6396"/>
  <c r="B12" i="6396"/>
  <c r="B34" i="6395" s="1"/>
  <c r="A12" i="6396"/>
  <c r="B11" i="6396"/>
  <c r="B33" i="6395" s="1"/>
  <c r="A11" i="6396"/>
  <c r="H29" i="6396" l="1"/>
  <c r="F29" i="6396"/>
  <c r="E29" i="6396"/>
  <c r="G29" i="6396" s="1"/>
  <c r="D29" i="6396"/>
  <c r="C29" i="6396"/>
  <c r="B29" i="6396"/>
  <c r="H28" i="6396"/>
  <c r="L19" i="6395" s="1"/>
  <c r="F28" i="6396"/>
  <c r="J19" i="6395" s="1"/>
  <c r="E28" i="6396"/>
  <c r="B28" i="6396"/>
  <c r="E19" i="6395" s="1"/>
  <c r="D28" i="6396"/>
  <c r="G19" i="6395" s="1"/>
  <c r="C28" i="6396"/>
  <c r="F19" i="6395" s="1"/>
  <c r="G28" i="6396" l="1"/>
  <c r="K19" i="6395" s="1"/>
  <c r="I19" i="6395"/>
  <c r="G1" i="6393"/>
  <c r="K24" i="6396" l="1"/>
  <c r="K46" i="6395" s="1"/>
  <c r="J24" i="6396"/>
  <c r="J46" i="6395" s="1"/>
  <c r="I24" i="6396"/>
  <c r="I46" i="6395" s="1"/>
  <c r="H24" i="6396"/>
  <c r="H46" i="6395" s="1"/>
  <c r="G24" i="6396"/>
  <c r="G46" i="6395" s="1"/>
  <c r="F24" i="6396"/>
  <c r="F46" i="6395" s="1"/>
  <c r="K23" i="6396"/>
  <c r="K45" i="6395" s="1"/>
  <c r="J23" i="6396"/>
  <c r="J45" i="6395" s="1"/>
  <c r="I23" i="6396"/>
  <c r="I45" i="6395" s="1"/>
  <c r="H23" i="6396"/>
  <c r="H45" i="6395" s="1"/>
  <c r="G23" i="6396"/>
  <c r="G45" i="6395" s="1"/>
  <c r="F23" i="6396"/>
  <c r="F45" i="6395" s="1"/>
  <c r="K22" i="6396"/>
  <c r="J22" i="6396"/>
  <c r="I22" i="6396"/>
  <c r="I44" i="6395" s="1"/>
  <c r="H22" i="6396"/>
  <c r="H44" i="6395" s="1"/>
  <c r="G22" i="6396"/>
  <c r="G44" i="6395" s="1"/>
  <c r="F22" i="6396"/>
  <c r="F44" i="6395" s="1"/>
  <c r="K21" i="6396"/>
  <c r="K43" i="6395" s="1"/>
  <c r="J21" i="6396"/>
  <c r="J43" i="6395" s="1"/>
  <c r="I21" i="6396"/>
  <c r="I43" i="6395" s="1"/>
  <c r="H21" i="6396"/>
  <c r="H43" i="6395" s="1"/>
  <c r="G21" i="6396"/>
  <c r="G43" i="6395" s="1"/>
  <c r="F21" i="6396"/>
  <c r="F43" i="6395" s="1"/>
  <c r="K20" i="6396"/>
  <c r="K42" i="6395" s="1"/>
  <c r="J20" i="6396"/>
  <c r="J42" i="6395" s="1"/>
  <c r="I20" i="6396"/>
  <c r="I42" i="6395" s="1"/>
  <c r="H20" i="6396"/>
  <c r="H42" i="6395" s="1"/>
  <c r="G20" i="6396"/>
  <c r="G42" i="6395" s="1"/>
  <c r="F20" i="6396"/>
  <c r="F42" i="6395" s="1"/>
  <c r="K18" i="6396"/>
  <c r="K40" i="6395" s="1"/>
  <c r="J18" i="6396"/>
  <c r="J40" i="6395" s="1"/>
  <c r="I18" i="6396"/>
  <c r="I40" i="6395" s="1"/>
  <c r="H18" i="6396"/>
  <c r="H40" i="6395" s="1"/>
  <c r="G18" i="6396"/>
  <c r="G40" i="6395" s="1"/>
  <c r="F18" i="6396"/>
  <c r="F40" i="6395" s="1"/>
  <c r="K17" i="6396"/>
  <c r="K39" i="6395" s="1"/>
  <c r="J17" i="6396"/>
  <c r="J39" i="6395" s="1"/>
  <c r="I17" i="6396"/>
  <c r="I39" i="6395" s="1"/>
  <c r="H17" i="6396"/>
  <c r="H39" i="6395" s="1"/>
  <c r="G17" i="6396"/>
  <c r="G39" i="6395" s="1"/>
  <c r="F17" i="6396"/>
  <c r="F39" i="6395" s="1"/>
  <c r="K15" i="6396"/>
  <c r="K37" i="6395" s="1"/>
  <c r="J15" i="6396"/>
  <c r="J37" i="6395" s="1"/>
  <c r="I15" i="6396"/>
  <c r="I37" i="6395" s="1"/>
  <c r="H15" i="6396"/>
  <c r="H37" i="6395" s="1"/>
  <c r="G15" i="6396"/>
  <c r="G37" i="6395" s="1"/>
  <c r="F15" i="6396"/>
  <c r="F37" i="6395" s="1"/>
  <c r="K14" i="6396"/>
  <c r="K36" i="6395" s="1"/>
  <c r="J14" i="6396"/>
  <c r="J36" i="6395" s="1"/>
  <c r="I14" i="6396"/>
  <c r="I36" i="6395" s="1"/>
  <c r="H14" i="6396"/>
  <c r="H36" i="6395" s="1"/>
  <c r="G14" i="6396"/>
  <c r="G36" i="6395" s="1"/>
  <c r="F14" i="6396"/>
  <c r="F36" i="6395" s="1"/>
  <c r="K13" i="6396"/>
  <c r="K35" i="6395" s="1"/>
  <c r="J13" i="6396"/>
  <c r="J35" i="6395" s="1"/>
  <c r="I13" i="6396"/>
  <c r="I35" i="6395" s="1"/>
  <c r="H13" i="6396"/>
  <c r="H35" i="6395" s="1"/>
  <c r="G13" i="6396"/>
  <c r="G35" i="6395" s="1"/>
  <c r="F13" i="6396"/>
  <c r="F35" i="6395" s="1"/>
  <c r="K12" i="6396"/>
  <c r="K34" i="6395" s="1"/>
  <c r="J12" i="6396"/>
  <c r="J34" i="6395" s="1"/>
  <c r="I12" i="6396"/>
  <c r="I34" i="6395" s="1"/>
  <c r="H12" i="6396"/>
  <c r="H34" i="6395" s="1"/>
  <c r="G12" i="6396"/>
  <c r="G34" i="6395" s="1"/>
  <c r="F12" i="6396"/>
  <c r="F34" i="6395" s="1"/>
  <c r="E21" i="6396"/>
  <c r="E43" i="6395" s="1"/>
  <c r="E18" i="6396"/>
  <c r="E40" i="6395" s="1"/>
  <c r="A57" i="6397"/>
  <c r="A32" i="6397"/>
  <c r="D72" i="6393"/>
  <c r="D71" i="6393"/>
  <c r="D70" i="6393"/>
  <c r="D47" i="6393"/>
  <c r="D46" i="6393"/>
  <c r="D45" i="6393"/>
  <c r="J44" i="6395" l="1"/>
  <c r="H33" i="6396"/>
  <c r="L15" i="6395" s="1"/>
  <c r="F33" i="6396"/>
  <c r="J15" i="6395" s="1"/>
  <c r="E33" i="6396"/>
  <c r="K44" i="6395"/>
  <c r="D33" i="6396"/>
  <c r="G15" i="6395" s="1"/>
  <c r="C33" i="6396"/>
  <c r="F15" i="6395" s="1"/>
  <c r="B33" i="6396"/>
  <c r="E15" i="6395" s="1"/>
  <c r="O24" i="6395"/>
  <c r="O23" i="6395"/>
  <c r="C66" i="6393"/>
  <c r="C65" i="6393"/>
  <c r="C64" i="6393"/>
  <c r="C63" i="6393"/>
  <c r="A52" i="6397" s="1"/>
  <c r="C62" i="6393"/>
  <c r="A51" i="6397" s="1"/>
  <c r="C61" i="6393"/>
  <c r="A50" i="6397" s="1"/>
  <c r="C60" i="6393"/>
  <c r="A49" i="6397" s="1"/>
  <c r="C59" i="6393"/>
  <c r="A48" i="6397" s="1"/>
  <c r="C58" i="6393"/>
  <c r="A47" i="6397" s="1"/>
  <c r="C72" i="6393"/>
  <c r="A61" i="6397" s="1"/>
  <c r="C31" i="6393"/>
  <c r="C30" i="6393"/>
  <c r="C42" i="6393"/>
  <c r="C47" i="6393"/>
  <c r="A36" i="6397" s="1"/>
  <c r="C46" i="6393"/>
  <c r="A35" i="6397" s="1"/>
  <c r="C45" i="6393"/>
  <c r="A34" i="6397" s="1"/>
  <c r="D22" i="6393"/>
  <c r="C22" i="6393"/>
  <c r="A11" i="6397" s="1"/>
  <c r="F18" i="6393"/>
  <c r="F19" i="6393" s="1"/>
  <c r="F20" i="6393" s="1"/>
  <c r="F21" i="6393" s="1"/>
  <c r="F22" i="6393" s="1"/>
  <c r="A17" i="6393"/>
  <c r="C7" i="6393"/>
  <c r="C5" i="6393"/>
  <c r="C4" i="6393"/>
  <c r="C2" i="6399"/>
  <c r="C56" i="6393"/>
  <c r="A45" i="6397" s="1"/>
  <c r="C55" i="6393"/>
  <c r="A44" i="6397" s="1"/>
  <c r="C54" i="6393"/>
  <c r="A43" i="6397" s="1"/>
  <c r="C53" i="6393"/>
  <c r="A42" i="6397" s="1"/>
  <c r="C52" i="6393"/>
  <c r="A41" i="6397" s="1"/>
  <c r="C51" i="6393"/>
  <c r="A40" i="6397" s="1"/>
  <c r="C50" i="6393"/>
  <c r="A39" i="6397" s="1"/>
  <c r="C49" i="6393"/>
  <c r="A38" i="6397" s="1"/>
  <c r="C48" i="6393"/>
  <c r="A37" i="6397" s="1"/>
  <c r="C41" i="6393"/>
  <c r="A30" i="6397" s="1"/>
  <c r="C40" i="6393"/>
  <c r="A29" i="6397" s="1"/>
  <c r="C39" i="6393"/>
  <c r="A28" i="6397" s="1"/>
  <c r="D57" i="6393"/>
  <c r="D44" i="6393"/>
  <c r="D32" i="6393"/>
  <c r="D20" i="6393"/>
  <c r="D21" i="6393"/>
  <c r="I15" i="6395" l="1"/>
  <c r="G33" i="6396"/>
  <c r="K15" i="6395" s="1"/>
  <c r="D17" i="6398"/>
  <c r="D17" i="6396"/>
  <c r="D39" i="6395" s="1"/>
  <c r="D20" i="6398"/>
  <c r="D20" i="6396"/>
  <c r="D42" i="6395" s="1"/>
  <c r="D22" i="6398"/>
  <c r="D22" i="6396"/>
  <c r="D44" i="6395" s="1"/>
  <c r="D23" i="6398"/>
  <c r="D23" i="6396"/>
  <c r="D45" i="6395" s="1"/>
  <c r="D24" i="6398"/>
  <c r="D24" i="6396"/>
  <c r="D46" i="6395" s="1"/>
  <c r="E3" i="6397"/>
  <c r="A55" i="6397"/>
  <c r="A54" i="6397"/>
  <c r="A19" i="6397"/>
  <c r="A31" i="6397"/>
  <c r="A20" i="6397"/>
  <c r="A53" i="6397"/>
  <c r="F23" i="6393"/>
  <c r="F24" i="6393" s="1"/>
  <c r="F25" i="6393" s="1"/>
  <c r="F26" i="6393" s="1"/>
  <c r="F27" i="6393" s="1"/>
  <c r="F28" i="6393" s="1"/>
  <c r="F29" i="6393" s="1"/>
  <c r="F30" i="6393" s="1"/>
  <c r="F31" i="6393" s="1"/>
  <c r="F32" i="6393" s="1"/>
  <c r="F33" i="6393" s="1"/>
  <c r="F34" i="6393" s="1"/>
  <c r="F35" i="6393" s="1"/>
  <c r="F36" i="6393" s="1"/>
  <c r="F37" i="6393" s="1"/>
  <c r="F38" i="6393" s="1"/>
  <c r="F39" i="6393" s="1"/>
  <c r="F40" i="6393" s="1"/>
  <c r="F41" i="6393" s="1"/>
  <c r="F42" i="6393" s="1"/>
  <c r="A22" i="6393"/>
  <c r="A18" i="6393"/>
  <c r="A19" i="6393"/>
  <c r="D19" i="6393"/>
  <c r="C57" i="6393"/>
  <c r="A46" i="6397" s="1"/>
  <c r="C38" i="6393"/>
  <c r="C37" i="6393"/>
  <c r="C67" i="6393"/>
  <c r="C23" i="6393"/>
  <c r="D7" i="6398"/>
  <c r="H6" i="6395" s="1"/>
  <c r="O9" i="6395" s="1"/>
  <c r="C11" i="6395"/>
  <c r="C20" i="6395"/>
  <c r="C10" i="6395"/>
  <c r="L11" i="6395"/>
  <c r="K11" i="6395"/>
  <c r="J11" i="6395"/>
  <c r="I11" i="6395"/>
  <c r="G11" i="6395"/>
  <c r="F11" i="6395"/>
  <c r="E11" i="6395"/>
  <c r="J19" i="6398"/>
  <c r="K19" i="6398"/>
  <c r="K16" i="6398"/>
  <c r="O38" i="6395" s="1"/>
  <c r="J11" i="6398"/>
  <c r="K11" i="6398"/>
  <c r="O33" i="6395" s="1"/>
  <c r="I19" i="6398"/>
  <c r="M41" i="6395" s="1"/>
  <c r="H19" i="6398"/>
  <c r="L41" i="6395" s="1"/>
  <c r="G19" i="6398"/>
  <c r="I16" i="6398"/>
  <c r="H16" i="6398"/>
  <c r="G16" i="6398"/>
  <c r="F11" i="6398"/>
  <c r="I11" i="6398"/>
  <c r="M33" i="6395" s="1"/>
  <c r="H11" i="6398"/>
  <c r="L33" i="6395" s="1"/>
  <c r="G11" i="6398"/>
  <c r="J19" i="6396"/>
  <c r="K19" i="6396"/>
  <c r="J16" i="6396"/>
  <c r="J38" i="6395" s="1"/>
  <c r="K16" i="6396"/>
  <c r="K38" i="6395" s="1"/>
  <c r="J11" i="6396"/>
  <c r="J33" i="6395" s="1"/>
  <c r="K11" i="6396"/>
  <c r="K33" i="6395" s="1"/>
  <c r="L20" i="6395"/>
  <c r="K20" i="6395"/>
  <c r="J20" i="6395"/>
  <c r="I20" i="6395"/>
  <c r="G20" i="6395"/>
  <c r="F20" i="6395"/>
  <c r="E20" i="6395"/>
  <c r="I19" i="6396"/>
  <c r="I41" i="6395" s="1"/>
  <c r="H19" i="6396"/>
  <c r="H41" i="6395" s="1"/>
  <c r="G19" i="6396"/>
  <c r="G41" i="6395" s="1"/>
  <c r="F19" i="6396"/>
  <c r="F41" i="6395" s="1"/>
  <c r="I16" i="6396"/>
  <c r="I38" i="6395" s="1"/>
  <c r="H16" i="6396"/>
  <c r="H38" i="6395" s="1"/>
  <c r="G16" i="6396"/>
  <c r="G38" i="6395" s="1"/>
  <c r="F16" i="6396"/>
  <c r="F38" i="6395" s="1"/>
  <c r="I11" i="6396"/>
  <c r="I33" i="6395" s="1"/>
  <c r="H11" i="6396"/>
  <c r="H33" i="6395" s="1"/>
  <c r="G11" i="6396"/>
  <c r="G33" i="6395" s="1"/>
  <c r="F11" i="6396"/>
  <c r="F33" i="6395" s="1"/>
  <c r="C29" i="6393"/>
  <c r="C28" i="6393"/>
  <c r="C27" i="6393"/>
  <c r="C26" i="6393"/>
  <c r="C25" i="6393"/>
  <c r="C24" i="6393"/>
  <c r="C36" i="6393"/>
  <c r="C35" i="6393"/>
  <c r="C34" i="6393"/>
  <c r="C44" i="6393"/>
  <c r="A33" i="6397" s="1"/>
  <c r="C32" i="6393"/>
  <c r="A21" i="6397" s="1"/>
  <c r="C71" i="6393"/>
  <c r="A60" i="6397" s="1"/>
  <c r="C70" i="6393"/>
  <c r="A59" i="6397" s="1"/>
  <c r="D69" i="6393"/>
  <c r="C69" i="6393"/>
  <c r="A58" i="6397" s="1"/>
  <c r="C21" i="6393"/>
  <c r="A10" i="6397" s="1"/>
  <c r="C20" i="6393"/>
  <c r="A9" i="6397" s="1"/>
  <c r="C19" i="6393"/>
  <c r="A8" i="6397" s="1"/>
  <c r="C6" i="6393"/>
  <c r="C7" i="6396"/>
  <c r="D15" i="6395" s="1"/>
  <c r="C7" i="6398"/>
  <c r="D6" i="6395" s="1"/>
  <c r="D6" i="6398"/>
  <c r="H9" i="6395" s="1"/>
  <c r="C6" i="6398"/>
  <c r="D9" i="6395" s="1"/>
  <c r="G12" i="6393"/>
  <c r="D4" i="6398"/>
  <c r="H7" i="6395" s="1"/>
  <c r="D5" i="6398"/>
  <c r="H8" i="6395" s="1"/>
  <c r="C5" i="6398"/>
  <c r="D8" i="6395" s="1"/>
  <c r="C4" i="6398"/>
  <c r="D7" i="6395" s="1"/>
  <c r="D6" i="6396"/>
  <c r="H18" i="6395" s="1"/>
  <c r="C6" i="6396"/>
  <c r="D18" i="6395" s="1"/>
  <c r="D7" i="6396"/>
  <c r="H15" i="6395" s="1"/>
  <c r="D5" i="6396"/>
  <c r="H17" i="6395" s="1"/>
  <c r="C5" i="6396"/>
  <c r="D17" i="6395" s="1"/>
  <c r="D4" i="6396"/>
  <c r="H16" i="6395" s="1"/>
  <c r="C4" i="6396"/>
  <c r="D16" i="6395" s="1"/>
  <c r="C33" i="6393"/>
  <c r="A7" i="6398"/>
  <c r="B1" i="6398"/>
  <c r="A7" i="6396"/>
  <c r="C15" i="6395" s="1"/>
  <c r="A6" i="6396"/>
  <c r="A5" i="6396"/>
  <c r="C17" i="6395" s="1"/>
  <c r="A4" i="6396"/>
  <c r="A6" i="6398"/>
  <c r="C9" i="6395" s="1"/>
  <c r="A5" i="6398"/>
  <c r="C8" i="6395" s="1"/>
  <c r="A4" i="6398"/>
  <c r="G13" i="6393"/>
  <c r="G11" i="6393"/>
  <c r="A1" i="6393"/>
  <c r="R33" i="6395"/>
  <c r="E20" i="6396"/>
  <c r="E42" i="6395" s="1"/>
  <c r="E19" i="6396"/>
  <c r="E41" i="6395" s="1"/>
  <c r="E17" i="6396"/>
  <c r="E39" i="6395" s="1"/>
  <c r="E16" i="6396"/>
  <c r="E38" i="6395" s="1"/>
  <c r="E15" i="6396"/>
  <c r="E37" i="6395" s="1"/>
  <c r="E14" i="6396"/>
  <c r="E36" i="6395" s="1"/>
  <c r="E13" i="6396"/>
  <c r="E35" i="6395" s="1"/>
  <c r="E12" i="6396"/>
  <c r="E34" i="6395" s="1"/>
  <c r="E11" i="6396"/>
  <c r="E33" i="6395" s="1"/>
  <c r="C19" i="6395"/>
  <c r="A32" i="6396"/>
  <c r="A31" i="6396"/>
  <c r="A30" i="6396"/>
  <c r="A7" i="6397"/>
  <c r="A6" i="6397"/>
  <c r="M38" i="6395" l="1"/>
  <c r="L38" i="6395"/>
  <c r="D11" i="6398"/>
  <c r="C7" i="6395" s="1"/>
  <c r="D11" i="6396"/>
  <c r="D33" i="6395" s="1"/>
  <c r="D13" i="6398"/>
  <c r="D13" i="6396"/>
  <c r="D35" i="6395" s="1"/>
  <c r="D16" i="6398"/>
  <c r="D16" i="6396"/>
  <c r="D38" i="6395" s="1"/>
  <c r="D18" i="6398"/>
  <c r="D18" i="6396"/>
  <c r="D40" i="6395" s="1"/>
  <c r="D19" i="6398"/>
  <c r="D19" i="6396"/>
  <c r="D41" i="6395" s="1"/>
  <c r="D21" i="6398"/>
  <c r="D21" i="6396"/>
  <c r="D43" i="6395" s="1"/>
  <c r="D15" i="6398"/>
  <c r="D15" i="6396"/>
  <c r="D37" i="6395" s="1"/>
  <c r="K41" i="6395"/>
  <c r="D32" i="6396"/>
  <c r="G18" i="6395" s="1"/>
  <c r="C32" i="6396"/>
  <c r="F18" i="6395" s="1"/>
  <c r="B32" i="6396"/>
  <c r="E18" i="6395" s="1"/>
  <c r="F32" i="6398"/>
  <c r="J9" i="6395" s="1"/>
  <c r="N41" i="6395"/>
  <c r="H32" i="6398"/>
  <c r="L9" i="6395" s="1"/>
  <c r="E32" i="6398"/>
  <c r="J41" i="6395"/>
  <c r="E32" i="6396"/>
  <c r="G32" i="6396" s="1"/>
  <c r="K18" i="6395" s="1"/>
  <c r="H32" i="6396"/>
  <c r="L18" i="6395" s="1"/>
  <c r="F32" i="6396"/>
  <c r="J18" i="6395" s="1"/>
  <c r="D31" i="6398"/>
  <c r="G8" i="6395" s="1"/>
  <c r="C31" i="6398"/>
  <c r="F8" i="6395" s="1"/>
  <c r="B31" i="6398"/>
  <c r="E8" i="6395" s="1"/>
  <c r="L8" i="6395"/>
  <c r="B32" i="6398"/>
  <c r="E9" i="6395" s="1"/>
  <c r="O41" i="6395"/>
  <c r="C32" i="6398"/>
  <c r="F9" i="6395" s="1"/>
  <c r="D32" i="6398"/>
  <c r="G9" i="6395" s="1"/>
  <c r="D14" i="6398"/>
  <c r="D14" i="6396"/>
  <c r="D36" i="6395" s="1"/>
  <c r="D12" i="6398"/>
  <c r="D12" i="6396"/>
  <c r="D34" i="6395" s="1"/>
  <c r="F31" i="6396"/>
  <c r="J17" i="6395" s="1"/>
  <c r="E31" i="6396"/>
  <c r="H31" i="6396"/>
  <c r="L17" i="6395" s="1"/>
  <c r="B31" i="6396"/>
  <c r="E17" i="6395" s="1"/>
  <c r="D31" i="6396"/>
  <c r="G17" i="6395" s="1"/>
  <c r="C31" i="6396"/>
  <c r="F17" i="6395" s="1"/>
  <c r="A24" i="6397"/>
  <c r="A13" i="6397"/>
  <c r="A15" i="6397"/>
  <c r="A17" i="6397"/>
  <c r="A12" i="6397"/>
  <c r="D47" i="6395" s="1"/>
  <c r="A26" i="6397"/>
  <c r="D49" i="6395" s="1"/>
  <c r="A22" i="6397"/>
  <c r="A23" i="6397"/>
  <c r="A25" i="6397"/>
  <c r="A14" i="6397"/>
  <c r="A16" i="6397"/>
  <c r="A18" i="6397"/>
  <c r="A56" i="6397"/>
  <c r="D48" i="6395" s="1"/>
  <c r="A27" i="6397"/>
  <c r="D50" i="6395" s="1"/>
  <c r="O27" i="6395"/>
  <c r="C6" i="6395"/>
  <c r="C18" i="6395"/>
  <c r="A42" i="6393"/>
  <c r="F43" i="6393"/>
  <c r="F44" i="6393" s="1"/>
  <c r="F45" i="6393" s="1"/>
  <c r="F46" i="6393" s="1"/>
  <c r="F47" i="6393" s="1"/>
  <c r="F48" i="6393" s="1"/>
  <c r="F49" i="6393" s="1"/>
  <c r="F50" i="6393" s="1"/>
  <c r="F51" i="6393" s="1"/>
  <c r="F52" i="6393" s="1"/>
  <c r="F53" i="6393" s="1"/>
  <c r="F54" i="6393" s="1"/>
  <c r="F55" i="6393" s="1"/>
  <c r="F56" i="6393" s="1"/>
  <c r="A20" i="6393"/>
  <c r="C16" i="6395"/>
  <c r="C2" i="6393"/>
  <c r="C30" i="6398"/>
  <c r="F7" i="6395" s="1"/>
  <c r="F30" i="6398"/>
  <c r="J7" i="6395" s="1"/>
  <c r="N33" i="6395"/>
  <c r="D30" i="6396"/>
  <c r="G16" i="6395" s="1"/>
  <c r="E30" i="6396"/>
  <c r="C30" i="6396"/>
  <c r="F16" i="6395" s="1"/>
  <c r="F2" i="6395"/>
  <c r="B1" i="6396"/>
  <c r="H30" i="6398"/>
  <c r="L7" i="6395" s="1"/>
  <c r="B30" i="6396"/>
  <c r="E16" i="6395" s="1"/>
  <c r="O17" i="6395" s="1"/>
  <c r="D30" i="6398"/>
  <c r="G7" i="6395" s="1"/>
  <c r="H30" i="6396"/>
  <c r="L16" i="6395" s="1"/>
  <c r="F30" i="6396"/>
  <c r="J16" i="6395" s="1"/>
  <c r="B30" i="6398"/>
  <c r="E7" i="6395" s="1"/>
  <c r="O8" i="6395" s="1"/>
  <c r="E30" i="6398"/>
  <c r="I18" i="6395" l="1"/>
  <c r="I7" i="6395"/>
  <c r="G30" i="6398"/>
  <c r="K7" i="6395" s="1"/>
  <c r="I16" i="6395"/>
  <c r="G30" i="6396"/>
  <c r="K16" i="6395" s="1"/>
  <c r="I17" i="6395"/>
  <c r="G31" i="6396"/>
  <c r="K17" i="6395" s="1"/>
  <c r="I9" i="6395"/>
  <c r="G32" i="6398"/>
  <c r="K9" i="6395" s="1"/>
  <c r="O5" i="6395"/>
  <c r="O14" i="6395"/>
  <c r="O26" i="6395"/>
  <c r="F57" i="6393"/>
  <c r="F58" i="6393" s="1"/>
  <c r="F59" i="6393" s="1"/>
  <c r="F60" i="6393" s="1"/>
  <c r="F61" i="6393" s="1"/>
  <c r="F62" i="6393" s="1"/>
  <c r="F63" i="6393" s="1"/>
  <c r="F64" i="6393" s="1"/>
  <c r="A45" i="6393"/>
  <c r="A46" i="6393"/>
  <c r="A21" i="6393"/>
  <c r="O18" i="6395" l="1"/>
  <c r="O15" i="6395"/>
  <c r="O6" i="6395"/>
  <c r="F65" i="6393"/>
  <c r="A64" i="6393"/>
  <c r="A47" i="6393"/>
  <c r="A23" i="6393"/>
  <c r="F66" i="6393" l="1"/>
  <c r="F67" i="6393" s="1"/>
  <c r="F68" i="6393" s="1"/>
  <c r="F69" i="6393" s="1"/>
  <c r="F70" i="6393" s="1"/>
  <c r="F71" i="6393" s="1"/>
  <c r="F72" i="6393" s="1"/>
  <c r="A65" i="6393"/>
  <c r="A24" i="6393"/>
  <c r="A66" i="6393" l="1"/>
  <c r="A25" i="6393"/>
  <c r="A67" i="6393" l="1"/>
  <c r="A26" i="6393"/>
  <c r="A72" i="6393" l="1"/>
  <c r="A68" i="6393"/>
  <c r="A27" i="6393"/>
  <c r="A28" i="6393" l="1"/>
  <c r="A29" i="6393" l="1"/>
  <c r="A30" i="6393" l="1"/>
  <c r="A31" i="6393" l="1"/>
  <c r="A32" i="6393" l="1"/>
  <c r="A33" i="6393" l="1"/>
  <c r="A34" i="6393" l="1"/>
  <c r="A35" i="6393" l="1"/>
  <c r="A36" i="6393" l="1"/>
  <c r="A37" i="6393" l="1"/>
  <c r="A38" i="6393" l="1"/>
  <c r="A39" i="6393" l="1"/>
  <c r="A40" i="6393" l="1"/>
  <c r="A41" i="6393" l="1"/>
  <c r="A43" i="6393" l="1"/>
  <c r="A44" i="6393" l="1"/>
  <c r="A48" i="6393" l="1"/>
  <c r="A49" i="6393" l="1"/>
  <c r="A50" i="6393" l="1"/>
  <c r="A51" i="6393" l="1"/>
  <c r="A52" i="6393" l="1"/>
  <c r="A53" i="6393" l="1"/>
  <c r="A54" i="6393" l="1"/>
  <c r="A55" i="6393" l="1"/>
  <c r="A56" i="6393" l="1"/>
  <c r="A57" i="6393" l="1"/>
  <c r="A58" i="6393" l="1"/>
  <c r="A59" i="6393" l="1"/>
  <c r="A60" i="6393" l="1"/>
  <c r="A61" i="6393" l="1"/>
  <c r="A62" i="6393" l="1"/>
  <c r="A63" i="6393" l="1"/>
  <c r="A69" i="6393" l="1"/>
  <c r="A71" i="6393" l="1"/>
  <c r="A70" i="6393"/>
</calcChain>
</file>

<file path=xl/sharedStrings.xml><?xml version="1.0" encoding="utf-8"?>
<sst xmlns="http://schemas.openxmlformats.org/spreadsheetml/2006/main" count="555" uniqueCount="405">
  <si>
    <t>Standard</t>
  </si>
  <si>
    <t xml:space="preserve">     X</t>
  </si>
  <si>
    <t xml:space="preserve">    N</t>
  </si>
  <si>
    <t xml:space="preserve">   </t>
  </si>
  <si>
    <t xml:space="preserve">        13C</t>
  </si>
  <si>
    <t xml:space="preserve">  s.d.</t>
  </si>
  <si>
    <t xml:space="preserve">        %C</t>
  </si>
  <si>
    <t>METHOD:</t>
  </si>
  <si>
    <t>DATE RUN:</t>
  </si>
  <si>
    <t>Date</t>
  </si>
  <si>
    <t>FILE NAME:</t>
  </si>
  <si>
    <t>D7</t>
  </si>
  <si>
    <t>D8</t>
  </si>
  <si>
    <t>E1</t>
  </si>
  <si>
    <t>Actual</t>
  </si>
  <si>
    <t>Meas.</t>
  </si>
  <si>
    <t>Affiliation:</t>
  </si>
  <si>
    <t>Email:</t>
  </si>
  <si>
    <t>Phone:</t>
  </si>
  <si>
    <t>Address:</t>
  </si>
  <si>
    <t>Project Description:</t>
  </si>
  <si>
    <t>Sample ID</t>
  </si>
  <si>
    <t>Sample Wt.</t>
  </si>
  <si>
    <t>Investigator:</t>
  </si>
  <si>
    <t>DATE SUBMITTED:</t>
  </si>
  <si>
    <t>REP1 (‰)</t>
  </si>
  <si>
    <t>REP2 (‰)</t>
  </si>
  <si>
    <t>DIRECTIONS:</t>
  </si>
  <si>
    <t>WEIGH INFO:</t>
  </si>
  <si>
    <t>Weigh Person:</t>
  </si>
  <si>
    <t>ANALYST:</t>
  </si>
  <si>
    <t>Sample Description:</t>
  </si>
  <si>
    <t>#Samples</t>
  </si>
  <si>
    <t>ISIRF#</t>
  </si>
  <si>
    <t>blank</t>
  </si>
  <si>
    <t>ISIRF USE ONLY</t>
  </si>
  <si>
    <t>Well#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</si>
  <si>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</si>
  <si>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</si>
  <si>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</si>
  <si>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</si>
  <si>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</si>
  <si>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</si>
  <si>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</si>
  <si>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</si>
  <si>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</si>
  <si>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</si>
  <si>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</si>
  <si>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</si>
  <si>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</si>
  <si>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</si>
  <si>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</si>
  <si>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</si>
  <si>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</si>
  <si>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</si>
  <si>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</si>
  <si>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</si>
  <si>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</si>
  <si>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</si>
  <si>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</si>
  <si>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</si>
  <si>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</si>
  <si>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</si>
  <si>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</si>
  <si>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</si>
  <si>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</si>
  <si>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Sample #</t>
  </si>
  <si>
    <t>%C</t>
  </si>
  <si>
    <t>%N</t>
  </si>
  <si>
    <t>QA Summary 13C:</t>
  </si>
  <si>
    <t>QA Summary 15N:</t>
  </si>
  <si>
    <t>Enriched Samples? (Y or N):</t>
  </si>
  <si>
    <t>HazardousSamples? (Y or N):</t>
  </si>
  <si>
    <t>1. Obtain the ISIRF Solid Submission Form from the mass spectrometer operator.</t>
  </si>
  <si>
    <t>Rep 1</t>
  </si>
  <si>
    <t>Run date</t>
  </si>
  <si>
    <t>File name</t>
  </si>
  <si>
    <t>Run type</t>
  </si>
  <si>
    <t>Wt. (mg)</t>
  </si>
  <si>
    <t>Carbon Standards</t>
  </si>
  <si>
    <t>Nitrogen Standards</t>
  </si>
  <si>
    <t xml:space="preserve">Precision of carbon data </t>
  </si>
  <si>
    <t>Accuracy of carbon data</t>
  </si>
  <si>
    <t xml:space="preserve">Precision of nitrogen data </t>
  </si>
  <si>
    <t>Accuracy of nitrogen data</t>
  </si>
  <si>
    <t>Sample</t>
  </si>
  <si>
    <t>Conc Cal Std - Isotope QC Std</t>
  </si>
  <si>
    <t>Conc QC Std - Isotope High Cal Std</t>
  </si>
  <si>
    <t>Conc QC Std - Isotope Low Cal Std</t>
  </si>
  <si>
    <t>[C] %</t>
  </si>
  <si>
    <t>[N] %</t>
  </si>
  <si>
    <t>Quality Assurance data for Carbon:</t>
  </si>
  <si>
    <t>Replicate Sample 1</t>
  </si>
  <si>
    <t>Replicate Sample 2</t>
  </si>
  <si>
    <t>N</t>
  </si>
  <si>
    <t>Quality Assurance Data for Nitrogen:</t>
  </si>
  <si>
    <t>Notes:</t>
  </si>
  <si>
    <t>Notes</t>
  </si>
  <si>
    <t>INDEX</t>
  </si>
  <si>
    <t>Contents</t>
  </si>
  <si>
    <t>Tab</t>
  </si>
  <si>
    <t>ISIRF Raw</t>
  </si>
  <si>
    <t>ISIRF 15N</t>
  </si>
  <si>
    <t>ISIRF 13C</t>
  </si>
  <si>
    <t>PI Project and sample discription</t>
  </si>
  <si>
    <t xml:space="preserve">Cover  </t>
  </si>
  <si>
    <t>Printable Sheet for hand entering weights</t>
  </si>
  <si>
    <t>ISIRF use for raw data entery</t>
  </si>
  <si>
    <t>PI and ISIRF Quality Assurance Information</t>
  </si>
  <si>
    <t>Sample Wt (mg)</t>
  </si>
  <si>
    <r>
      <t>N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</si>
  <si>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r>
      <t>CO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</si>
  <si>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t>Wt % C</t>
  </si>
  <si>
    <t>13C ‰ pdb</t>
  </si>
  <si>
    <t xml:space="preserve">13C ‰ pdb Corrected </t>
  </si>
  <si>
    <t>Wt % N</t>
  </si>
  <si>
    <t>15N ‰ Air</t>
  </si>
  <si>
    <t xml:space="preserve">15N ‰ Air Corrected </t>
  </si>
  <si>
    <t>Line</t>
  </si>
  <si>
    <t>Standard and replicate data</t>
  </si>
  <si>
    <t>Investigator Data</t>
  </si>
  <si>
    <t>Weigh Sheet</t>
  </si>
  <si>
    <t>PI Sample identification, and Results</t>
  </si>
  <si>
    <t>Date: (YYMMDD)</t>
  </si>
  <si>
    <t>Seq.</t>
  </si>
  <si>
    <t>Cal-H.Std:</t>
  </si>
  <si>
    <t>Cal-L.Std:</t>
  </si>
  <si>
    <t>Analyses:</t>
  </si>
  <si>
    <t>Sample Name</t>
  </si>
  <si>
    <t>Cal-H.STD</t>
  </si>
  <si>
    <t>Cal-L.STD</t>
  </si>
  <si>
    <t>Avg</t>
  </si>
  <si>
    <t>Seq #</t>
  </si>
  <si>
    <r>
      <t>CO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</si>
  <si>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>Variance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</si>
  <si>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</si>
  <si>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Run Type</t>
  </si>
  <si>
    <t>QC.STD</t>
  </si>
  <si>
    <t>NIST Certified Isotope Standard - QC</t>
  </si>
  <si>
    <t>Var.</t>
  </si>
  <si>
    <r>
      <t>N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</si>
  <si>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 xml:space="preserve">      </t>
  </si>
  <si>
    <t>var.</t>
  </si>
  <si>
    <t>var</t>
  </si>
  <si>
    <r>
      <t>d</t>
    </r>
    <r>
      <rPr>
        <b/>
        <vertAlign val="superscript"/>
        <sz val="9"/>
        <rFont val="Geneva"/>
        <family val="2"/>
      </rPr>
      <t>15</t>
    </r>
    <r>
      <rPr>
        <b/>
        <sz val="9"/>
        <rFont val="Geneva"/>
      </rPr>
      <t>N</t>
    </r>
  </si>
  <si>
    <t>User Data</t>
  </si>
  <si>
    <t>Investigator QA Data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</si>
  <si>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15</t>
    </r>
    <r>
      <rPr>
        <sz val="10"/>
        <rFont val="Geneva"/>
      </rPr>
      <t>N summary</t>
    </r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</si>
  <si>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13</t>
    </r>
    <r>
      <rPr>
        <sz val="10"/>
        <rFont val="Geneva"/>
      </rPr>
      <t>C summary</t>
    </r>
  </si>
  <si>
    <r>
      <t xml:space="preserve">Calibration Info.  </t>
    </r>
    <r>
      <rPr>
        <b/>
        <sz val="10"/>
        <rFont val="Geneva"/>
        <family val="2"/>
      </rPr>
      <t xml:space="preserve">Balance: </t>
    </r>
  </si>
  <si>
    <t>Project Code &amp; Tray ID for file name:</t>
  </si>
  <si>
    <t>Investigator ID#</t>
  </si>
  <si>
    <t>WRITE FULL FILE NAME ON TRAY!!</t>
  </si>
  <si>
    <t>Sample Description (Matrix):</t>
  </si>
  <si>
    <t>6. Have Weigh person submit samples and Weigh Sheet to the IRMS operator.</t>
  </si>
  <si>
    <t>Sample %N, %C:</t>
  </si>
  <si>
    <t>Sample Weight: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</si>
  <si>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</si>
  <si>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</si>
  <si>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</si>
  <si>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Intrcpt</t>
  </si>
  <si>
    <t>Target Wt.</t>
  </si>
  <si>
    <t>Rep 14</t>
  </si>
  <si>
    <r>
      <t xml:space="preserve">2. Fill in the yellow shaded regions of the </t>
    </r>
    <r>
      <rPr>
        <b/>
        <u/>
        <sz val="10"/>
        <rFont val="Arial"/>
        <family val="2"/>
      </rPr>
      <t>Cover</t>
    </r>
    <r>
      <rPr>
        <sz val="10"/>
        <rFont val="Arial"/>
        <family val="2"/>
      </rPr>
      <t xml:space="preserve">, and </t>
    </r>
    <r>
      <rPr>
        <b/>
        <u/>
        <sz val="10"/>
        <rFont val="Arial"/>
        <family val="2"/>
      </rPr>
      <t>Investigator Data</t>
    </r>
    <r>
      <rPr>
        <sz val="10"/>
        <rFont val="Arial"/>
        <family val="2"/>
      </rPr>
      <t xml:space="preserve"> Sheets (34 samples maximum).</t>
    </r>
  </si>
  <si>
    <t>QC.Std:</t>
  </si>
  <si>
    <t>QA STD</t>
  </si>
  <si>
    <t>Sample Cup</t>
  </si>
  <si>
    <t>E2</t>
  </si>
  <si>
    <t>E3</t>
  </si>
  <si>
    <t>E4</t>
  </si>
  <si>
    <t>E5</t>
  </si>
  <si>
    <t>E6</t>
  </si>
  <si>
    <t>E7</t>
  </si>
  <si>
    <t>E8</t>
  </si>
  <si>
    <t>C1</t>
  </si>
  <si>
    <t>Balance Log Book</t>
  </si>
  <si>
    <t>Tin</t>
  </si>
  <si>
    <t>5 X 9</t>
  </si>
  <si>
    <t>Analyses (13C, 15N, 34S):</t>
  </si>
  <si>
    <t>ISIRF 34S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</si>
  <si>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Symbol"/>
        <family val="1"/>
        <charset val="2"/>
      </rPr>
      <t>34</t>
    </r>
    <r>
      <rPr>
        <sz val="10"/>
        <rFont val="Geneva"/>
      </rPr>
      <t>S summary</t>
    </r>
  </si>
  <si>
    <t>QA Std:</t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</si>
  <si>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</si>
  <si>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</si>
  <si>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t>%S</t>
  </si>
  <si>
    <t>Mass 28 nA</t>
  </si>
  <si>
    <t>Mass 44 nA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</si>
  <si>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</si>
  <si>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</si>
  <si>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</si>
  <si>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</si>
  <si>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</si>
  <si>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</si>
  <si>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</si>
  <si>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</si>
  <si>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</si>
  <si>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</si>
  <si>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</si>
  <si>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</si>
  <si>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</si>
  <si>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</si>
  <si>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</si>
  <si>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</si>
  <si>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Mass 64 nA</t>
  </si>
  <si>
    <r>
      <t>SO</t>
    </r>
    <r>
      <rPr>
        <b/>
        <vertAlign val="subscript"/>
        <sz val="10"/>
        <rFont val="Geneva"/>
      </rPr>
      <t>2</t>
    </r>
    <r>
      <rPr>
        <b/>
        <sz val="10"/>
        <rFont val="Geneva"/>
      </rPr>
      <t xml:space="preserve"> Area</t>
    </r>
  </si>
  <si>
    <t>Wt % S</t>
  </si>
  <si>
    <t>34S ‰ pdb</t>
  </si>
  <si>
    <t xml:space="preserve">34S ‰ pdb Corrected 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</si>
  <si>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</si>
  <si>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</si>
  <si>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t>Quality Assurance Data for Sulfur:</t>
  </si>
  <si>
    <t>Mass 28 nAmp</t>
  </si>
  <si>
    <t>Filename</t>
  </si>
  <si>
    <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</si>
  <si>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Check QC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</si>
  <si>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13</t>
    </r>
    <r>
      <rPr>
        <b/>
        <sz val="9"/>
        <rFont val="Geneva"/>
      </rPr>
      <t>C</t>
    </r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</si>
  <si>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</si>
  <si>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</si>
  <si>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</si>
  <si>
    <t xml:space="preserve">Precision of Sulfur data </t>
  </si>
  <si>
    <t>Accuracy of Sulfur data</t>
  </si>
  <si>
    <t>[S] %</t>
  </si>
  <si>
    <r>
      <t>d</t>
    </r>
    <r>
      <rPr>
        <vertAlign val="superscript"/>
        <sz val="10"/>
        <rFont val="Arial"/>
        <family val="2"/>
      </rPr>
      <t>34</t>
    </r>
    <r>
      <rPr>
        <sz val="10"/>
        <rFont val="Arial"/>
        <family val="2"/>
      </rPr>
      <t>S</t>
    </r>
  </si>
  <si>
    <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</si>
  <si>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</si>
  <si>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t>Mass 28 Area</t>
  </si>
  <si>
    <t>Mass 44 nAmp</t>
  </si>
  <si>
    <t>Mass 44 Area</t>
  </si>
  <si>
    <t>Rep-1</t>
  </si>
  <si>
    <t>Rep-2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</si>
  <si>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</si>
  <si>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r.s.d.</t>
  </si>
  <si>
    <t>r.s.d</t>
  </si>
  <si>
    <t xml:space="preserve"> r. s.d.</t>
  </si>
  <si>
    <t xml:space="preserve">  r.s.d.</t>
  </si>
  <si>
    <t>Mode of Operation</t>
  </si>
  <si>
    <t>NBS/NIST</t>
  </si>
  <si>
    <t>Ammonium Sulfate</t>
  </si>
  <si>
    <t>Bamboo</t>
  </si>
  <si>
    <t>Bovine Liver</t>
  </si>
  <si>
    <t>Chitin</t>
  </si>
  <si>
    <t>Citrus Leaf</t>
  </si>
  <si>
    <t>Corn Stalk</t>
  </si>
  <si>
    <t>Graphite</t>
  </si>
  <si>
    <t>L-Glutamic</t>
  </si>
  <si>
    <t>Pine Needles</t>
  </si>
  <si>
    <t>Sorghum Flour</t>
  </si>
  <si>
    <t>Sucrose</t>
  </si>
  <si>
    <t>Tibetan Hair</t>
  </si>
  <si>
    <t>ISIRF Ulva</t>
  </si>
  <si>
    <t>Ulva</t>
  </si>
  <si>
    <t>Wheat Flour</t>
  </si>
  <si>
    <t>CO2 Dilution:  @ 40 psi</t>
  </si>
  <si>
    <t>C/N</t>
  </si>
  <si>
    <t>ISIRF Bamboo</t>
  </si>
  <si>
    <t>ISIRF Chitin</t>
  </si>
  <si>
    <t>nahlik.amanda@epa.gov</t>
  </si>
  <si>
    <t>Last Name</t>
  </si>
  <si>
    <t>First Name</t>
  </si>
  <si>
    <t>Branch</t>
  </si>
  <si>
    <t>ID Number</t>
  </si>
  <si>
    <t>Address</t>
  </si>
  <si>
    <t>email Address</t>
  </si>
  <si>
    <t>Phone</t>
  </si>
  <si>
    <t>Anderson</t>
  </si>
  <si>
    <t>Chris</t>
  </si>
  <si>
    <t>EEB</t>
  </si>
  <si>
    <t>Corvallis Anx A16</t>
  </si>
  <si>
    <t>andersen.Christian@epa.gov</t>
  </si>
  <si>
    <t>Brooks</t>
  </si>
  <si>
    <r>
      <t>Rene</t>
    </r>
    <r>
      <rPr>
        <sz val="11"/>
        <rFont val="Calibri"/>
        <family val="2"/>
      </rPr>
      <t>é</t>
    </r>
  </si>
  <si>
    <t>Corvallis Bldg 74</t>
  </si>
  <si>
    <t>brooks.reneej@epa.gov</t>
  </si>
  <si>
    <t>Compton</t>
  </si>
  <si>
    <t>Jana</t>
  </si>
  <si>
    <t>FEB</t>
  </si>
  <si>
    <t>Corvallis MOD 130</t>
  </si>
  <si>
    <t>compton.jana@epa.gov</t>
  </si>
  <si>
    <t>Dewitt</t>
  </si>
  <si>
    <t>Ted</t>
  </si>
  <si>
    <t>PCEB</t>
  </si>
  <si>
    <t>Newport A-102</t>
  </si>
  <si>
    <t>dewitt.ted@epa.gov</t>
  </si>
  <si>
    <t>Faulkner</t>
  </si>
  <si>
    <t>Bart</t>
  </si>
  <si>
    <t>Ada</t>
  </si>
  <si>
    <t>Forshey</t>
  </si>
  <si>
    <t>Ken</t>
  </si>
  <si>
    <t>Johnson</t>
  </si>
  <si>
    <t>Mark</t>
  </si>
  <si>
    <t>Corvallis PEB 112</t>
  </si>
  <si>
    <t>johnson.markg@epa.gov</t>
  </si>
  <si>
    <t>Kaldy</t>
  </si>
  <si>
    <t>Jim</t>
  </si>
  <si>
    <t>CEB</t>
  </si>
  <si>
    <t>Newport A-124</t>
  </si>
  <si>
    <t>kaldy.james@epa.gov</t>
  </si>
  <si>
    <t>Lee</t>
  </si>
  <si>
    <t>Henry</t>
  </si>
  <si>
    <t>Corvallis PEB 117</t>
  </si>
  <si>
    <t>McKane</t>
  </si>
  <si>
    <t>Bob</t>
  </si>
  <si>
    <t>Corvallis SSB 202</t>
  </si>
  <si>
    <t>Nahlik</t>
  </si>
  <si>
    <t>Amanda</t>
  </si>
  <si>
    <t>Olszyk</t>
  </si>
  <si>
    <t>Dave</t>
  </si>
  <si>
    <t>Corvallis SSB 206</t>
  </si>
  <si>
    <t>Rugh</t>
  </si>
  <si>
    <t>QA QC</t>
  </si>
  <si>
    <t>ISIRF</t>
  </si>
  <si>
    <t>rugh.william@epa.gov</t>
  </si>
  <si>
    <t>Weitzman</t>
  </si>
  <si>
    <t>Julie</t>
  </si>
  <si>
    <t>EEB/WQPB</t>
  </si>
  <si>
    <t>Atlanta, GA (R4 Office)</t>
  </si>
  <si>
    <t>weitzman.julie@epa.gov</t>
  </si>
  <si>
    <t>Logical</t>
  </si>
  <si>
    <t>Yes</t>
  </si>
  <si>
    <t>No</t>
  </si>
  <si>
    <t>Todays Date</t>
  </si>
  <si>
    <t>Text conversion to date</t>
  </si>
  <si>
    <t>13C</t>
  </si>
  <si>
    <t>15N</t>
  </si>
  <si>
    <t>13C15N</t>
  </si>
  <si>
    <t>34S</t>
  </si>
  <si>
    <t>Janice Chatfield</t>
  </si>
  <si>
    <t>Lisandra Trine</t>
  </si>
  <si>
    <t>William Rugh</t>
  </si>
  <si>
    <t>Other</t>
  </si>
  <si>
    <t xml:space="preserve">4. ISIRF will identify standards and sample weights needed, and print the weighsheet. </t>
  </si>
  <si>
    <t>5. ISIRF will give your weigh sheet to the trained weigh person identified above.</t>
  </si>
  <si>
    <t>Sample %N</t>
  </si>
  <si>
    <t>Sample %C</t>
  </si>
  <si>
    <t>Sample %S</t>
  </si>
  <si>
    <t>Targ. Wt</t>
  </si>
  <si>
    <t>New version.  Drop down boxes added and look-up for SRM included.</t>
  </si>
  <si>
    <t>wdr</t>
  </si>
  <si>
    <t>Changes and comments</t>
  </si>
  <si>
    <t>initals</t>
  </si>
  <si>
    <t>Tables</t>
  </si>
  <si>
    <t>Revisions</t>
  </si>
  <si>
    <t>ISIRF use for updated tables</t>
  </si>
  <si>
    <t>ISIRF revision summary</t>
  </si>
  <si>
    <t>Trine</t>
  </si>
  <si>
    <t>Corvallis Main-201</t>
  </si>
  <si>
    <t>Trine.Lisandra@epa.gov</t>
  </si>
  <si>
    <t>Corvallis Main-208</t>
  </si>
  <si>
    <t>NIST 8550 Am Sulf</t>
  </si>
  <si>
    <t>NIST 8551 Am Sulf</t>
  </si>
  <si>
    <t>NIST 8541 Graphite</t>
  </si>
  <si>
    <t>NIST 8542 Sucrose</t>
  </si>
  <si>
    <t>B2157 Wheat Flour</t>
  </si>
  <si>
    <t>B2159 Sorghum Flour</t>
  </si>
  <si>
    <t>NBS 1577 Bovine Liver</t>
  </si>
  <si>
    <t>NBS 1572 Citrus Leaf</t>
  </si>
  <si>
    <t>NBS 8412 Corn Stalk</t>
  </si>
  <si>
    <t>NBS 1575 Pine Needles</t>
  </si>
  <si>
    <t>NIST 8573 Glutamic</t>
  </si>
  <si>
    <t>NIST 8574 Glutamic</t>
  </si>
  <si>
    <t>USGS 42 Tib Hair</t>
  </si>
  <si>
    <t>PESD Project:</t>
  </si>
  <si>
    <r>
      <t xml:space="preserve">3. </t>
    </r>
    <r>
      <rPr>
        <b/>
        <u/>
        <sz val="10"/>
        <rFont val="Arial"/>
        <family val="2"/>
      </rPr>
      <t xml:space="preserve">Rename this file </t>
    </r>
    <r>
      <rPr>
        <sz val="10"/>
        <rFont val="Arial"/>
        <family val="2"/>
      </rPr>
      <t>with the File name in dark tan box above, and e-mail to Lisandra Trine</t>
    </r>
  </si>
  <si>
    <t>ISIRF Isotope Cube INLET SUBMISSION FORM -- AS OF 4/29/2024</t>
  </si>
  <si>
    <t>Kansas ROAR Project</t>
  </si>
  <si>
    <t>The Kansas ROAR projects investigates soil health practices influences over nitrate leaching</t>
  </si>
  <si>
    <t>Soil Samples collected from 0-8 inches in Kansas farmlands</t>
  </si>
  <si>
    <t>240517</t>
  </si>
  <si>
    <t>Kansas_ROAR_3</t>
  </si>
  <si>
    <t xml:space="preserve">20231120_W1_H </t>
  </si>
  <si>
    <t xml:space="preserve">20240407_E1_A </t>
  </si>
  <si>
    <t xml:space="preserve">20240407_E1_B </t>
  </si>
  <si>
    <t xml:space="preserve">20240407_E1_C </t>
  </si>
  <si>
    <t xml:space="preserve">20240407_E1_D </t>
  </si>
  <si>
    <t xml:space="preserve">20240407_E1_E </t>
  </si>
  <si>
    <t xml:space="preserve">20240407_E1_F </t>
  </si>
  <si>
    <t xml:space="preserve">20240407_E1_G </t>
  </si>
  <si>
    <t xml:space="preserve">20240407_E1_H </t>
  </si>
  <si>
    <t xml:space="preserve">20240407_E1_I </t>
  </si>
  <si>
    <t>20240407_E2_A</t>
  </si>
  <si>
    <t xml:space="preserve">20240407_E2_B </t>
  </si>
  <si>
    <t xml:space="preserve">20240407_E2_C </t>
  </si>
  <si>
    <t xml:space="preserve">20240407_E2_D </t>
  </si>
  <si>
    <t xml:space="preserve">20240407_E2_E </t>
  </si>
  <si>
    <t xml:space="preserve">20240407_E2_F </t>
  </si>
  <si>
    <t xml:space="preserve">20240407_E2_G </t>
  </si>
  <si>
    <t xml:space="preserve">20240407_E3_A </t>
  </si>
  <si>
    <t>20240407_E3_A_Dup</t>
  </si>
  <si>
    <t xml:space="preserve">20240407_E3_B </t>
  </si>
  <si>
    <t xml:space="preserve">20240407_E3_C </t>
  </si>
  <si>
    <t xml:space="preserve">20240407_E3_D </t>
  </si>
  <si>
    <t xml:space="preserve">20240407_E3_E </t>
  </si>
  <si>
    <t xml:space="preserve">20240407_E3_F </t>
  </si>
  <si>
    <t xml:space="preserve">20240407_E3_G </t>
  </si>
  <si>
    <t xml:space="preserve">20240407_E3_H </t>
  </si>
  <si>
    <t xml:space="preserve">20240407_E3_I </t>
  </si>
  <si>
    <t xml:space="preserve">20240407_S2_A </t>
  </si>
  <si>
    <t xml:space="preserve">20240407_S2_B </t>
  </si>
  <si>
    <t xml:space="preserve">20240407_S2_C </t>
  </si>
  <si>
    <t xml:space="preserve">20240407_S2_D </t>
  </si>
  <si>
    <t xml:space="preserve">20240407_S2_E </t>
  </si>
  <si>
    <t xml:space="preserve">20240407_S2_F </t>
  </si>
  <si>
    <t xml:space="preserve">20240407_S2_G </t>
  </si>
  <si>
    <t>20240407_S2_H</t>
  </si>
  <si>
    <t xml:space="preserve">20240407_S2_I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</si>
</sst>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"/>
    <numFmt numFmtId="165" formatCode="m/d/yy;@"/>
    <numFmt numFmtId="166" formatCode="0.000E+00"/>
    <numFmt numFmtId="167" formatCode="m/d/yy\ h:mm;@"/>
    <numFmt numFmtId="168" formatCode="yymmdd"/>
  </numFmts>
  <fonts count="43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b/>
      <u/>
      <sz val="10"/>
      <name val="Geneva"/>
    </font>
    <font>
      <b/>
      <sz val="9"/>
      <name val="Geneva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vertAlign val="subscript"/>
      <sz val="10"/>
      <name val="Geneva"/>
    </font>
    <font>
      <b/>
      <u/>
      <sz val="10"/>
      <name val="Arial"/>
      <family val="2"/>
    </font>
    <font>
      <sz val="9"/>
      <name val="Geneva"/>
    </font>
    <font>
      <b/>
      <sz val="9"/>
      <name val="Arial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vertAlign val="subscript"/>
      <sz val="10"/>
      <name val="Geneva"/>
      <family val="2"/>
    </font>
    <font>
      <b/>
      <sz val="9"/>
      <name val="Symbol"/>
      <family val="1"/>
      <charset val="2"/>
    </font>
    <font>
      <b/>
      <vertAlign val="superscript"/>
      <sz val="9"/>
      <name val="Geneva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perscript"/>
      <sz val="10"/>
      <name val="Geneva"/>
      <family val="2"/>
    </font>
    <font>
      <b/>
      <u/>
      <sz val="10"/>
      <name val="Geneva"/>
      <family val="2"/>
    </font>
    <font>
      <b/>
      <sz val="10"/>
      <color indexed="10"/>
      <name val="Geneva"/>
      <family val="2"/>
    </font>
    <font>
      <b/>
      <vertAlign val="superscript"/>
      <sz val="9"/>
      <name val="Geneva"/>
    </font>
    <font>
      <vertAlign val="superscript"/>
      <sz val="10"/>
      <name val="Symbol"/>
      <family val="1"/>
      <charset val="2"/>
    </font>
    <font>
      <b/>
      <sz val="10"/>
      <name val="Calibri"/>
      <family val="2"/>
    </font>
    <font>
      <b/>
      <vertAlign val="superscript"/>
      <sz val="9"/>
      <name val="Arial"/>
      <family val="2"/>
    </font>
    <font>
      <b/>
      <sz val="9"/>
      <name val="Calibri"/>
      <family val="2"/>
    </font>
    <font>
      <sz val="11"/>
      <color rgb="FFFA7D00"/>
      <name val="Calibri"/>
      <family val="2"/>
      <scheme val="minor"/>
    </font>
    <font>
      <b/>
      <sz val="10"/>
      <name val="MS Sans Serif"/>
    </font>
    <font>
      <b/>
      <sz val="10"/>
      <color rgb="FF0000FF"/>
      <name val="MS Sans Serif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sz val="10"/>
      <color rgb="FF0000FF"/>
      <name val="MS Sans Serif"/>
      <family val="2"/>
    </font>
    <font>
      <i/>
      <sz val="8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9"/>
      <name val="MS Sans Serif"/>
      <family val="2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double">
        <color indexed="64"/>
      </right>
      <top style="dashed">
        <color indexed="64"/>
      </top>
      <bottom style="double">
        <color rgb="FFFF80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 style="hair">
        <color indexed="64"/>
      </top>
      <bottom/>
      <diagonal/>
    </border>
  </borders>
  <cellStyleXfs count="8">
    <xf numFmtId="0" fontId="0" fillId="0" borderId="0"/>
    <xf numFmtId="0" fontId="32" fillId="0" borderId="213" applyNumberFormat="0" applyFill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680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0" xfId="0" applyNumberFormat="1" applyBorder="1"/>
    <xf numFmtId="0" fontId="3" fillId="0" borderId="0" xfId="0" applyFont="1" applyBorder="1"/>
    <xf numFmtId="49" fontId="0" fillId="0" borderId="0" xfId="0" applyNumberFormat="1" applyBorder="1"/>
    <xf numFmtId="0" fontId="3" fillId="0" borderId="0" xfId="0" applyNumberFormat="1" applyFont="1" applyBorder="1" applyAlignment="1">
      <alignment horizontal="left"/>
    </xf>
    <xf numFmtId="0" fontId="3" fillId="2" borderId="0" xfId="0" applyFont="1" applyFill="1" applyBorder="1"/>
    <xf numFmtId="0" fontId="0" fillId="0" borderId="0" xfId="0" applyBorder="1" applyProtection="1"/>
    <xf numFmtId="0" fontId="0" fillId="3" borderId="0" xfId="0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/>
    </xf>
    <xf numFmtId="0" fontId="6" fillId="0" borderId="0" xfId="0" applyFont="1" applyBorder="1"/>
    <xf numFmtId="0" fontId="8" fillId="0" borderId="0" xfId="0" applyFont="1" applyBorder="1"/>
    <xf numFmtId="0" fontId="7" fillId="0" borderId="0" xfId="0" applyFont="1" applyBorder="1"/>
    <xf numFmtId="0" fontId="6" fillId="0" borderId="0" xfId="0" applyFont="1" applyFill="1" applyBorder="1" applyAlignment="1">
      <alignment horizontal="right"/>
    </xf>
    <xf numFmtId="0" fontId="6" fillId="0" borderId="0" xfId="0" applyNumberFormat="1" applyFont="1" applyFill="1" applyBorder="1"/>
    <xf numFmtId="0" fontId="0" fillId="2" borderId="0" xfId="0" applyFill="1" applyBorder="1"/>
    <xf numFmtId="0" fontId="0" fillId="0" borderId="0" xfId="0" applyBorder="1" applyAlignment="1">
      <alignment wrapText="1"/>
    </xf>
    <xf numFmtId="0" fontId="6" fillId="4" borderId="3" xfId="0" applyNumberFormat="1" applyFont="1" applyFill="1" applyBorder="1"/>
    <xf numFmtId="0" fontId="0" fillId="4" borderId="4" xfId="0" applyFill="1" applyBorder="1"/>
    <xf numFmtId="0" fontId="7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/>
    <xf numFmtId="0" fontId="7" fillId="0" borderId="0" xfId="0" applyFont="1" applyFill="1" applyBorder="1" applyProtection="1">
      <protection locked="0"/>
    </xf>
    <xf numFmtId="0" fontId="4" fillId="0" borderId="0" xfId="0" applyFont="1" applyBorder="1"/>
    <xf numFmtId="0" fontId="8" fillId="0" borderId="0" xfId="0" applyFont="1" applyFill="1" applyBorder="1"/>
    <xf numFmtId="0" fontId="11" fillId="0" borderId="0" xfId="0" applyFont="1" applyBorder="1"/>
    <xf numFmtId="0" fontId="11" fillId="0" borderId="0" xfId="0" applyFont="1"/>
    <xf numFmtId="0" fontId="11" fillId="0" borderId="0" xfId="0" applyFont="1" applyFill="1" applyBorder="1"/>
    <xf numFmtId="0" fontId="0" fillId="0" borderId="0" xfId="0" applyFill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4" borderId="14" xfId="0" applyNumberFormat="1" applyFont="1" applyFill="1" applyBorder="1" applyAlignment="1">
      <alignment horizontal="left"/>
    </xf>
    <xf numFmtId="0" fontId="6" fillId="4" borderId="15" xfId="0" applyNumberFormat="1" applyFont="1" applyFill="1" applyBorder="1" applyAlignment="1">
      <alignment horizontal="left"/>
    </xf>
    <xf numFmtId="0" fontId="6" fillId="4" borderId="16" xfId="0" applyNumberFormat="1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2" fontId="13" fillId="6" borderId="5" xfId="0" applyNumberFormat="1" applyFont="1" applyFill="1" applyBorder="1" applyAlignment="1" applyProtection="1">
      <alignment horizontal="center" wrapText="1"/>
    </xf>
    <xf numFmtId="2" fontId="11" fillId="0" borderId="0" xfId="0" applyNumberFormat="1" applyFont="1" applyBorder="1"/>
    <xf numFmtId="0" fontId="7" fillId="0" borderId="15" xfId="0" applyFont="1" applyBorder="1"/>
    <xf numFmtId="2" fontId="0" fillId="0" borderId="0" xfId="0" applyNumberFormat="1" applyBorder="1" applyAlignment="1">
      <alignment horizontal="center"/>
    </xf>
    <xf numFmtId="2" fontId="2" fillId="6" borderId="5" xfId="0" applyNumberFormat="1" applyFont="1" applyFill="1" applyBorder="1" applyAlignment="1" applyProtection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0" xfId="0" applyFont="1" applyProtection="1"/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0" fontId="6" fillId="0" borderId="0" xfId="0" applyFont="1" applyFill="1" applyBorder="1" applyAlignment="1" applyProtection="1">
      <alignment horizontal="right"/>
    </xf>
    <xf numFmtId="0" fontId="6" fillId="6" borderId="19" xfId="0" applyNumberFormat="1" applyFont="1" applyFill="1" applyBorder="1" applyAlignment="1" applyProtection="1">
      <alignment horizontal="left"/>
    </xf>
    <xf numFmtId="0" fontId="7" fillId="6" borderId="20" xfId="0" applyFont="1" applyFill="1" applyBorder="1" applyAlignment="1" applyProtection="1">
      <alignment horizontal="center"/>
    </xf>
    <xf numFmtId="0" fontId="7" fillId="6" borderId="21" xfId="0" applyFont="1" applyFill="1" applyBorder="1" applyAlignment="1" applyProtection="1">
      <alignment horizontal="center"/>
    </xf>
    <xf numFmtId="0" fontId="6" fillId="6" borderId="14" xfId="0" applyFont="1" applyFill="1" applyBorder="1" applyProtection="1"/>
    <xf numFmtId="0" fontId="6" fillId="6" borderId="22" xfId="0" applyFont="1" applyFill="1" applyBorder="1" applyProtection="1"/>
    <xf numFmtId="0" fontId="6" fillId="6" borderId="23" xfId="0" applyFont="1" applyFill="1" applyBorder="1" applyProtection="1"/>
    <xf numFmtId="0" fontId="6" fillId="6" borderId="24" xfId="0" applyFont="1" applyFill="1" applyBorder="1" applyAlignment="1" applyProtection="1">
      <alignment horizontal="center"/>
    </xf>
    <xf numFmtId="0" fontId="20" fillId="6" borderId="22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>
      <alignment horizontal="center"/>
    </xf>
    <xf numFmtId="0" fontId="6" fillId="6" borderId="25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/>
    <xf numFmtId="0" fontId="6" fillId="6" borderId="14" xfId="0" applyFont="1" applyFill="1" applyBorder="1" applyAlignment="1" applyProtection="1"/>
    <xf numFmtId="0" fontId="7" fillId="6" borderId="22" xfId="0" applyFont="1" applyFill="1" applyBorder="1" applyAlignment="1" applyProtection="1"/>
    <xf numFmtId="0" fontId="7" fillId="6" borderId="26" xfId="0" applyFont="1" applyFill="1" applyBorder="1" applyAlignment="1" applyProtection="1"/>
    <xf numFmtId="0" fontId="6" fillId="6" borderId="16" xfId="0" applyFont="1" applyFill="1" applyBorder="1" applyProtection="1"/>
    <xf numFmtId="0" fontId="6" fillId="6" borderId="27" xfId="0" applyFont="1" applyFill="1" applyBorder="1" applyProtection="1"/>
    <xf numFmtId="0" fontId="6" fillId="6" borderId="28" xfId="0" applyFont="1" applyFill="1" applyBorder="1" applyProtection="1"/>
    <xf numFmtId="0" fontId="6" fillId="6" borderId="27" xfId="0" applyFont="1" applyFill="1" applyBorder="1" applyAlignment="1" applyProtection="1">
      <alignment horizontal="center"/>
    </xf>
    <xf numFmtId="0" fontId="6" fillId="6" borderId="29" xfId="0" applyFont="1" applyFill="1" applyBorder="1" applyAlignment="1" applyProtection="1">
      <alignment horizontal="center"/>
    </xf>
    <xf numFmtId="0" fontId="6" fillId="6" borderId="30" xfId="0" applyFont="1" applyFill="1" applyBorder="1" applyAlignment="1" applyProtection="1">
      <alignment horizontal="center"/>
    </xf>
    <xf numFmtId="0" fontId="22" fillId="6" borderId="31" xfId="0" applyFont="1" applyFill="1" applyBorder="1" applyAlignment="1" applyProtection="1"/>
    <xf numFmtId="2" fontId="7" fillId="6" borderId="32" xfId="0" applyNumberFormat="1" applyFont="1" applyFill="1" applyBorder="1" applyAlignment="1" applyProtection="1"/>
    <xf numFmtId="2" fontId="7" fillId="6" borderId="33" xfId="0" applyNumberFormat="1" applyFont="1" applyFill="1" applyBorder="1" applyAlignment="1" applyProtection="1"/>
    <xf numFmtId="0" fontId="6" fillId="6" borderId="0" xfId="0" applyFont="1" applyFill="1" applyProtection="1"/>
    <xf numFmtId="0" fontId="6" fillId="6" borderId="27" xfId="0" applyFont="1" applyFill="1" applyBorder="1" applyAlignment="1" applyProtection="1">
      <alignment horizontal="left"/>
    </xf>
    <xf numFmtId="2" fontId="6" fillId="6" borderId="0" xfId="0" applyNumberFormat="1" applyFont="1" applyFill="1" applyProtection="1"/>
    <xf numFmtId="2" fontId="6" fillId="6" borderId="30" xfId="0" applyNumberFormat="1" applyFont="1" applyFill="1" applyBorder="1" applyAlignment="1" applyProtection="1">
      <alignment horizontal="center"/>
    </xf>
    <xf numFmtId="2" fontId="6" fillId="6" borderId="27" xfId="0" applyNumberFormat="1" applyFont="1" applyFill="1" applyBorder="1" applyAlignment="1" applyProtection="1">
      <alignment horizontal="center"/>
    </xf>
    <xf numFmtId="2" fontId="6" fillId="6" borderId="29" xfId="0" applyNumberFormat="1" applyFont="1" applyFill="1" applyBorder="1" applyAlignment="1" applyProtection="1">
      <alignment horizontal="center"/>
    </xf>
    <xf numFmtId="0" fontId="7" fillId="6" borderId="35" xfId="0" applyFont="1" applyFill="1" applyBorder="1" applyAlignment="1" applyProtection="1"/>
    <xf numFmtId="2" fontId="7" fillId="6" borderId="36" xfId="0" applyNumberFormat="1" applyFont="1" applyFill="1" applyBorder="1" applyAlignment="1" applyProtection="1"/>
    <xf numFmtId="2" fontId="7" fillId="6" borderId="37" xfId="0" applyNumberFormat="1" applyFont="1" applyFill="1" applyBorder="1" applyAlignment="1" applyProtection="1"/>
    <xf numFmtId="0" fontId="6" fillId="6" borderId="38" xfId="0" applyFont="1" applyFill="1" applyBorder="1" applyAlignment="1" applyProtection="1">
      <alignment horizontal="left"/>
    </xf>
    <xf numFmtId="0" fontId="6" fillId="6" borderId="39" xfId="0" applyFont="1" applyFill="1" applyBorder="1" applyAlignment="1" applyProtection="1">
      <alignment horizontal="left"/>
    </xf>
    <xf numFmtId="0" fontId="6" fillId="6" borderId="40" xfId="0" applyFont="1" applyFill="1" applyBorder="1" applyAlignment="1" applyProtection="1">
      <alignment horizontal="left"/>
    </xf>
    <xf numFmtId="0" fontId="6" fillId="6" borderId="41" xfId="0" applyFont="1" applyFill="1" applyBorder="1" applyAlignment="1" applyProtection="1"/>
    <xf numFmtId="0" fontId="7" fillId="6" borderId="42" xfId="0" applyFont="1" applyFill="1" applyBorder="1" applyAlignment="1" applyProtection="1"/>
    <xf numFmtId="0" fontId="7" fillId="6" borderId="43" xfId="0" applyFont="1" applyFill="1" applyBorder="1" applyAlignment="1" applyProtection="1"/>
    <xf numFmtId="0" fontId="6" fillId="6" borderId="44" xfId="0" applyFont="1" applyFill="1" applyBorder="1" applyAlignment="1" applyProtection="1">
      <alignment horizontal="left"/>
    </xf>
    <xf numFmtId="0" fontId="6" fillId="6" borderId="45" xfId="0" applyFont="1" applyFill="1" applyBorder="1" applyAlignment="1" applyProtection="1">
      <alignment horizontal="left"/>
    </xf>
    <xf numFmtId="2" fontId="6" fillId="6" borderId="46" xfId="0" applyNumberFormat="1" applyFont="1" applyFill="1" applyBorder="1" applyAlignment="1" applyProtection="1">
      <alignment horizontal="left"/>
    </xf>
    <xf numFmtId="0" fontId="6" fillId="6" borderId="47" xfId="0" applyFont="1" applyFill="1" applyBorder="1" applyAlignment="1" applyProtection="1">
      <alignment horizontal="left"/>
    </xf>
    <xf numFmtId="2" fontId="6" fillId="6" borderId="49" xfId="0" applyNumberFormat="1" applyFont="1" applyFill="1" applyBorder="1" applyAlignment="1" applyProtection="1">
      <alignment horizontal="left"/>
    </xf>
    <xf numFmtId="0" fontId="7" fillId="6" borderId="50" xfId="0" applyFont="1" applyFill="1" applyBorder="1" applyAlignment="1" applyProtection="1"/>
    <xf numFmtId="2" fontId="7" fillId="6" borderId="51" xfId="0" applyNumberFormat="1" applyFont="1" applyFill="1" applyBorder="1" applyAlignment="1" applyProtection="1"/>
    <xf numFmtId="2" fontId="7" fillId="6" borderId="52" xfId="0" applyNumberFormat="1" applyFont="1" applyFill="1" applyBorder="1" applyAlignment="1" applyProtection="1"/>
    <xf numFmtId="2" fontId="7" fillId="6" borderId="39" xfId="0" applyNumberFormat="1" applyFont="1" applyFill="1" applyBorder="1" applyAlignment="1" applyProtection="1">
      <alignment horizontal="center"/>
    </xf>
    <xf numFmtId="2" fontId="7" fillId="6" borderId="53" xfId="0" applyNumberFormat="1" applyFont="1" applyFill="1" applyBorder="1" applyAlignment="1" applyProtection="1">
      <alignment horizontal="center"/>
    </xf>
    <xf numFmtId="2" fontId="7" fillId="6" borderId="54" xfId="0" applyNumberFormat="1" applyFont="1" applyFill="1" applyBorder="1" applyAlignment="1" applyProtection="1">
      <alignment horizontal="center"/>
    </xf>
    <xf numFmtId="1" fontId="7" fillId="6" borderId="55" xfId="0" applyNumberFormat="1" applyFont="1" applyFill="1" applyBorder="1" applyAlignment="1" applyProtection="1">
      <alignment horizontal="center"/>
    </xf>
    <xf numFmtId="2" fontId="7" fillId="6" borderId="48" xfId="0" applyNumberFormat="1" applyFont="1" applyFill="1" applyBorder="1" applyAlignment="1" applyProtection="1">
      <alignment horizontal="center"/>
    </xf>
    <xf numFmtId="2" fontId="7" fillId="6" borderId="56" xfId="0" applyNumberFormat="1" applyFont="1" applyFill="1" applyBorder="1" applyAlignment="1" applyProtection="1">
      <alignment horizontal="center"/>
    </xf>
    <xf numFmtId="2" fontId="7" fillId="6" borderId="57" xfId="0" applyNumberFormat="1" applyFont="1" applyFill="1" applyBorder="1" applyAlignment="1" applyProtection="1">
      <alignment horizontal="center"/>
    </xf>
    <xf numFmtId="2" fontId="7" fillId="6" borderId="45" xfId="0" applyNumberFormat="1" applyFont="1" applyFill="1" applyBorder="1" applyAlignment="1" applyProtection="1">
      <alignment horizontal="center"/>
    </xf>
    <xf numFmtId="2" fontId="7" fillId="6" borderId="29" xfId="0" applyNumberFormat="1" applyFont="1" applyFill="1" applyBorder="1" applyAlignment="1" applyProtection="1">
      <alignment horizontal="center"/>
    </xf>
    <xf numFmtId="2" fontId="7" fillId="6" borderId="58" xfId="0" applyNumberFormat="1" applyFont="1" applyFill="1" applyBorder="1" applyAlignment="1" applyProtection="1">
      <alignment horizontal="center"/>
    </xf>
    <xf numFmtId="0" fontId="7" fillId="0" borderId="0" xfId="0" applyFont="1" applyBorder="1" applyAlignment="1" applyProtection="1"/>
    <xf numFmtId="0" fontId="7" fillId="0" borderId="0" xfId="0" applyFont="1" applyBorder="1" applyProtection="1"/>
    <xf numFmtId="0" fontId="6" fillId="6" borderId="59" xfId="0" applyFont="1" applyFill="1" applyBorder="1" applyProtection="1"/>
    <xf numFmtId="0" fontId="6" fillId="6" borderId="60" xfId="0" applyFont="1" applyFill="1" applyBorder="1" applyAlignment="1" applyProtection="1">
      <alignment horizontal="left"/>
    </xf>
    <xf numFmtId="0" fontId="6" fillId="6" borderId="61" xfId="0" applyFont="1" applyFill="1" applyBorder="1" applyAlignment="1" applyProtection="1">
      <alignment horizontal="left"/>
    </xf>
    <xf numFmtId="0" fontId="6" fillId="6" borderId="62" xfId="0" applyFont="1" applyFill="1" applyBorder="1" applyAlignment="1" applyProtection="1">
      <alignment horizontal="left"/>
    </xf>
    <xf numFmtId="0" fontId="6" fillId="6" borderId="63" xfId="0" applyFont="1" applyFill="1" applyBorder="1" applyAlignment="1" applyProtection="1">
      <alignment horizontal="left"/>
    </xf>
    <xf numFmtId="0" fontId="6" fillId="6" borderId="64" xfId="0" applyFont="1" applyFill="1" applyBorder="1" applyAlignment="1" applyProtection="1">
      <alignment horizontal="left"/>
    </xf>
    <xf numFmtId="0" fontId="6" fillId="6" borderId="65" xfId="0" applyFont="1" applyFill="1" applyBorder="1" applyAlignment="1" applyProtection="1">
      <alignment horizontal="left"/>
    </xf>
    <xf numFmtId="0" fontId="6" fillId="6" borderId="66" xfId="0" applyFont="1" applyFill="1" applyBorder="1" applyAlignment="1" applyProtection="1">
      <alignment horizontal="left"/>
    </xf>
    <xf numFmtId="0" fontId="7" fillId="6" borderId="32" xfId="0" applyFont="1" applyFill="1" applyBorder="1" applyAlignment="1" applyProtection="1"/>
    <xf numFmtId="0" fontId="6" fillId="6" borderId="50" xfId="0" applyFont="1" applyFill="1" applyBorder="1" applyAlignment="1" applyProtection="1">
      <alignment horizontal="left"/>
    </xf>
    <xf numFmtId="0" fontId="6" fillId="6" borderId="51" xfId="0" applyFont="1" applyFill="1" applyBorder="1" applyAlignment="1" applyProtection="1">
      <alignment horizontal="left"/>
    </xf>
    <xf numFmtId="0" fontId="6" fillId="6" borderId="67" xfId="0" applyFont="1" applyFill="1" applyBorder="1" applyAlignment="1" applyProtection="1">
      <alignment horizontal="left"/>
    </xf>
    <xf numFmtId="0" fontId="7" fillId="6" borderId="51" xfId="0" applyFont="1" applyFill="1" applyBorder="1" applyAlignment="1" applyProtection="1"/>
    <xf numFmtId="2" fontId="7" fillId="6" borderId="62" xfId="0" applyNumberFormat="1" applyFont="1" applyFill="1" applyBorder="1" applyAlignment="1" applyProtection="1">
      <alignment horizontal="center"/>
    </xf>
    <xf numFmtId="2" fontId="7" fillId="6" borderId="68" xfId="0" applyNumberFormat="1" applyFont="1" applyFill="1" applyBorder="1" applyAlignment="1" applyProtection="1">
      <alignment horizontal="center"/>
    </xf>
    <xf numFmtId="2" fontId="7" fillId="6" borderId="69" xfId="0" applyNumberFormat="1" applyFont="1" applyFill="1" applyBorder="1" applyAlignment="1" applyProtection="1">
      <alignment horizontal="center"/>
    </xf>
    <xf numFmtId="1" fontId="7" fillId="6" borderId="70" xfId="0" applyNumberFormat="1" applyFont="1" applyFill="1" applyBorder="1" applyAlignment="1" applyProtection="1">
      <alignment horizontal="center"/>
    </xf>
    <xf numFmtId="0" fontId="6" fillId="6" borderId="71" xfId="0" applyFont="1" applyFill="1" applyBorder="1" applyAlignment="1" applyProtection="1">
      <alignment horizontal="left"/>
    </xf>
    <xf numFmtId="2" fontId="7" fillId="6" borderId="65" xfId="0" applyNumberFormat="1" applyFont="1" applyFill="1" applyBorder="1" applyAlignment="1" applyProtection="1">
      <alignment horizontal="center"/>
    </xf>
    <xf numFmtId="2" fontId="7" fillId="6" borderId="72" xfId="0" applyNumberFormat="1" applyFont="1" applyFill="1" applyBorder="1" applyAlignment="1" applyProtection="1">
      <alignment horizontal="center"/>
    </xf>
    <xf numFmtId="2" fontId="7" fillId="6" borderId="73" xfId="0" applyNumberFormat="1" applyFont="1" applyFill="1" applyBorder="1" applyAlignment="1" applyProtection="1">
      <alignment horizontal="center"/>
    </xf>
    <xf numFmtId="1" fontId="7" fillId="6" borderId="74" xfId="0" applyNumberFormat="1" applyFont="1" applyFill="1" applyBorder="1" applyAlignment="1" applyProtection="1">
      <alignment horizontal="center"/>
    </xf>
    <xf numFmtId="2" fontId="7" fillId="6" borderId="27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5" fillId="6" borderId="14" xfId="0" applyFont="1" applyFill="1" applyBorder="1" applyAlignment="1" applyProtection="1">
      <alignment horizontal="left"/>
    </xf>
    <xf numFmtId="0" fontId="5" fillId="6" borderId="22" xfId="0" applyFont="1" applyFill="1" applyBorder="1" applyAlignment="1" applyProtection="1">
      <alignment horizontal="center"/>
    </xf>
    <xf numFmtId="0" fontId="7" fillId="6" borderId="22" xfId="0" applyFont="1" applyFill="1" applyBorder="1" applyAlignment="1" applyProtection="1">
      <alignment horizontal="center"/>
    </xf>
    <xf numFmtId="0" fontId="7" fillId="6" borderId="75" xfId="0" applyFont="1" applyFill="1" applyBorder="1" applyAlignment="1" applyProtection="1"/>
    <xf numFmtId="0" fontId="5" fillId="6" borderId="76" xfId="0" applyFont="1" applyFill="1" applyBorder="1" applyAlignment="1" applyProtection="1">
      <alignment horizontal="center"/>
    </xf>
    <xf numFmtId="0" fontId="5" fillId="6" borderId="77" xfId="0" applyFont="1" applyFill="1" applyBorder="1" applyAlignment="1" applyProtection="1">
      <alignment horizontal="center"/>
    </xf>
    <xf numFmtId="1" fontId="5" fillId="6" borderId="77" xfId="0" applyNumberFormat="1" applyFont="1" applyFill="1" applyBorder="1" applyAlignment="1" applyProtection="1">
      <alignment horizontal="center"/>
    </xf>
    <xf numFmtId="0" fontId="2" fillId="6" borderId="77" xfId="0" applyFont="1" applyFill="1" applyBorder="1" applyAlignment="1" applyProtection="1">
      <alignment horizontal="center" wrapText="1"/>
    </xf>
    <xf numFmtId="2" fontId="2" fillId="6" borderId="77" xfId="0" applyNumberFormat="1" applyFont="1" applyFill="1" applyBorder="1" applyAlignment="1" applyProtection="1">
      <alignment horizontal="center" wrapText="1"/>
    </xf>
    <xf numFmtId="2" fontId="5" fillId="6" borderId="77" xfId="0" applyNumberFormat="1" applyFont="1" applyFill="1" applyBorder="1" applyAlignment="1" applyProtection="1">
      <alignment horizontal="center"/>
    </xf>
    <xf numFmtId="0" fontId="6" fillId="6" borderId="79" xfId="0" applyFont="1" applyFill="1" applyBorder="1" applyAlignment="1" applyProtection="1">
      <alignment wrapText="1"/>
    </xf>
    <xf numFmtId="0" fontId="7" fillId="6" borderId="80" xfId="0" applyFont="1" applyFill="1" applyBorder="1" applyAlignment="1" applyProtection="1"/>
    <xf numFmtId="0" fontId="7" fillId="6" borderId="81" xfId="0" applyFont="1" applyFill="1" applyBorder="1" applyAlignment="1" applyProtection="1"/>
    <xf numFmtId="0" fontId="7" fillId="6" borderId="72" xfId="0" applyFont="1" applyFill="1" applyBorder="1" applyAlignment="1" applyProtection="1"/>
    <xf numFmtId="0" fontId="7" fillId="6" borderId="82" xfId="0" applyFont="1" applyFill="1" applyBorder="1" applyAlignment="1" applyProtection="1"/>
    <xf numFmtId="2" fontId="7" fillId="6" borderId="84" xfId="0" applyNumberFormat="1" applyFont="1" applyFill="1" applyBorder="1" applyAlignment="1" applyProtection="1">
      <alignment horizontal="center"/>
    </xf>
    <xf numFmtId="0" fontId="25" fillId="0" borderId="0" xfId="0" applyFont="1" applyBorder="1" applyProtection="1"/>
    <xf numFmtId="0" fontId="6" fillId="0" borderId="85" xfId="0" applyFont="1" applyFill="1" applyBorder="1" applyAlignment="1" applyProtection="1">
      <alignment horizontal="right"/>
    </xf>
    <xf numFmtId="0" fontId="2" fillId="5" borderId="61" xfId="0" applyFont="1" applyFill="1" applyBorder="1" applyProtection="1"/>
    <xf numFmtId="0" fontId="2" fillId="5" borderId="62" xfId="0" applyNumberFormat="1" applyFont="1" applyFill="1" applyBorder="1" applyProtection="1"/>
    <xf numFmtId="0" fontId="14" fillId="5" borderId="64" xfId="0" applyFont="1" applyFill="1" applyBorder="1" applyProtection="1"/>
    <xf numFmtId="0" fontId="2" fillId="5" borderId="65" xfId="0" applyNumberFormat="1" applyFont="1" applyFill="1" applyBorder="1" applyProtection="1"/>
    <xf numFmtId="0" fontId="2" fillId="7" borderId="87" xfId="0" applyNumberFormat="1" applyFont="1" applyFill="1" applyBorder="1" applyProtection="1"/>
    <xf numFmtId="0" fontId="13" fillId="5" borderId="65" xfId="0" applyFont="1" applyFill="1" applyBorder="1" applyProtection="1"/>
    <xf numFmtId="0" fontId="15" fillId="5" borderId="64" xfId="0" applyFont="1" applyFill="1" applyBorder="1" applyProtection="1"/>
    <xf numFmtId="0" fontId="0" fillId="5" borderId="65" xfId="0" applyFill="1" applyBorder="1" applyProtection="1"/>
    <xf numFmtId="0" fontId="2" fillId="0" borderId="0" xfId="0" applyNumberFormat="1" applyFont="1" applyFill="1" applyBorder="1" applyProtection="1"/>
    <xf numFmtId="0" fontId="2" fillId="4" borderId="88" xfId="0" applyFont="1" applyFill="1" applyBorder="1" applyProtection="1"/>
    <xf numFmtId="0" fontId="0" fillId="4" borderId="32" xfId="0" applyFill="1" applyBorder="1" applyProtection="1"/>
    <xf numFmtId="165" fontId="0" fillId="4" borderId="32" xfId="0" applyNumberFormat="1" applyFill="1" applyBorder="1" applyAlignment="1" applyProtection="1">
      <alignment horizontal="left"/>
    </xf>
    <xf numFmtId="0" fontId="0" fillId="4" borderId="65" xfId="0" applyFill="1" applyBorder="1" applyProtection="1"/>
    <xf numFmtId="165" fontId="0" fillId="4" borderId="65" xfId="0" applyNumberFormat="1" applyFill="1" applyBorder="1" applyAlignment="1" applyProtection="1">
      <alignment horizontal="left"/>
    </xf>
    <xf numFmtId="49" fontId="14" fillId="5" borderId="64" xfId="0" applyNumberFormat="1" applyFont="1" applyFill="1" applyBorder="1" applyProtection="1"/>
    <xf numFmtId="49" fontId="0" fillId="4" borderId="65" xfId="0" applyNumberFormat="1" applyFill="1" applyBorder="1" applyAlignment="1" applyProtection="1">
      <alignment horizontal="left"/>
    </xf>
    <xf numFmtId="0" fontId="0" fillId="4" borderId="51" xfId="0" applyFill="1" applyBorder="1" applyProtection="1"/>
    <xf numFmtId="49" fontId="3" fillId="4" borderId="51" xfId="0" applyNumberFormat="1" applyFont="1" applyFill="1" applyBorder="1" applyAlignment="1" applyProtection="1">
      <alignment horizontal="left"/>
    </xf>
    <xf numFmtId="0" fontId="15" fillId="5" borderId="16" xfId="0" applyFont="1" applyFill="1" applyBorder="1" applyProtection="1"/>
    <xf numFmtId="0" fontId="0" fillId="5" borderId="27" xfId="0" applyFill="1" applyBorder="1" applyProtection="1"/>
    <xf numFmtId="2" fontId="3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5" borderId="60" xfId="0" applyFont="1" applyFill="1" applyBorder="1" applyAlignment="1" applyProtection="1">
      <alignment wrapText="1"/>
    </xf>
    <xf numFmtId="0" fontId="0" fillId="4" borderId="64" xfId="0" applyFill="1" applyBorder="1" applyProtection="1"/>
    <xf numFmtId="0" fontId="2" fillId="8" borderId="71" xfId="0" applyNumberFormat="1" applyFont="1" applyFill="1" applyBorder="1" applyProtection="1"/>
    <xf numFmtId="0" fontId="2" fillId="0" borderId="71" xfId="0" applyFont="1" applyFill="1" applyBorder="1" applyAlignment="1" applyProtection="1">
      <alignment horizontal="left"/>
    </xf>
    <xf numFmtId="0" fontId="2" fillId="4" borderId="71" xfId="0" applyFont="1" applyFill="1" applyBorder="1" applyProtection="1"/>
    <xf numFmtId="0" fontId="3" fillId="0" borderId="71" xfId="0" applyFont="1" applyBorder="1" applyAlignment="1" applyProtection="1">
      <alignment horizontal="left"/>
    </xf>
    <xf numFmtId="0" fontId="0" fillId="0" borderId="71" xfId="0" applyBorder="1" applyAlignment="1" applyProtection="1">
      <alignment horizontal="left"/>
    </xf>
    <xf numFmtId="2" fontId="0" fillId="0" borderId="0" xfId="0" applyNumberFormat="1" applyAlignment="1" applyProtection="1">
      <alignment horizontal="center"/>
    </xf>
    <xf numFmtId="0" fontId="12" fillId="0" borderId="0" xfId="0" applyFont="1" applyFill="1" applyBorder="1" applyAlignment="1" applyProtection="1">
      <alignment horizontal="right"/>
    </xf>
    <xf numFmtId="0" fontId="12" fillId="6" borderId="3" xfId="0" applyNumberFormat="1" applyFont="1" applyFill="1" applyBorder="1" applyProtection="1"/>
    <xf numFmtId="0" fontId="11" fillId="6" borderId="92" xfId="0" applyFont="1" applyFill="1" applyBorder="1" applyProtection="1"/>
    <xf numFmtId="0" fontId="11" fillId="6" borderId="4" xfId="0" applyFont="1" applyFill="1" applyBorder="1" applyProtection="1"/>
    <xf numFmtId="0" fontId="11" fillId="0" borderId="0" xfId="0" applyFont="1" applyProtection="1"/>
    <xf numFmtId="0" fontId="12" fillId="0" borderId="93" xfId="0" applyFont="1" applyFill="1" applyBorder="1" applyAlignment="1" applyProtection="1">
      <alignment horizontal="right"/>
    </xf>
    <xf numFmtId="0" fontId="12" fillId="0" borderId="92" xfId="0" applyNumberFormat="1" applyFont="1" applyFill="1" applyBorder="1" applyProtection="1"/>
    <xf numFmtId="0" fontId="11" fillId="0" borderId="92" xfId="0" applyFont="1" applyFill="1" applyBorder="1" applyProtection="1"/>
    <xf numFmtId="0" fontId="11" fillId="0" borderId="93" xfId="0" applyFont="1" applyBorder="1" applyProtection="1"/>
    <xf numFmtId="0" fontId="11" fillId="0" borderId="0" xfId="0" applyFont="1" applyBorder="1" applyProtection="1"/>
    <xf numFmtId="0" fontId="5" fillId="6" borderId="94" xfId="0" applyFont="1" applyFill="1" applyBorder="1" applyProtection="1"/>
    <xf numFmtId="0" fontId="5" fillId="6" borderId="95" xfId="0" applyFont="1" applyFill="1" applyBorder="1" applyProtection="1"/>
    <xf numFmtId="0" fontId="11" fillId="4" borderId="96" xfId="0" applyFont="1" applyFill="1" applyBorder="1" applyProtection="1"/>
    <xf numFmtId="0" fontId="5" fillId="6" borderId="97" xfId="0" applyFont="1" applyFill="1" applyBorder="1" applyProtection="1"/>
    <xf numFmtId="0" fontId="5" fillId="6" borderId="98" xfId="0" applyFont="1" applyFill="1" applyBorder="1" applyProtection="1"/>
    <xf numFmtId="0" fontId="2" fillId="6" borderId="98" xfId="0" applyFont="1" applyFill="1" applyBorder="1" applyAlignment="1" applyProtection="1">
      <alignment wrapText="1"/>
    </xf>
    <xf numFmtId="2" fontId="2" fillId="6" borderId="99" xfId="0" applyNumberFormat="1" applyFont="1" applyFill="1" applyBorder="1" applyAlignment="1" applyProtection="1">
      <alignment wrapText="1"/>
    </xf>
    <xf numFmtId="2" fontId="5" fillId="6" borderId="99" xfId="0" applyNumberFormat="1" applyFont="1" applyFill="1" applyBorder="1" applyProtection="1"/>
    <xf numFmtId="2" fontId="5" fillId="6" borderId="98" xfId="0" applyNumberFormat="1" applyFont="1" applyFill="1" applyBorder="1" applyProtection="1"/>
    <xf numFmtId="0" fontId="5" fillId="4" borderId="100" xfId="0" applyFont="1" applyFill="1" applyBorder="1" applyProtection="1"/>
    <xf numFmtId="0" fontId="11" fillId="6" borderId="67" xfId="0" applyFont="1" applyFill="1" applyBorder="1" applyProtection="1"/>
    <xf numFmtId="2" fontId="11" fillId="6" borderId="67" xfId="0" applyNumberFormat="1" applyFont="1" applyFill="1" applyBorder="1" applyProtection="1"/>
    <xf numFmtId="0" fontId="11" fillId="6" borderId="71" xfId="0" applyFont="1" applyFill="1" applyBorder="1" applyProtection="1"/>
    <xf numFmtId="0" fontId="11" fillId="0" borderId="0" xfId="0" applyFont="1" applyAlignment="1" applyProtection="1">
      <alignment horizontal="center"/>
    </xf>
    <xf numFmtId="165" fontId="11" fillId="0" borderId="0" xfId="0" applyNumberFormat="1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/>
    </xf>
    <xf numFmtId="0" fontId="11" fillId="0" borderId="0" xfId="0" applyFont="1" applyFill="1" applyProtection="1"/>
    <xf numFmtId="0" fontId="5" fillId="6" borderId="103" xfId="0" applyFont="1" applyFill="1" applyBorder="1" applyProtection="1"/>
    <xf numFmtId="0" fontId="5" fillId="6" borderId="104" xfId="0" applyFont="1" applyFill="1" applyBorder="1" applyAlignment="1" applyProtection="1">
      <alignment horizontal="center"/>
    </xf>
    <xf numFmtId="0" fontId="18" fillId="6" borderId="105" xfId="0" applyFont="1" applyFill="1" applyBorder="1" applyAlignment="1" applyProtection="1">
      <alignment horizontal="center"/>
    </xf>
    <xf numFmtId="0" fontId="5" fillId="6" borderId="106" xfId="0" applyFont="1" applyFill="1" applyBorder="1" applyAlignment="1" applyProtection="1">
      <alignment horizontal="center"/>
    </xf>
    <xf numFmtId="0" fontId="5" fillId="6" borderId="105" xfId="0" applyFont="1" applyFill="1" applyBorder="1" applyAlignment="1" applyProtection="1">
      <alignment horizontal="center"/>
    </xf>
    <xf numFmtId="0" fontId="5" fillId="6" borderId="96" xfId="0" applyFont="1" applyFill="1" applyBorder="1" applyAlignment="1" applyProtection="1">
      <alignment horizontal="center"/>
    </xf>
    <xf numFmtId="0" fontId="0" fillId="0" borderId="0" xfId="0" applyProtection="1"/>
    <xf numFmtId="0" fontId="5" fillId="6" borderId="107" xfId="0" applyFont="1" applyFill="1" applyBorder="1" applyProtection="1"/>
    <xf numFmtId="0" fontId="5" fillId="6" borderId="30" xfId="0" applyFont="1" applyFill="1" applyBorder="1" applyAlignment="1" applyProtection="1">
      <alignment horizontal="center"/>
    </xf>
    <xf numFmtId="0" fontId="5" fillId="6" borderId="27" xfId="0" applyFont="1" applyFill="1" applyBorder="1" applyAlignment="1" applyProtection="1">
      <alignment horizontal="center"/>
    </xf>
    <xf numFmtId="0" fontId="5" fillId="6" borderId="29" xfId="0" applyFont="1" applyFill="1" applyBorder="1" applyAlignment="1" applyProtection="1">
      <alignment horizontal="center"/>
    </xf>
    <xf numFmtId="0" fontId="5" fillId="6" borderId="108" xfId="0" applyFont="1" applyFill="1" applyBorder="1" applyAlignment="1" applyProtection="1">
      <alignment horizontal="center"/>
    </xf>
    <xf numFmtId="0" fontId="5" fillId="6" borderId="109" xfId="0" applyFont="1" applyFill="1" applyBorder="1" applyAlignment="1" applyProtection="1">
      <alignment horizontal="left"/>
    </xf>
    <xf numFmtId="2" fontId="15" fillId="6" borderId="110" xfId="0" applyNumberFormat="1" applyFont="1" applyFill="1" applyBorder="1" applyAlignment="1" applyProtection="1">
      <alignment horizontal="center"/>
    </xf>
    <xf numFmtId="2" fontId="15" fillId="6" borderId="45" xfId="0" applyNumberFormat="1" applyFont="1" applyFill="1" applyBorder="1" applyAlignment="1" applyProtection="1">
      <alignment horizontal="center"/>
    </xf>
    <xf numFmtId="2" fontId="15" fillId="6" borderId="111" xfId="0" applyNumberFormat="1" applyFont="1" applyFill="1" applyBorder="1" applyAlignment="1" applyProtection="1">
      <alignment horizontal="center"/>
    </xf>
    <xf numFmtId="2" fontId="11" fillId="6" borderId="112" xfId="0" applyNumberFormat="1" applyFont="1" applyFill="1" applyBorder="1" applyAlignment="1" applyProtection="1">
      <alignment horizontal="center"/>
    </xf>
    <xf numFmtId="2" fontId="15" fillId="6" borderId="113" xfId="0" applyNumberFormat="1" applyFont="1" applyFill="1" applyBorder="1" applyAlignment="1" applyProtection="1">
      <alignment horizontal="center"/>
    </xf>
    <xf numFmtId="2" fontId="11" fillId="6" borderId="114" xfId="0" applyNumberFormat="1" applyFont="1" applyFill="1" applyBorder="1" applyAlignment="1" applyProtection="1">
      <alignment horizontal="center"/>
    </xf>
    <xf numFmtId="2" fontId="5" fillId="6" borderId="115" xfId="0" applyNumberFormat="1" applyFont="1" applyFill="1" applyBorder="1" applyAlignment="1" applyProtection="1">
      <alignment horizontal="left"/>
    </xf>
    <xf numFmtId="2" fontId="15" fillId="6" borderId="39" xfId="0" applyNumberFormat="1" applyFont="1" applyFill="1" applyBorder="1" applyAlignment="1" applyProtection="1">
      <alignment horizontal="center"/>
    </xf>
    <xf numFmtId="2" fontId="15" fillId="6" borderId="116" xfId="0" applyNumberFormat="1" applyFont="1" applyFill="1" applyBorder="1" applyAlignment="1" applyProtection="1">
      <alignment horizontal="center"/>
    </xf>
    <xf numFmtId="2" fontId="11" fillId="6" borderId="117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2" fontId="5" fillId="6" borderId="118" xfId="0" applyNumberFormat="1" applyFont="1" applyFill="1" applyBorder="1" applyAlignment="1" applyProtection="1">
      <alignment horizontal="left"/>
    </xf>
    <xf numFmtId="2" fontId="15" fillId="6" borderId="119" xfId="0" applyNumberFormat="1" applyFont="1" applyFill="1" applyBorder="1" applyAlignment="1" applyProtection="1">
      <alignment horizontal="center"/>
    </xf>
    <xf numFmtId="2" fontId="15" fillId="6" borderId="48" xfId="0" applyNumberFormat="1" applyFont="1" applyFill="1" applyBorder="1" applyAlignment="1" applyProtection="1">
      <alignment horizontal="center"/>
    </xf>
    <xf numFmtId="2" fontId="15" fillId="6" borderId="12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2" fontId="5" fillId="0" borderId="0" xfId="0" applyNumberFormat="1" applyFont="1" applyFill="1" applyBorder="1" applyProtection="1"/>
    <xf numFmtId="0" fontId="11" fillId="0" borderId="0" xfId="0" applyFont="1" applyFill="1" applyBorder="1" applyProtection="1"/>
    <xf numFmtId="2" fontId="11" fillId="0" borderId="0" xfId="0" applyNumberFormat="1" applyFont="1" applyFill="1" applyBorder="1" applyProtection="1"/>
    <xf numFmtId="0" fontId="5" fillId="0" borderId="0" xfId="0" applyFont="1" applyBorder="1" applyProtection="1"/>
    <xf numFmtId="2" fontId="11" fillId="0" borderId="0" xfId="0" applyNumberFormat="1" applyFont="1" applyBorder="1" applyProtection="1"/>
    <xf numFmtId="0" fontId="11" fillId="0" borderId="92" xfId="0" applyFont="1" applyBorder="1" applyProtection="1"/>
    <xf numFmtId="0" fontId="5" fillId="6" borderId="121" xfId="0" applyFont="1" applyFill="1" applyBorder="1" applyProtection="1"/>
    <xf numFmtId="2" fontId="5" fillId="6" borderId="95" xfId="0" applyNumberFormat="1" applyFont="1" applyFill="1" applyBorder="1" applyProtection="1"/>
    <xf numFmtId="0" fontId="5" fillId="4" borderId="96" xfId="0" applyFont="1" applyFill="1" applyBorder="1" applyProtection="1"/>
    <xf numFmtId="2" fontId="2" fillId="6" borderId="98" xfId="0" applyNumberFormat="1" applyFont="1" applyFill="1" applyBorder="1" applyAlignment="1" applyProtection="1">
      <alignment wrapText="1"/>
    </xf>
    <xf numFmtId="0" fontId="5" fillId="4" borderId="78" xfId="0" applyFont="1" applyFill="1" applyBorder="1" applyProtection="1"/>
    <xf numFmtId="0" fontId="11" fillId="4" borderId="122" xfId="0" applyFont="1" applyFill="1" applyBorder="1" applyProtection="1"/>
    <xf numFmtId="0" fontId="11" fillId="4" borderId="123" xfId="0" applyFont="1" applyFill="1" applyBorder="1" applyProtection="1"/>
    <xf numFmtId="2" fontId="5" fillId="6" borderId="104" xfId="0" applyNumberFormat="1" applyFont="1" applyFill="1" applyBorder="1" applyAlignment="1" applyProtection="1">
      <alignment horizontal="center"/>
    </xf>
    <xf numFmtId="2" fontId="5" fillId="6" borderId="105" xfId="0" applyNumberFormat="1" applyFont="1" applyFill="1" applyBorder="1" applyAlignment="1" applyProtection="1">
      <alignment horizontal="center"/>
    </xf>
    <xf numFmtId="2" fontId="5" fillId="6" borderId="106" xfId="0" applyNumberFormat="1" applyFont="1" applyFill="1" applyBorder="1" applyAlignment="1" applyProtection="1">
      <alignment horizontal="center"/>
    </xf>
    <xf numFmtId="2" fontId="5" fillId="6" borderId="96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2" fontId="5" fillId="6" borderId="30" xfId="0" applyNumberFormat="1" applyFont="1" applyFill="1" applyBorder="1" applyAlignment="1" applyProtection="1">
      <alignment horizontal="center"/>
    </xf>
    <xf numFmtId="2" fontId="5" fillId="6" borderId="27" xfId="0" applyNumberFormat="1" applyFont="1" applyFill="1" applyBorder="1" applyAlignment="1" applyProtection="1">
      <alignment horizontal="center"/>
    </xf>
    <xf numFmtId="2" fontId="5" fillId="6" borderId="29" xfId="0" applyNumberFormat="1" applyFont="1" applyFill="1" applyBorder="1" applyAlignment="1" applyProtection="1">
      <alignment horizontal="center"/>
    </xf>
    <xf numFmtId="2" fontId="5" fillId="6" borderId="108" xfId="0" applyNumberFormat="1" applyFont="1" applyFill="1" applyBorder="1" applyAlignment="1" applyProtection="1">
      <alignment horizontal="center"/>
    </xf>
    <xf numFmtId="2" fontId="11" fillId="6" borderId="110" xfId="0" applyNumberFormat="1" applyFont="1" applyFill="1" applyBorder="1" applyAlignment="1" applyProtection="1">
      <alignment horizontal="center"/>
    </xf>
    <xf numFmtId="2" fontId="11" fillId="6" borderId="45" xfId="0" applyNumberFormat="1" applyFont="1" applyFill="1" applyBorder="1" applyAlignment="1" applyProtection="1">
      <alignment horizontal="center"/>
    </xf>
    <xf numFmtId="2" fontId="11" fillId="6" borderId="57" xfId="0" applyNumberFormat="1" applyFont="1" applyFill="1" applyBorder="1" applyAlignment="1" applyProtection="1">
      <alignment horizontal="center"/>
    </xf>
    <xf numFmtId="2" fontId="11" fillId="6" borderId="119" xfId="0" applyNumberFormat="1" applyFont="1" applyFill="1" applyBorder="1" applyAlignment="1" applyProtection="1">
      <alignment horizontal="center"/>
    </xf>
    <xf numFmtId="2" fontId="11" fillId="6" borderId="40" xfId="0" applyNumberFormat="1" applyFont="1" applyFill="1" applyBorder="1" applyAlignment="1" applyProtection="1">
      <alignment horizontal="center"/>
    </xf>
    <xf numFmtId="2" fontId="11" fillId="6" borderId="116" xfId="0" applyNumberFormat="1" applyFont="1" applyFill="1" applyBorder="1" applyAlignment="1" applyProtection="1">
      <alignment horizontal="center"/>
    </xf>
    <xf numFmtId="0" fontId="5" fillId="6" borderId="118" xfId="0" applyFont="1" applyFill="1" applyBorder="1" applyAlignment="1" applyProtection="1">
      <alignment horizontal="left"/>
    </xf>
    <xf numFmtId="2" fontId="11" fillId="6" borderId="49" xfId="0" applyNumberFormat="1" applyFont="1" applyFill="1" applyBorder="1" applyAlignment="1" applyProtection="1">
      <alignment horizontal="center"/>
    </xf>
    <xf numFmtId="2" fontId="11" fillId="6" borderId="120" xfId="0" applyNumberFormat="1" applyFont="1" applyFill="1" applyBorder="1" applyAlignment="1" applyProtection="1">
      <alignment horizontal="center"/>
    </xf>
    <xf numFmtId="2" fontId="11" fillId="3" borderId="0" xfId="0" applyNumberFormat="1" applyFont="1" applyFill="1" applyBorder="1" applyAlignment="1" applyProtection="1">
      <alignment horizontal="right"/>
    </xf>
    <xf numFmtId="0" fontId="11" fillId="3" borderId="0" xfId="0" applyFont="1" applyFill="1" applyBorder="1" applyAlignment="1" applyProtection="1">
      <alignment horizontal="right"/>
    </xf>
    <xf numFmtId="0" fontId="16" fillId="0" borderId="0" xfId="0" applyFont="1" applyBorder="1" applyProtection="1"/>
    <xf numFmtId="0" fontId="3" fillId="5" borderId="22" xfId="0" applyNumberFormat="1" applyFont="1" applyFill="1" applyBorder="1" applyProtection="1"/>
    <xf numFmtId="0" fontId="0" fillId="0" borderId="124" xfId="0" applyBorder="1" applyProtection="1"/>
    <xf numFmtId="0" fontId="0" fillId="5" borderId="91" xfId="0" applyNumberFormat="1" applyFill="1" applyBorder="1" applyProtection="1"/>
    <xf numFmtId="6" fontId="2" fillId="5" borderId="65" xfId="0" applyNumberFormat="1" applyFont="1" applyFill="1" applyBorder="1" applyProtection="1"/>
    <xf numFmtId="0" fontId="0" fillId="5" borderId="65" xfId="0" applyNumberFormat="1" applyFill="1" applyBorder="1" applyProtection="1"/>
    <xf numFmtId="6" fontId="2" fillId="5" borderId="126" xfId="0" applyNumberFormat="1" applyFont="1" applyFill="1" applyBorder="1" applyProtection="1"/>
    <xf numFmtId="0" fontId="26" fillId="0" borderId="0" xfId="0" applyFont="1" applyBorder="1" applyProtection="1"/>
    <xf numFmtId="0" fontId="0" fillId="4" borderId="127" xfId="0" applyFill="1" applyBorder="1" applyProtection="1"/>
    <xf numFmtId="0" fontId="0" fillId="5" borderId="0" xfId="0" applyNumberFormat="1" applyFill="1" applyBorder="1" applyProtection="1"/>
    <xf numFmtId="0" fontId="0" fillId="5" borderId="124" xfId="0" applyNumberFormat="1" applyFill="1" applyBorder="1" applyProtection="1"/>
    <xf numFmtId="0" fontId="2" fillId="5" borderId="129" xfId="0" applyNumberFormat="1" applyFont="1" applyFill="1" applyBorder="1" applyProtection="1"/>
    <xf numFmtId="0" fontId="0" fillId="5" borderId="130" xfId="0" applyNumberFormat="1" applyFill="1" applyBorder="1" applyProtection="1"/>
    <xf numFmtId="0" fontId="3" fillId="6" borderId="5" xfId="0" applyFont="1" applyFill="1" applyBorder="1" applyAlignment="1">
      <alignment horizontal="left"/>
    </xf>
    <xf numFmtId="0" fontId="3" fillId="4" borderId="5" xfId="0" applyFont="1" applyFill="1" applyBorder="1" applyAlignment="1" applyProtection="1">
      <alignment horizontal="right"/>
    </xf>
    <xf numFmtId="2" fontId="3" fillId="4" borderId="5" xfId="0" applyNumberFormat="1" applyFont="1" applyFill="1" applyBorder="1" applyAlignment="1" applyProtection="1">
      <alignment horizontal="right"/>
    </xf>
    <xf numFmtId="2" fontId="3" fillId="6" borderId="5" xfId="0" applyNumberFormat="1" applyFont="1" applyFill="1" applyBorder="1" applyAlignment="1" applyProtection="1">
      <alignment horizontal="right"/>
    </xf>
    <xf numFmtId="2" fontId="3" fillId="4" borderId="5" xfId="0" quotePrefix="1" applyNumberFormat="1" applyFont="1" applyFill="1" applyBorder="1" applyAlignment="1" applyProtection="1">
      <alignment horizontal="right"/>
    </xf>
    <xf numFmtId="164" fontId="0" fillId="0" borderId="0" xfId="0" applyNumberFormat="1" applyBorder="1"/>
    <xf numFmtId="164" fontId="6" fillId="0" borderId="0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 applyProtection="1">
      <alignment horizontal="right"/>
    </xf>
    <xf numFmtId="164" fontId="3" fillId="4" borderId="5" xfId="0" quotePrefix="1" applyNumberFormat="1" applyFont="1" applyFill="1" applyBorder="1" applyAlignment="1" applyProtection="1">
      <alignment horizontal="right"/>
    </xf>
    <xf numFmtId="164" fontId="0" fillId="4" borderId="9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4" borderId="2" xfId="0" applyNumberFormat="1" applyFont="1" applyFill="1" applyBorder="1" applyAlignment="1">
      <alignment horizontal="center" wrapText="1"/>
    </xf>
    <xf numFmtId="0" fontId="2" fillId="5" borderId="129" xfId="0" applyFont="1" applyFill="1" applyBorder="1" applyAlignment="1" applyProtection="1">
      <alignment horizontal="right"/>
    </xf>
    <xf numFmtId="0" fontId="2" fillId="5" borderId="18" xfId="0" applyNumberFormat="1" applyFont="1" applyFill="1" applyBorder="1" applyProtection="1"/>
    <xf numFmtId="0" fontId="6" fillId="4" borderId="4" xfId="0" applyNumberFormat="1" applyFont="1" applyFill="1" applyBorder="1" applyAlignment="1" applyProtection="1">
      <alignment horizontal="center"/>
    </xf>
    <xf numFmtId="164" fontId="2" fillId="0" borderId="71" xfId="0" applyNumberFormat="1" applyFont="1" applyFill="1" applyBorder="1" applyAlignment="1" applyProtection="1">
      <alignment horizontal="right"/>
    </xf>
    <xf numFmtId="164" fontId="3" fillId="0" borderId="71" xfId="0" applyNumberFormat="1" applyFont="1" applyBorder="1" applyAlignment="1" applyProtection="1">
      <alignment horizontal="right"/>
    </xf>
    <xf numFmtId="0" fontId="5" fillId="4" borderId="131" xfId="0" applyFont="1" applyFill="1" applyBorder="1" applyProtection="1"/>
    <xf numFmtId="0" fontId="5" fillId="4" borderId="132" xfId="0" applyFont="1" applyFill="1" applyBorder="1" applyProtection="1"/>
    <xf numFmtId="0" fontId="5" fillId="4" borderId="133" xfId="0" applyFont="1" applyFill="1" applyBorder="1" applyProtection="1"/>
    <xf numFmtId="2" fontId="11" fillId="4" borderId="66" xfId="0" applyNumberFormat="1" applyFont="1" applyFill="1" applyBorder="1" applyProtection="1"/>
    <xf numFmtId="2" fontId="11" fillId="4" borderId="134" xfId="0" applyNumberFormat="1" applyFont="1" applyFill="1" applyBorder="1" applyProtection="1"/>
    <xf numFmtId="2" fontId="11" fillId="4" borderId="135" xfId="0" applyNumberFormat="1" applyFont="1" applyFill="1" applyBorder="1" applyProtection="1"/>
    <xf numFmtId="2" fontId="11" fillId="4" borderId="136" xfId="0" applyNumberFormat="1" applyFont="1" applyFill="1" applyBorder="1" applyProtection="1"/>
    <xf numFmtId="0" fontId="11" fillId="4" borderId="137" xfId="0" applyNumberFormat="1" applyFont="1" applyFill="1" applyBorder="1" applyProtection="1"/>
    <xf numFmtId="0" fontId="11" fillId="4" borderId="138" xfId="0" applyNumberFormat="1" applyFont="1" applyFill="1" applyBorder="1" applyProtection="1"/>
    <xf numFmtId="2" fontId="5" fillId="4" borderId="131" xfId="0" applyNumberFormat="1" applyFont="1" applyFill="1" applyBorder="1" applyProtection="1"/>
    <xf numFmtId="2" fontId="5" fillId="4" borderId="132" xfId="0" applyNumberFormat="1" applyFont="1" applyFill="1" applyBorder="1" applyProtection="1"/>
    <xf numFmtId="0" fontId="12" fillId="4" borderId="132" xfId="0" applyFont="1" applyFill="1" applyBorder="1" applyAlignment="1" applyProtection="1">
      <alignment horizontal="center"/>
    </xf>
    <xf numFmtId="0" fontId="5" fillId="4" borderId="133" xfId="0" applyFont="1" applyFill="1" applyBorder="1" applyAlignment="1" applyProtection="1">
      <alignment horizontal="center"/>
    </xf>
    <xf numFmtId="2" fontId="11" fillId="4" borderId="66" xfId="0" applyNumberFormat="1" applyFont="1" applyFill="1" applyBorder="1" applyAlignment="1" applyProtection="1">
      <alignment horizontal="center"/>
    </xf>
    <xf numFmtId="2" fontId="11" fillId="4" borderId="134" xfId="0" applyNumberFormat="1" applyFont="1" applyFill="1" applyBorder="1" applyAlignment="1" applyProtection="1">
      <alignment horizontal="center"/>
    </xf>
    <xf numFmtId="2" fontId="11" fillId="4" borderId="135" xfId="0" applyNumberFormat="1" applyFont="1" applyFill="1" applyBorder="1" applyAlignment="1" applyProtection="1">
      <alignment horizontal="center"/>
    </xf>
    <xf numFmtId="2" fontId="11" fillId="4" borderId="136" xfId="0" applyNumberFormat="1" applyFont="1" applyFill="1" applyBorder="1" applyAlignment="1" applyProtection="1">
      <alignment horizontal="center"/>
    </xf>
    <xf numFmtId="165" fontId="7" fillId="6" borderId="140" xfId="0" applyNumberFormat="1" applyFont="1" applyFill="1" applyBorder="1" applyAlignment="1" applyProtection="1">
      <alignment horizontal="center"/>
    </xf>
    <xf numFmtId="0" fontId="7" fillId="6" borderId="141" xfId="0" applyNumberFormat="1" applyFont="1" applyFill="1" applyBorder="1" applyAlignment="1" applyProtection="1">
      <alignment horizontal="center"/>
    </xf>
    <xf numFmtId="165" fontId="7" fillId="6" borderId="141" xfId="0" applyNumberFormat="1" applyFont="1" applyFill="1" applyBorder="1" applyAlignment="1" applyProtection="1">
      <alignment horizontal="center"/>
    </xf>
    <xf numFmtId="1" fontId="7" fillId="6" borderId="141" xfId="0" applyNumberFormat="1" applyFont="1" applyFill="1" applyBorder="1" applyAlignment="1" applyProtection="1">
      <alignment horizontal="center"/>
    </xf>
    <xf numFmtId="2" fontId="7" fillId="6" borderId="141" xfId="0" applyNumberFormat="1" applyFont="1" applyFill="1" applyBorder="1" applyAlignment="1" applyProtection="1">
      <alignment horizontal="center"/>
    </xf>
    <xf numFmtId="2" fontId="7" fillId="6" borderId="140" xfId="0" applyNumberFormat="1" applyFont="1" applyFill="1" applyBorder="1" applyAlignment="1" applyProtection="1">
      <alignment horizontal="center"/>
    </xf>
    <xf numFmtId="2" fontId="7" fillId="6" borderId="67" xfId="0" applyNumberFormat="1" applyFont="1" applyFill="1" applyBorder="1" applyAlignment="1" applyProtection="1">
      <alignment horizontal="center"/>
    </xf>
    <xf numFmtId="2" fontId="7" fillId="6" borderId="142" xfId="0" applyNumberFormat="1" applyFont="1" applyFill="1" applyBorder="1" applyAlignment="1" applyProtection="1">
      <alignment horizontal="left"/>
    </xf>
    <xf numFmtId="0" fontId="7" fillId="6" borderId="140" xfId="0" applyNumberFormat="1" applyFont="1" applyFill="1" applyBorder="1" applyAlignment="1" applyProtection="1">
      <alignment horizontal="center"/>
    </xf>
    <xf numFmtId="1" fontId="7" fillId="6" borderId="140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2" fontId="11" fillId="0" borderId="0" xfId="0" applyNumberFormat="1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left"/>
    </xf>
    <xf numFmtId="0" fontId="16" fillId="0" borderId="0" xfId="0" applyFont="1" applyFill="1" applyBorder="1" applyAlignment="1" applyProtection="1">
      <alignment horizontal="left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 applyProtection="1">
      <alignment horizontal="center" wrapText="1"/>
    </xf>
    <xf numFmtId="0" fontId="0" fillId="0" borderId="0" xfId="0" applyAlignment="1">
      <alignment wrapText="1"/>
    </xf>
    <xf numFmtId="2" fontId="13" fillId="4" borderId="61" xfId="0" applyNumberFormat="1" applyFont="1" applyFill="1" applyBorder="1" applyAlignment="1" applyProtection="1">
      <alignment horizontal="center" wrapText="1"/>
    </xf>
    <xf numFmtId="0" fontId="2" fillId="8" borderId="60" xfId="0" applyNumberFormat="1" applyFont="1" applyFill="1" applyBorder="1" applyAlignment="1" applyProtection="1">
      <alignment wrapText="1"/>
    </xf>
    <xf numFmtId="0" fontId="2" fillId="0" borderId="60" xfId="0" applyFont="1" applyBorder="1" applyAlignment="1" applyProtection="1">
      <alignment wrapText="1"/>
    </xf>
    <xf numFmtId="0" fontId="2" fillId="4" borderId="60" xfId="0" applyFont="1" applyFill="1" applyBorder="1" applyAlignment="1" applyProtection="1">
      <alignment wrapText="1"/>
    </xf>
    <xf numFmtId="164" fontId="2" fillId="0" borderId="60" xfId="0" applyNumberFormat="1" applyFont="1" applyBorder="1" applyAlignment="1" applyProtection="1">
      <alignment horizontal="center" wrapText="1"/>
    </xf>
    <xf numFmtId="164" fontId="3" fillId="5" borderId="8" xfId="0" applyNumberFormat="1" applyFont="1" applyFill="1" applyBorder="1" applyAlignment="1" applyProtection="1">
      <alignment horizontal="right"/>
    </xf>
    <xf numFmtId="164" fontId="3" fillId="5" borderId="8" xfId="0" applyNumberFormat="1" applyFont="1" applyFill="1" applyBorder="1" applyProtection="1"/>
    <xf numFmtId="164" fontId="3" fillId="5" borderId="10" xfId="0" applyNumberFormat="1" applyFont="1" applyFill="1" applyBorder="1" applyProtection="1"/>
    <xf numFmtId="164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 applyProtection="1">
      <alignment wrapText="1"/>
    </xf>
    <xf numFmtId="0" fontId="12" fillId="0" borderId="0" xfId="0" applyFont="1" applyFill="1" applyBorder="1" applyAlignment="1" applyProtection="1">
      <alignment horizontal="center" wrapText="1"/>
    </xf>
    <xf numFmtId="0" fontId="5" fillId="0" borderId="0" xfId="0" applyFont="1" applyFill="1" applyBorder="1" applyAlignment="1" applyProtection="1">
      <alignment horizontal="center" wrapText="1"/>
    </xf>
    <xf numFmtId="0" fontId="5" fillId="4" borderId="40" xfId="0" applyFont="1" applyFill="1" applyBorder="1" applyAlignment="1" applyProtection="1">
      <alignment wrapText="1"/>
    </xf>
    <xf numFmtId="0" fontId="12" fillId="4" borderId="40" xfId="0" applyFont="1" applyFill="1" applyBorder="1" applyAlignment="1" applyProtection="1">
      <alignment horizontal="center" wrapText="1"/>
    </xf>
    <xf numFmtId="0" fontId="5" fillId="4" borderId="144" xfId="0" applyFont="1" applyFill="1" applyBorder="1" applyAlignment="1" applyProtection="1">
      <alignment horizontal="center" wrapText="1"/>
    </xf>
    <xf numFmtId="0" fontId="5" fillId="4" borderId="53" xfId="0" applyFont="1" applyFill="1" applyBorder="1" applyAlignment="1" applyProtection="1">
      <alignment wrapText="1"/>
    </xf>
    <xf numFmtId="2" fontId="5" fillId="4" borderId="145" xfId="0" applyNumberFormat="1" applyFont="1" applyFill="1" applyBorder="1" applyAlignment="1" applyProtection="1">
      <alignment wrapText="1"/>
    </xf>
    <xf numFmtId="2" fontId="5" fillId="4" borderId="63" xfId="0" applyNumberFormat="1" applyFont="1" applyFill="1" applyBorder="1" applyAlignment="1" applyProtection="1">
      <alignment wrapText="1"/>
    </xf>
    <xf numFmtId="0" fontId="5" fillId="4" borderId="63" xfId="0" applyFont="1" applyFill="1" applyBorder="1" applyAlignment="1" applyProtection="1">
      <alignment wrapText="1"/>
    </xf>
    <xf numFmtId="0" fontId="12" fillId="4" borderId="63" xfId="0" applyFont="1" applyFill="1" applyBorder="1" applyAlignment="1" applyProtection="1">
      <alignment horizontal="center" wrapText="1"/>
    </xf>
    <xf numFmtId="0" fontId="5" fillId="4" borderId="146" xfId="0" applyFont="1" applyFill="1" applyBorder="1" applyAlignment="1" applyProtection="1">
      <alignment horizontal="center" wrapText="1"/>
    </xf>
    <xf numFmtId="0" fontId="11" fillId="4" borderId="7" xfId="0" applyNumberFormat="1" applyFont="1" applyFill="1" applyBorder="1" applyProtection="1"/>
    <xf numFmtId="2" fontId="11" fillId="4" borderId="8" xfId="0" applyNumberFormat="1" applyFont="1" applyFill="1" applyBorder="1" applyAlignment="1" applyProtection="1">
      <alignment horizontal="center"/>
    </xf>
    <xf numFmtId="0" fontId="11" fillId="4" borderId="9" xfId="0" applyNumberFormat="1" applyFont="1" applyFill="1" applyBorder="1" applyProtection="1"/>
    <xf numFmtId="2" fontId="11" fillId="4" borderId="147" xfId="0" applyNumberFormat="1" applyFont="1" applyFill="1" applyBorder="1" applyProtection="1"/>
    <xf numFmtId="2" fontId="11" fillId="4" borderId="147" xfId="0" applyNumberFormat="1" applyFont="1" applyFill="1" applyBorder="1" applyAlignment="1" applyProtection="1">
      <alignment horizontal="center"/>
    </xf>
    <xf numFmtId="2" fontId="11" fillId="4" borderId="1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left"/>
    </xf>
    <xf numFmtId="164" fontId="11" fillId="4" borderId="34" xfId="0" applyNumberFormat="1" applyFont="1" applyFill="1" applyBorder="1"/>
    <xf numFmtId="164" fontId="11" fillId="4" borderId="148" xfId="0" applyNumberFormat="1" applyFont="1" applyFill="1" applyBorder="1" applyAlignment="1">
      <alignment horizontal="center"/>
    </xf>
    <xf numFmtId="164" fontId="11" fillId="4" borderId="149" xfId="0" applyNumberFormat="1" applyFont="1" applyFill="1" applyBorder="1" applyAlignment="1">
      <alignment horizontal="center"/>
    </xf>
    <xf numFmtId="2" fontId="15" fillId="6" borderId="47" xfId="0" applyNumberFormat="1" applyFont="1" applyFill="1" applyBorder="1" applyAlignment="1" applyProtection="1">
      <alignment horizontal="center"/>
    </xf>
    <xf numFmtId="0" fontId="6" fillId="4" borderId="3" xfId="0" applyNumberFormat="1" applyFont="1" applyFill="1" applyBorder="1" applyAlignment="1" applyProtection="1">
      <alignment horizontal="left"/>
    </xf>
    <xf numFmtId="2" fontId="7" fillId="6" borderId="30" xfId="0" applyNumberFormat="1" applyFont="1" applyFill="1" applyBorder="1" applyAlignment="1" applyProtection="1">
      <alignment horizontal="center"/>
    </xf>
    <xf numFmtId="2" fontId="7" fillId="6" borderId="150" xfId="0" applyNumberFormat="1" applyFont="1" applyFill="1" applyBorder="1" applyAlignment="1" applyProtection="1">
      <alignment horizontal="center"/>
    </xf>
    <xf numFmtId="2" fontId="7" fillId="6" borderId="151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>
      <alignment horizontal="center"/>
    </xf>
    <xf numFmtId="2" fontId="7" fillId="6" borderId="90" xfId="0" applyNumberFormat="1" applyFont="1" applyFill="1" applyBorder="1" applyAlignment="1" applyProtection="1">
      <alignment horizontal="center"/>
    </xf>
    <xf numFmtId="2" fontId="7" fillId="6" borderId="0" xfId="0" applyNumberFormat="1" applyFont="1" applyFill="1" applyBorder="1" applyAlignment="1" applyProtection="1">
      <alignment horizontal="center"/>
    </xf>
    <xf numFmtId="2" fontId="7" fillId="6" borderId="152" xfId="0" applyNumberFormat="1" applyFont="1" applyFill="1" applyBorder="1" applyAlignment="1" applyProtection="1">
      <alignment horizontal="center"/>
    </xf>
    <xf numFmtId="2" fontId="7" fillId="6" borderId="153" xfId="0" applyNumberFormat="1" applyFont="1" applyFill="1" applyBorder="1" applyAlignment="1" applyProtection="1">
      <alignment horizontal="center"/>
    </xf>
    <xf numFmtId="2" fontId="7" fillId="6" borderId="83" xfId="0" applyNumberFormat="1" applyFont="1" applyFill="1" applyBorder="1" applyAlignment="1" applyProtection="1">
      <alignment horizontal="center"/>
    </xf>
    <xf numFmtId="2" fontId="7" fillId="6" borderId="154" xfId="0" applyNumberFormat="1" applyFont="1" applyFill="1" applyBorder="1" applyAlignment="1" applyProtection="1">
      <alignment horizontal="center"/>
    </xf>
    <xf numFmtId="2" fontId="7" fillId="6" borderId="126" xfId="0" applyNumberFormat="1" applyFont="1" applyFill="1" applyBorder="1" applyAlignment="1" applyProtection="1">
      <alignment horizontal="center"/>
    </xf>
    <xf numFmtId="2" fontId="7" fillId="6" borderId="155" xfId="0" applyNumberFormat="1" applyFont="1" applyFill="1" applyBorder="1" applyAlignment="1" applyProtection="1">
      <alignment horizontal="center"/>
    </xf>
    <xf numFmtId="2" fontId="7" fillId="6" borderId="156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center"/>
    </xf>
    <xf numFmtId="2" fontId="7" fillId="6" borderId="51" xfId="0" applyNumberFormat="1" applyFont="1" applyFill="1" applyBorder="1" applyAlignment="1" applyProtection="1">
      <alignment horizontal="center"/>
    </xf>
    <xf numFmtId="2" fontId="7" fillId="6" borderId="34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/>
    <xf numFmtId="2" fontId="7" fillId="6" borderId="86" xfId="0" applyNumberFormat="1" applyFont="1" applyFill="1" applyBorder="1" applyAlignment="1" applyProtection="1">
      <alignment horizontal="center"/>
    </xf>
    <xf numFmtId="2" fontId="7" fillId="6" borderId="157" xfId="0" applyNumberFormat="1" applyFont="1" applyFill="1" applyBorder="1" applyAlignment="1" applyProtection="1">
      <alignment horizontal="center"/>
    </xf>
    <xf numFmtId="2" fontId="7" fillId="6" borderId="158" xfId="0" applyNumberFormat="1" applyFont="1" applyFill="1" applyBorder="1" applyAlignment="1" applyProtection="1">
      <alignment horizontal="center"/>
    </xf>
    <xf numFmtId="2" fontId="6" fillId="6" borderId="24" xfId="0" applyNumberFormat="1" applyFont="1" applyFill="1" applyBorder="1" applyAlignment="1" applyProtection="1">
      <alignment horizontal="center"/>
    </xf>
    <xf numFmtId="2" fontId="20" fillId="6" borderId="22" xfId="0" applyNumberFormat="1" applyFont="1" applyFill="1" applyBorder="1" applyAlignment="1" applyProtection="1">
      <alignment horizontal="center"/>
    </xf>
    <xf numFmtId="2" fontId="6" fillId="6" borderId="22" xfId="0" applyNumberFormat="1" applyFont="1" applyFill="1" applyBorder="1" applyAlignment="1" applyProtection="1">
      <alignment horizontal="center"/>
    </xf>
    <xf numFmtId="2" fontId="6" fillId="6" borderId="25" xfId="0" applyNumberFormat="1" applyFont="1" applyFill="1" applyBorder="1" applyAlignment="1" applyProtection="1">
      <alignment horizontal="center"/>
    </xf>
    <xf numFmtId="1" fontId="7" fillId="6" borderId="30" xfId="0" applyNumberFormat="1" applyFont="1" applyFill="1" applyBorder="1" applyAlignment="1" applyProtection="1">
      <alignment horizontal="center"/>
    </xf>
    <xf numFmtId="1" fontId="7" fillId="6" borderId="144" xfId="0" applyNumberFormat="1" applyFont="1" applyFill="1" applyBorder="1" applyAlignment="1" applyProtection="1">
      <alignment horizontal="center"/>
    </xf>
    <xf numFmtId="1" fontId="7" fillId="6" borderId="159" xfId="0" applyNumberFormat="1" applyFont="1" applyFill="1" applyBorder="1" applyAlignment="1" applyProtection="1">
      <alignment horizontal="center"/>
    </xf>
    <xf numFmtId="1" fontId="7" fillId="6" borderId="160" xfId="0" applyNumberFormat="1" applyFont="1" applyFill="1" applyBorder="1" applyAlignment="1" applyProtection="1">
      <alignment horizontal="center"/>
    </xf>
    <xf numFmtId="1" fontId="7" fillId="6" borderId="62" xfId="0" applyNumberFormat="1" applyFont="1" applyFill="1" applyBorder="1" applyAlignment="1" applyProtection="1">
      <alignment horizontal="center"/>
    </xf>
    <xf numFmtId="1" fontId="7" fillId="6" borderId="90" xfId="0" applyNumberFormat="1" applyFont="1" applyFill="1" applyBorder="1" applyAlignment="1" applyProtection="1">
      <alignment horizontal="center"/>
    </xf>
    <xf numFmtId="1" fontId="7" fillId="6" borderId="128" xfId="0" applyNumberFormat="1" applyFont="1" applyFill="1" applyBorder="1" applyAlignment="1" applyProtection="1">
      <alignment horizontal="center"/>
    </xf>
    <xf numFmtId="1" fontId="7" fillId="6" borderId="161" xfId="0" applyNumberFormat="1" applyFont="1" applyFill="1" applyBorder="1" applyAlignment="1" applyProtection="1">
      <alignment horizontal="center"/>
    </xf>
    <xf numFmtId="0" fontId="6" fillId="0" borderId="162" xfId="0" applyFont="1" applyFill="1" applyBorder="1" applyAlignment="1">
      <alignment horizontal="right"/>
    </xf>
    <xf numFmtId="0" fontId="7" fillId="0" borderId="40" xfId="0" applyFont="1" applyFill="1" applyBorder="1" applyAlignment="1">
      <alignment horizontal="center"/>
    </xf>
    <xf numFmtId="0" fontId="2" fillId="0" borderId="71" xfId="0" applyFont="1" applyBorder="1" applyAlignment="1" applyProtection="1">
      <alignment horizontal="left"/>
    </xf>
    <xf numFmtId="0" fontId="7" fillId="0" borderId="0" xfId="0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6" fillId="0" borderId="144" xfId="0" applyFont="1" applyFill="1" applyBorder="1" applyAlignment="1">
      <alignment horizontal="center"/>
    </xf>
    <xf numFmtId="0" fontId="6" fillId="0" borderId="163" xfId="0" applyFont="1" applyBorder="1"/>
    <xf numFmtId="0" fontId="6" fillId="6" borderId="49" xfId="0" applyFont="1" applyFill="1" applyBorder="1" applyAlignment="1">
      <alignment horizontal="center"/>
    </xf>
    <xf numFmtId="2" fontId="7" fillId="6" borderId="49" xfId="0" applyNumberFormat="1" applyFont="1" applyFill="1" applyBorder="1" applyAlignment="1">
      <alignment horizontal="center"/>
    </xf>
    <xf numFmtId="0" fontId="7" fillId="0" borderId="163" xfId="0" applyFont="1" applyBorder="1"/>
    <xf numFmtId="0" fontId="7" fillId="0" borderId="163" xfId="0" applyFont="1" applyBorder="1" applyAlignment="1">
      <alignment horizontal="right"/>
    </xf>
    <xf numFmtId="0" fontId="7" fillId="0" borderId="165" xfId="0" applyFont="1" applyBorder="1" applyAlignment="1">
      <alignment horizontal="right"/>
    </xf>
    <xf numFmtId="2" fontId="7" fillId="6" borderId="148" xfId="0" applyNumberFormat="1" applyFont="1" applyFill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2" fontId="7" fillId="0" borderId="0" xfId="0" applyNumberFormat="1" applyFont="1" applyBorder="1" applyAlignment="1" applyProtection="1">
      <alignment horizontal="center"/>
      <protection locked="0"/>
    </xf>
    <xf numFmtId="0" fontId="3" fillId="5" borderId="166" xfId="0" applyNumberFormat="1" applyFont="1" applyFill="1" applyBorder="1" applyAlignment="1" applyProtection="1">
      <alignment horizontal="center"/>
    </xf>
    <xf numFmtId="0" fontId="2" fillId="5" borderId="71" xfId="0" applyFont="1" applyFill="1" applyBorder="1" applyAlignment="1" applyProtection="1">
      <alignment horizontal="center"/>
    </xf>
    <xf numFmtId="2" fontId="11" fillId="6" borderId="111" xfId="0" applyNumberFormat="1" applyFont="1" applyFill="1" applyBorder="1" applyAlignment="1" applyProtection="1">
      <alignment horizontal="center"/>
    </xf>
    <xf numFmtId="2" fontId="11" fillId="6" borderId="167" xfId="0" applyNumberFormat="1" applyFont="1" applyFill="1" applyBorder="1" applyAlignment="1" applyProtection="1">
      <alignment horizontal="center"/>
    </xf>
    <xf numFmtId="2" fontId="11" fillId="6" borderId="168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7" fillId="0" borderId="54" xfId="0" applyFont="1" applyFill="1" applyBorder="1" applyAlignment="1">
      <alignment horizontal="center"/>
    </xf>
    <xf numFmtId="2" fontId="7" fillId="6" borderId="151" xfId="0" applyNumberFormat="1" applyFont="1" applyFill="1" applyBorder="1" applyAlignment="1">
      <alignment horizontal="center"/>
    </xf>
    <xf numFmtId="0" fontId="2" fillId="5" borderId="169" xfId="0" applyNumberFormat="1" applyFont="1" applyFill="1" applyBorder="1" applyAlignment="1" applyProtection="1">
      <alignment horizontal="center"/>
    </xf>
    <xf numFmtId="0" fontId="2" fillId="5" borderId="77" xfId="0" applyFont="1" applyFill="1" applyBorder="1" applyAlignment="1" applyProtection="1">
      <alignment horizontal="left"/>
    </xf>
    <xf numFmtId="0" fontId="2" fillId="5" borderId="79" xfId="0" applyNumberFormat="1" applyFont="1" applyFill="1" applyBorder="1" applyAlignment="1" applyProtection="1">
      <alignment horizontal="left"/>
    </xf>
    <xf numFmtId="0" fontId="7" fillId="5" borderId="148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0" fillId="5" borderId="8" xfId="0" applyNumberFormat="1" applyFill="1" applyBorder="1" applyAlignment="1" applyProtection="1">
      <alignment horizontal="center"/>
    </xf>
    <xf numFmtId="0" fontId="6" fillId="0" borderId="163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9" borderId="170" xfId="0" applyFont="1" applyFill="1" applyBorder="1" applyAlignment="1">
      <alignment horizontal="center"/>
    </xf>
    <xf numFmtId="0" fontId="2" fillId="8" borderId="0" xfId="0" applyNumberFormat="1" applyFont="1" applyFill="1" applyBorder="1" applyProtection="1"/>
    <xf numFmtId="0" fontId="0" fillId="4" borderId="35" xfId="0" applyFill="1" applyBorder="1" applyProtection="1"/>
    <xf numFmtId="0" fontId="2" fillId="8" borderId="102" xfId="0" applyNumberFormat="1" applyFont="1" applyFill="1" applyBorder="1" applyProtection="1"/>
    <xf numFmtId="0" fontId="2" fillId="0" borderId="102" xfId="0" applyFont="1" applyFill="1" applyBorder="1" applyAlignment="1" applyProtection="1">
      <alignment horizontal="left"/>
    </xf>
    <xf numFmtId="164" fontId="2" fillId="0" borderId="102" xfId="0" applyNumberFormat="1" applyFont="1" applyFill="1" applyBorder="1" applyAlignment="1" applyProtection="1">
      <alignment horizontal="right"/>
    </xf>
    <xf numFmtId="0" fontId="2" fillId="4" borderId="102" xfId="0" applyFont="1" applyFill="1" applyBorder="1" applyProtection="1"/>
    <xf numFmtId="0" fontId="0" fillId="4" borderId="0" xfId="0" applyFill="1" applyBorder="1"/>
    <xf numFmtId="0" fontId="11" fillId="6" borderId="173" xfId="0" applyFont="1" applyFill="1" applyBorder="1" applyProtection="1"/>
    <xf numFmtId="2" fontId="11" fillId="6" borderId="173" xfId="0" applyNumberFormat="1" applyFont="1" applyFill="1" applyBorder="1" applyProtection="1"/>
    <xf numFmtId="0" fontId="11" fillId="4" borderId="174" xfId="0" applyFont="1" applyFill="1" applyBorder="1" applyProtection="1"/>
    <xf numFmtId="0" fontId="11" fillId="6" borderId="49" xfId="0" applyFont="1" applyFill="1" applyBorder="1" applyProtection="1"/>
    <xf numFmtId="2" fontId="11" fillId="6" borderId="49" xfId="0" applyNumberFormat="1" applyFont="1" applyFill="1" applyBorder="1" applyProtection="1"/>
    <xf numFmtId="0" fontId="11" fillId="4" borderId="175" xfId="0" applyFont="1" applyFill="1" applyBorder="1" applyProtection="1"/>
    <xf numFmtId="0" fontId="11" fillId="6" borderId="176" xfId="0" applyFont="1" applyFill="1" applyBorder="1" applyProtection="1"/>
    <xf numFmtId="2" fontId="11" fillId="6" borderId="176" xfId="0" applyNumberFormat="1" applyFont="1" applyFill="1" applyBorder="1" applyProtection="1"/>
    <xf numFmtId="0" fontId="11" fillId="4" borderId="177" xfId="0" applyFont="1" applyFill="1" applyBorder="1" applyProtection="1"/>
    <xf numFmtId="0" fontId="11" fillId="6" borderId="46" xfId="0" applyFont="1" applyFill="1" applyBorder="1" applyProtection="1"/>
    <xf numFmtId="2" fontId="11" fillId="6" borderId="46" xfId="0" applyNumberFormat="1" applyFont="1" applyFill="1" applyBorder="1" applyProtection="1"/>
    <xf numFmtId="0" fontId="11" fillId="4" borderId="178" xfId="0" applyFont="1" applyFill="1" applyBorder="1" applyProtection="1"/>
    <xf numFmtId="0" fontId="11" fillId="6" borderId="179" xfId="0" applyFont="1" applyFill="1" applyBorder="1" applyProtection="1"/>
    <xf numFmtId="2" fontId="11" fillId="6" borderId="179" xfId="0" applyNumberFormat="1" applyFont="1" applyFill="1" applyBorder="1" applyProtection="1"/>
    <xf numFmtId="0" fontId="11" fillId="4" borderId="180" xfId="0" applyFont="1" applyFill="1" applyBorder="1" applyProtection="1"/>
    <xf numFmtId="0" fontId="7" fillId="5" borderId="46" xfId="0" applyFont="1" applyFill="1" applyBorder="1" applyAlignment="1" applyProtection="1">
      <alignment horizontal="center"/>
      <protection locked="0"/>
    </xf>
    <xf numFmtId="164" fontId="5" fillId="5" borderId="71" xfId="0" applyNumberFormat="1" applyFont="1" applyFill="1" applyBorder="1" applyProtection="1"/>
    <xf numFmtId="164" fontId="3" fillId="5" borderId="71" xfId="0" applyNumberFormat="1" applyFont="1" applyFill="1" applyBorder="1" applyProtection="1"/>
    <xf numFmtId="164" fontId="3" fillId="5" borderId="71" xfId="0" applyNumberFormat="1" applyFont="1" applyFill="1" applyBorder="1" applyProtection="1">
      <protection locked="0"/>
    </xf>
    <xf numFmtId="164" fontId="3" fillId="5" borderId="102" xfId="0" applyNumberFormat="1" applyFont="1" applyFill="1" applyBorder="1" applyProtection="1"/>
    <xf numFmtId="0" fontId="2" fillId="7" borderId="86" xfId="0" applyFont="1" applyFill="1" applyBorder="1" applyAlignment="1" applyProtection="1">
      <alignment horizontal="center"/>
    </xf>
    <xf numFmtId="166" fontId="3" fillId="4" borderId="5" xfId="0" applyNumberFormat="1" applyFont="1" applyFill="1" applyBorder="1" applyAlignment="1" applyProtection="1">
      <alignment horizontal="right"/>
    </xf>
    <xf numFmtId="166" fontId="11" fillId="6" borderId="173" xfId="0" applyNumberFormat="1" applyFont="1" applyFill="1" applyBorder="1" applyProtection="1"/>
    <xf numFmtId="166" fontId="11" fillId="6" borderId="49" xfId="0" applyNumberFormat="1" applyFont="1" applyFill="1" applyBorder="1" applyProtection="1"/>
    <xf numFmtId="166" fontId="11" fillId="6" borderId="179" xfId="0" applyNumberFormat="1" applyFont="1" applyFill="1" applyBorder="1" applyProtection="1"/>
    <xf numFmtId="166" fontId="11" fillId="6" borderId="46" xfId="0" applyNumberFormat="1" applyFont="1" applyFill="1" applyBorder="1" applyProtection="1"/>
    <xf numFmtId="166" fontId="11" fillId="6" borderId="176" xfId="0" applyNumberFormat="1" applyFont="1" applyFill="1" applyBorder="1" applyProtection="1"/>
    <xf numFmtId="166" fontId="7" fillId="6" borderId="141" xfId="0" applyNumberFormat="1" applyFont="1" applyFill="1" applyBorder="1" applyAlignment="1" applyProtection="1">
      <alignment horizontal="center"/>
    </xf>
    <xf numFmtId="166" fontId="7" fillId="6" borderId="140" xfId="0" applyNumberFormat="1" applyFont="1" applyFill="1" applyBorder="1" applyAlignment="1" applyProtection="1">
      <alignment horizontal="center"/>
    </xf>
    <xf numFmtId="166" fontId="7" fillId="6" borderId="101" xfId="0" applyNumberFormat="1" applyFont="1" applyFill="1" applyBorder="1" applyAlignment="1" applyProtection="1">
      <alignment horizontal="center"/>
    </xf>
    <xf numFmtId="166" fontId="7" fillId="6" borderId="67" xfId="0" applyNumberFormat="1" applyFont="1" applyFill="1" applyBorder="1" applyAlignment="1" applyProtection="1">
      <alignment horizontal="center"/>
    </xf>
    <xf numFmtId="164" fontId="7" fillId="6" borderId="67" xfId="0" applyNumberFormat="1" applyFont="1" applyFill="1" applyBorder="1" applyAlignment="1" applyProtection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2" fillId="6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5" fillId="6" borderId="104" xfId="0" applyFont="1" applyFill="1" applyBorder="1" applyProtection="1"/>
    <xf numFmtId="0" fontId="5" fillId="6" borderId="106" xfId="0" applyFont="1" applyFill="1" applyBorder="1" applyProtection="1"/>
    <xf numFmtId="0" fontId="5" fillId="6" borderId="181" xfId="0" applyFont="1" applyFill="1" applyBorder="1" applyProtection="1"/>
    <xf numFmtId="0" fontId="5" fillId="6" borderId="99" xfId="0" applyFont="1" applyFill="1" applyBorder="1" applyProtection="1"/>
    <xf numFmtId="165" fontId="11" fillId="6" borderId="182" xfId="0" applyNumberFormat="1" applyFont="1" applyFill="1" applyBorder="1" applyProtection="1"/>
    <xf numFmtId="165" fontId="11" fillId="6" borderId="183" xfId="0" applyNumberFormat="1" applyFont="1" applyFill="1" applyBorder="1" applyProtection="1"/>
    <xf numFmtId="0" fontId="11" fillId="6" borderId="151" xfId="0" applyFont="1" applyFill="1" applyBorder="1" applyProtection="1"/>
    <xf numFmtId="0" fontId="11" fillId="6" borderId="56" xfId="0" applyFont="1" applyFill="1" applyBorder="1" applyProtection="1"/>
    <xf numFmtId="0" fontId="11" fillId="6" borderId="184" xfId="0" applyFont="1" applyFill="1" applyBorder="1" applyProtection="1"/>
    <xf numFmtId="0" fontId="11" fillId="6" borderId="185" xfId="0" applyFont="1" applyFill="1" applyBorder="1" applyProtection="1"/>
    <xf numFmtId="0" fontId="11" fillId="6" borderId="57" xfId="0" applyFont="1" applyFill="1" applyBorder="1" applyProtection="1"/>
    <xf numFmtId="0" fontId="11" fillId="6" borderId="150" xfId="0" applyFont="1" applyFill="1" applyBorder="1" applyProtection="1"/>
    <xf numFmtId="0" fontId="11" fillId="6" borderId="186" xfId="0" applyFont="1" applyFill="1" applyBorder="1" applyProtection="1"/>
    <xf numFmtId="0" fontId="11" fillId="6" borderId="187" xfId="0" applyFont="1" applyFill="1" applyBorder="1" applyProtection="1"/>
    <xf numFmtId="167" fontId="11" fillId="6" borderId="173" xfId="0" applyNumberFormat="1" applyFont="1" applyFill="1" applyBorder="1" applyProtection="1"/>
    <xf numFmtId="167" fontId="11" fillId="6" borderId="49" xfId="0" applyNumberFormat="1" applyFont="1" applyFill="1" applyBorder="1" applyProtection="1"/>
    <xf numFmtId="167" fontId="11" fillId="6" borderId="179" xfId="0" applyNumberFormat="1" applyFont="1" applyFill="1" applyBorder="1" applyProtection="1"/>
    <xf numFmtId="167" fontId="11" fillId="6" borderId="46" xfId="0" applyNumberFormat="1" applyFont="1" applyFill="1" applyBorder="1" applyProtection="1"/>
    <xf numFmtId="167" fontId="11" fillId="6" borderId="176" xfId="0" applyNumberFormat="1" applyFont="1" applyFill="1" applyBorder="1" applyProtection="1"/>
    <xf numFmtId="167" fontId="0" fillId="4" borderId="5" xfId="0" applyNumberFormat="1" applyFill="1" applyBorder="1"/>
    <xf numFmtId="0" fontId="6" fillId="6" borderId="188" xfId="0" applyFont="1" applyFill="1" applyBorder="1" applyAlignment="1" applyProtection="1">
      <alignment horizontal="left"/>
    </xf>
    <xf numFmtId="2" fontId="7" fillId="6" borderId="189" xfId="0" applyNumberFormat="1" applyFont="1" applyFill="1" applyBorder="1" applyAlignment="1" applyProtection="1">
      <alignment horizontal="center"/>
    </xf>
    <xf numFmtId="2" fontId="7" fillId="6" borderId="129" xfId="0" applyNumberFormat="1" applyFont="1" applyFill="1" applyBorder="1" applyAlignment="1" applyProtection="1">
      <alignment horizontal="center"/>
    </xf>
    <xf numFmtId="2" fontId="7" fillId="6" borderId="190" xfId="0" applyNumberFormat="1" applyFont="1" applyFill="1" applyBorder="1" applyAlignment="1" applyProtection="1">
      <alignment horizontal="center"/>
    </xf>
    <xf numFmtId="1" fontId="7" fillId="6" borderId="52" xfId="0" applyNumberFormat="1" applyFont="1" applyFill="1" applyBorder="1" applyAlignment="1" applyProtection="1">
      <alignment horizontal="center"/>
    </xf>
    <xf numFmtId="166" fontId="11" fillId="6" borderId="67" xfId="0" applyNumberFormat="1" applyFont="1" applyFill="1" applyBorder="1" applyProtection="1"/>
    <xf numFmtId="0" fontId="11" fillId="6" borderId="102" xfId="0" applyFont="1" applyFill="1" applyBorder="1" applyProtection="1"/>
    <xf numFmtId="2" fontId="11" fillId="6" borderId="102" xfId="0" applyNumberFormat="1" applyFont="1" applyFill="1" applyBorder="1" applyProtection="1"/>
    <xf numFmtId="166" fontId="11" fillId="6" borderId="102" xfId="0" applyNumberFormat="1" applyFont="1" applyFill="1" applyBorder="1" applyProtection="1"/>
    <xf numFmtId="0" fontId="11" fillId="4" borderId="191" xfId="0" applyFont="1" applyFill="1" applyBorder="1" applyProtection="1"/>
    <xf numFmtId="167" fontId="11" fillId="6" borderId="182" xfId="0" applyNumberFormat="1" applyFont="1" applyFill="1" applyBorder="1" applyProtection="1"/>
    <xf numFmtId="0" fontId="11" fillId="6" borderId="183" xfId="0" applyFont="1" applyFill="1" applyBorder="1" applyProtection="1"/>
    <xf numFmtId="0" fontId="11" fillId="6" borderId="98" xfId="0" applyFont="1" applyFill="1" applyBorder="1" applyProtection="1"/>
    <xf numFmtId="2" fontId="11" fillId="6" borderId="98" xfId="0" applyNumberFormat="1" applyFont="1" applyFill="1" applyBorder="1" applyProtection="1"/>
    <xf numFmtId="166" fontId="11" fillId="6" borderId="98" xfId="0" applyNumberFormat="1" applyFont="1" applyFill="1" applyBorder="1" applyProtection="1"/>
    <xf numFmtId="0" fontId="5" fillId="6" borderId="193" xfId="0" applyFont="1" applyFill="1" applyBorder="1" applyAlignment="1" applyProtection="1">
      <alignment horizontal="left"/>
    </xf>
    <xf numFmtId="2" fontId="11" fillId="6" borderId="194" xfId="0" applyNumberFormat="1" applyFont="1" applyFill="1" applyBorder="1" applyAlignment="1" applyProtection="1">
      <alignment horizontal="center"/>
    </xf>
    <xf numFmtId="2" fontId="11" fillId="6" borderId="195" xfId="0" applyNumberFormat="1" applyFont="1" applyFill="1" applyBorder="1" applyAlignment="1" applyProtection="1">
      <alignment horizontal="center"/>
    </xf>
    <xf numFmtId="2" fontId="11" fillId="6" borderId="196" xfId="0" applyNumberFormat="1" applyFont="1" applyFill="1" applyBorder="1" applyAlignment="1" applyProtection="1">
      <alignment horizontal="center"/>
    </xf>
    <xf numFmtId="2" fontId="11" fillId="6" borderId="197" xfId="0" applyNumberFormat="1" applyFont="1" applyFill="1" applyBorder="1" applyAlignment="1" applyProtection="1">
      <alignment horizontal="center"/>
    </xf>
    <xf numFmtId="2" fontId="5" fillId="6" borderId="198" xfId="0" applyNumberFormat="1" applyFont="1" applyFill="1" applyBorder="1" applyAlignment="1" applyProtection="1">
      <alignment horizontal="left"/>
    </xf>
    <xf numFmtId="2" fontId="15" fillId="6" borderId="199" xfId="0" applyNumberFormat="1" applyFont="1" applyFill="1" applyBorder="1" applyAlignment="1" applyProtection="1">
      <alignment horizontal="center"/>
    </xf>
    <xf numFmtId="2" fontId="15" fillId="6" borderId="200" xfId="0" applyNumberFormat="1" applyFont="1" applyFill="1" applyBorder="1" applyAlignment="1" applyProtection="1">
      <alignment horizontal="center"/>
    </xf>
    <xf numFmtId="2" fontId="15" fillId="6" borderId="201" xfId="0" applyNumberFormat="1" applyFont="1" applyFill="1" applyBorder="1" applyAlignment="1" applyProtection="1">
      <alignment horizontal="center"/>
    </xf>
    <xf numFmtId="2" fontId="15" fillId="6" borderId="202" xfId="0" applyNumberFormat="1" applyFont="1" applyFill="1" applyBorder="1" applyAlignment="1" applyProtection="1">
      <alignment horizontal="center"/>
    </xf>
    <xf numFmtId="2" fontId="11" fillId="6" borderId="203" xfId="0" applyNumberFormat="1" applyFont="1" applyFill="1" applyBorder="1" applyAlignment="1" applyProtection="1">
      <alignment horizontal="center"/>
    </xf>
    <xf numFmtId="2" fontId="5" fillId="6" borderId="193" xfId="0" applyNumberFormat="1" applyFont="1" applyFill="1" applyBorder="1" applyAlignment="1" applyProtection="1">
      <alignment horizontal="left"/>
    </xf>
    <xf numFmtId="2" fontId="15" fillId="6" borderId="194" xfId="0" applyNumberFormat="1" applyFont="1" applyFill="1" applyBorder="1" applyAlignment="1" applyProtection="1">
      <alignment horizontal="center"/>
    </xf>
    <xf numFmtId="2" fontId="15" fillId="6" borderId="195" xfId="0" applyNumberFormat="1" applyFont="1" applyFill="1" applyBorder="1" applyAlignment="1" applyProtection="1">
      <alignment horizontal="center"/>
    </xf>
    <xf numFmtId="2" fontId="15" fillId="6" borderId="196" xfId="0" applyNumberFormat="1" applyFont="1" applyFill="1" applyBorder="1" applyAlignment="1" applyProtection="1">
      <alignment horizontal="center"/>
    </xf>
    <xf numFmtId="2" fontId="15" fillId="6" borderId="204" xfId="0" applyNumberFormat="1" applyFont="1" applyFill="1" applyBorder="1" applyAlignment="1" applyProtection="1">
      <alignment horizontal="center"/>
    </xf>
    <xf numFmtId="0" fontId="11" fillId="6" borderId="205" xfId="0" applyFont="1" applyFill="1" applyBorder="1" applyProtection="1"/>
    <xf numFmtId="0" fontId="11" fillId="6" borderId="206" xfId="0" applyFont="1" applyFill="1" applyBorder="1" applyProtection="1"/>
    <xf numFmtId="2" fontId="11" fillId="6" borderId="206" xfId="0" applyNumberFormat="1" applyFont="1" applyFill="1" applyBorder="1" applyProtection="1"/>
    <xf numFmtId="166" fontId="11" fillId="6" borderId="206" xfId="0" applyNumberFormat="1" applyFont="1" applyFill="1" applyBorder="1" applyProtection="1"/>
    <xf numFmtId="0" fontId="11" fillId="4" borderId="207" xfId="0" applyFont="1" applyFill="1" applyBorder="1" applyProtection="1"/>
    <xf numFmtId="0" fontId="5" fillId="6" borderId="77" xfId="0" applyFont="1" applyFill="1" applyBorder="1" applyAlignment="1" applyProtection="1"/>
    <xf numFmtId="165" fontId="7" fillId="6" borderId="140" xfId="0" applyNumberFormat="1" applyFont="1" applyFill="1" applyBorder="1" applyAlignment="1" applyProtection="1">
      <alignment horizontal="left"/>
    </xf>
    <xf numFmtId="165" fontId="7" fillId="6" borderId="141" xfId="0" applyNumberFormat="1" applyFont="1" applyFill="1" applyBorder="1" applyAlignment="1" applyProtection="1">
      <alignment horizontal="left"/>
    </xf>
    <xf numFmtId="164" fontId="7" fillId="6" borderId="101" xfId="0" applyNumberFormat="1" applyFont="1" applyFill="1" applyBorder="1" applyAlignment="1" applyProtection="1">
      <alignment horizontal="center"/>
    </xf>
    <xf numFmtId="2" fontId="7" fillId="6" borderId="101" xfId="0" applyNumberFormat="1" applyFont="1" applyFill="1" applyBorder="1" applyAlignment="1" applyProtection="1">
      <alignment horizontal="center"/>
    </xf>
    <xf numFmtId="165" fontId="7" fillId="6" borderId="99" xfId="0" applyNumberFormat="1" applyFont="1" applyFill="1" applyBorder="1" applyAlignment="1" applyProtection="1">
      <alignment horizontal="left"/>
    </xf>
    <xf numFmtId="165" fontId="7" fillId="6" borderId="99" xfId="0" applyNumberFormat="1" applyFont="1" applyFill="1" applyBorder="1" applyAlignment="1" applyProtection="1">
      <alignment horizontal="center"/>
    </xf>
    <xf numFmtId="0" fontId="7" fillId="6" borderId="99" xfId="0" applyNumberFormat="1" applyFont="1" applyFill="1" applyBorder="1" applyAlignment="1" applyProtection="1">
      <alignment horizontal="center"/>
    </xf>
    <xf numFmtId="1" fontId="7" fillId="6" borderId="99" xfId="0" applyNumberFormat="1" applyFont="1" applyFill="1" applyBorder="1" applyAlignment="1" applyProtection="1">
      <alignment horizontal="center"/>
    </xf>
    <xf numFmtId="2" fontId="7" fillId="6" borderId="99" xfId="0" applyNumberFormat="1" applyFont="1" applyFill="1" applyBorder="1" applyAlignment="1" applyProtection="1">
      <alignment horizontal="center"/>
    </xf>
    <xf numFmtId="166" fontId="7" fillId="6" borderId="99" xfId="0" applyNumberFormat="1" applyFont="1" applyFill="1" applyBorder="1" applyAlignment="1" applyProtection="1">
      <alignment horizontal="center"/>
    </xf>
    <xf numFmtId="164" fontId="7" fillId="6" borderId="98" xfId="0" applyNumberFormat="1" applyFont="1" applyFill="1" applyBorder="1" applyAlignment="1" applyProtection="1">
      <alignment horizontal="center"/>
    </xf>
    <xf numFmtId="166" fontId="7" fillId="6" borderId="98" xfId="0" applyNumberFormat="1" applyFont="1" applyFill="1" applyBorder="1" applyAlignment="1" applyProtection="1">
      <alignment horizontal="center"/>
    </xf>
    <xf numFmtId="2" fontId="7" fillId="6" borderId="102" xfId="0" applyNumberFormat="1" applyFont="1" applyFill="1" applyBorder="1" applyAlignment="1" applyProtection="1">
      <alignment horizontal="center"/>
    </xf>
    <xf numFmtId="0" fontId="7" fillId="6" borderId="210" xfId="0" applyFont="1" applyFill="1" applyBorder="1" applyAlignment="1" applyProtection="1"/>
    <xf numFmtId="0" fontId="7" fillId="6" borderId="211" xfId="0" applyFont="1" applyFill="1" applyBorder="1" applyAlignment="1" applyProtection="1"/>
    <xf numFmtId="2" fontId="7" fillId="6" borderId="98" xfId="0" applyNumberFormat="1" applyFont="1" applyFill="1" applyBorder="1" applyAlignment="1" applyProtection="1">
      <alignment horizontal="center"/>
    </xf>
    <xf numFmtId="2" fontId="7" fillId="6" borderId="181" xfId="0" applyNumberFormat="1" applyFont="1" applyFill="1" applyBorder="1" applyAlignment="1" applyProtection="1">
      <alignment horizontal="left"/>
    </xf>
    <xf numFmtId="0" fontId="7" fillId="6" borderId="102" xfId="0" applyFont="1" applyFill="1" applyBorder="1" applyAlignment="1" applyProtection="1">
      <alignment horizontal="center"/>
    </xf>
    <xf numFmtId="0" fontId="7" fillId="6" borderId="192" xfId="0" applyFont="1" applyFill="1" applyBorder="1" applyAlignment="1" applyProtection="1">
      <alignment horizontal="center"/>
    </xf>
    <xf numFmtId="1" fontId="7" fillId="6" borderId="192" xfId="0" applyNumberFormat="1" applyFont="1" applyFill="1" applyBorder="1" applyAlignment="1" applyProtection="1">
      <alignment horizontal="center"/>
    </xf>
    <xf numFmtId="1" fontId="7" fillId="6" borderId="102" xfId="0" applyNumberFormat="1" applyFont="1" applyFill="1" applyBorder="1" applyAlignment="1" applyProtection="1">
      <alignment horizontal="center"/>
    </xf>
    <xf numFmtId="166" fontId="7" fillId="6" borderId="192" xfId="0" applyNumberFormat="1" applyFont="1" applyFill="1" applyBorder="1" applyAlignment="1" applyProtection="1">
      <alignment horizontal="center"/>
    </xf>
    <xf numFmtId="164" fontId="7" fillId="6" borderId="102" xfId="0" applyNumberFormat="1" applyFont="1" applyFill="1" applyBorder="1" applyAlignment="1" applyProtection="1">
      <alignment horizontal="center"/>
    </xf>
    <xf numFmtId="166" fontId="7" fillId="6" borderId="102" xfId="0" applyNumberFormat="1" applyFont="1" applyFill="1" applyBorder="1" applyAlignment="1" applyProtection="1">
      <alignment horizontal="center"/>
    </xf>
    <xf numFmtId="2" fontId="7" fillId="6" borderId="192" xfId="0" applyNumberFormat="1" applyFont="1" applyFill="1" applyBorder="1" applyAlignment="1" applyProtection="1">
      <alignment horizontal="center"/>
    </xf>
    <xf numFmtId="0" fontId="7" fillId="6" borderId="101" xfId="0" applyFont="1" applyFill="1" applyBorder="1" applyAlignment="1" applyProtection="1">
      <alignment horizontal="center"/>
    </xf>
    <xf numFmtId="0" fontId="7" fillId="6" borderId="141" xfId="0" applyFont="1" applyFill="1" applyBorder="1" applyAlignment="1" applyProtection="1">
      <alignment horizontal="center"/>
    </xf>
    <xf numFmtId="1" fontId="7" fillId="6" borderId="101" xfId="0" applyNumberFormat="1" applyFont="1" applyFill="1" applyBorder="1" applyAlignment="1" applyProtection="1">
      <alignment horizontal="center"/>
    </xf>
    <xf numFmtId="2" fontId="7" fillId="6" borderId="212" xfId="0" applyNumberFormat="1" applyFont="1" applyFill="1" applyBorder="1" applyAlignment="1" applyProtection="1">
      <alignment horizontal="left"/>
    </xf>
    <xf numFmtId="0" fontId="7" fillId="5" borderId="49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0" fillId="0" borderId="172" xfId="0" applyBorder="1" applyAlignment="1"/>
    <xf numFmtId="0" fontId="0" fillId="0" borderId="0" xfId="0" applyFont="1" applyBorder="1"/>
    <xf numFmtId="165" fontId="0" fillId="2" borderId="33" xfId="0" applyNumberFormat="1" applyFont="1" applyFill="1" applyBorder="1" applyAlignment="1" applyProtection="1">
      <alignment horizontal="center"/>
    </xf>
    <xf numFmtId="49" fontId="0" fillId="2" borderId="74" xfId="0" applyNumberFormat="1" applyFont="1" applyFill="1" applyBorder="1" applyAlignment="1" applyProtection="1">
      <alignment horizontal="center"/>
    </xf>
    <xf numFmtId="49" fontId="35" fillId="2" borderId="214" xfId="1" applyNumberFormat="1" applyFont="1" applyFill="1" applyBorder="1" applyAlignment="1" applyProtection="1">
      <alignment horizontal="center"/>
    </xf>
    <xf numFmtId="14" fontId="7" fillId="6" borderId="208" xfId="0" applyNumberFormat="1" applyFont="1" applyFill="1" applyBorder="1" applyAlignment="1" applyProtection="1">
      <alignment horizontal="center"/>
    </xf>
    <xf numFmtId="14" fontId="7" fillId="6" borderId="139" xfId="0" applyNumberFormat="1" applyFont="1" applyFill="1" applyBorder="1" applyAlignment="1" applyProtection="1">
      <alignment horizontal="center"/>
    </xf>
    <xf numFmtId="14" fontId="7" fillId="6" borderId="209" xfId="0" applyNumberFormat="1" applyFont="1" applyFill="1" applyBorder="1" applyAlignment="1" applyProtection="1">
      <alignment horizontal="center"/>
    </xf>
    <xf numFmtId="0" fontId="36" fillId="10" borderId="59" xfId="0" applyFont="1" applyFill="1" applyBorder="1" applyAlignment="1">
      <alignment horizontal="center" wrapText="1"/>
    </xf>
    <xf numFmtId="0" fontId="36" fillId="10" borderId="23" xfId="0" applyFont="1" applyFill="1" applyBorder="1" applyAlignment="1">
      <alignment horizontal="center" wrapText="1"/>
    </xf>
    <xf numFmtId="0" fontId="33" fillId="10" borderId="163" xfId="0" applyFont="1" applyFill="1" applyBorder="1" applyAlignment="1">
      <alignment horizontal="center"/>
    </xf>
    <xf numFmtId="0" fontId="33" fillId="10" borderId="49" xfId="0" applyFont="1" applyFill="1" applyBorder="1"/>
    <xf numFmtId="0" fontId="34" fillId="10" borderId="163" xfId="0" applyFont="1" applyFill="1" applyBorder="1" applyAlignment="1">
      <alignment horizontal="center"/>
    </xf>
    <xf numFmtId="0" fontId="37" fillId="10" borderId="49" xfId="0" applyFont="1" applyFill="1" applyBorder="1"/>
    <xf numFmtId="0" fontId="34" fillId="10" borderId="215" xfId="0" applyFont="1" applyFill="1" applyBorder="1" applyAlignment="1">
      <alignment horizontal="center"/>
    </xf>
    <xf numFmtId="0" fontId="37" fillId="10" borderId="173" xfId="0" applyFont="1" applyFill="1" applyBorder="1"/>
    <xf numFmtId="0" fontId="38" fillId="0" borderId="164" xfId="0" applyFont="1" applyFill="1" applyBorder="1" applyAlignment="1" applyProtection="1">
      <alignment horizontal="center"/>
      <protection locked="0"/>
    </xf>
    <xf numFmtId="0" fontId="38" fillId="0" borderId="149" xfId="0" applyFont="1" applyFill="1" applyBorder="1" applyAlignment="1" applyProtection="1">
      <alignment horizontal="center"/>
      <protection locked="0"/>
    </xf>
    <xf numFmtId="0" fontId="39" fillId="0" borderId="164" xfId="0" applyFont="1" applyFill="1" applyBorder="1" applyAlignment="1" applyProtection="1">
      <alignment horizontal="center"/>
      <protection locked="0"/>
    </xf>
    <xf numFmtId="0" fontId="40" fillId="14" borderId="150" xfId="5" applyBorder="1"/>
    <xf numFmtId="0" fontId="40" fillId="14" borderId="46" xfId="5" applyBorder="1"/>
    <xf numFmtId="0" fontId="40" fillId="14" borderId="46" xfId="5" applyBorder="1" applyAlignment="1">
      <alignment horizontal="center"/>
    </xf>
    <xf numFmtId="0" fontId="40" fillId="14" borderId="57" xfId="5" applyBorder="1"/>
    <xf numFmtId="0" fontId="0" fillId="4" borderId="56" xfId="0" applyFill="1" applyBorder="1"/>
    <xf numFmtId="0" fontId="0" fillId="4" borderId="49" xfId="0" applyFill="1" applyBorder="1"/>
    <xf numFmtId="0" fontId="0" fillId="17" borderId="49" xfId="0" applyFill="1" applyBorder="1"/>
    <xf numFmtId="49" fontId="0" fillId="17" borderId="49" xfId="0" applyNumberFormat="1" applyFill="1" applyBorder="1" applyAlignment="1">
      <alignment horizontal="center"/>
    </xf>
    <xf numFmtId="0" fontId="0" fillId="17" borderId="49" xfId="0" applyFill="1" applyBorder="1" applyAlignment="1">
      <alignment horizontal="center"/>
    </xf>
    <xf numFmtId="0" fontId="0" fillId="17" borderId="151" xfId="0" applyFill="1" applyBorder="1"/>
    <xf numFmtId="0" fontId="0" fillId="4" borderId="49" xfId="0" applyFill="1" applyBorder="1" applyAlignment="1">
      <alignment horizontal="center"/>
    </xf>
    <xf numFmtId="0" fontId="0" fillId="4" borderId="216" xfId="0" applyFill="1" applyBorder="1"/>
    <xf numFmtId="0" fontId="0" fillId="4" borderId="217" xfId="0" applyFill="1" applyBorder="1"/>
    <xf numFmtId="0" fontId="0" fillId="4" borderId="217" xfId="0" applyFill="1" applyBorder="1" applyAlignment="1">
      <alignment horizontal="center"/>
    </xf>
    <xf numFmtId="0" fontId="0" fillId="17" borderId="217" xfId="0" applyFill="1" applyBorder="1" applyAlignment="1">
      <alignment horizontal="center"/>
    </xf>
    <xf numFmtId="0" fontId="0" fillId="17" borderId="218" xfId="0" applyFill="1" applyBorder="1"/>
    <xf numFmtId="0" fontId="0" fillId="4" borderId="218" xfId="0" applyFill="1" applyBorder="1" applyAlignment="1">
      <alignment horizontal="center"/>
    </xf>
    <xf numFmtId="0" fontId="0" fillId="17" borderId="195" xfId="0" applyFill="1" applyBorder="1"/>
    <xf numFmtId="0" fontId="40" fillId="12" borderId="219" xfId="3" applyBorder="1" applyAlignment="1">
      <alignment horizontal="center"/>
    </xf>
    <xf numFmtId="0" fontId="1" fillId="13" borderId="220" xfId="4" applyBorder="1" applyAlignment="1">
      <alignment horizontal="center"/>
    </xf>
    <xf numFmtId="0" fontId="1" fillId="13" borderId="221" xfId="4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98" xfId="0" applyBorder="1" applyAlignment="1">
      <alignment horizontal="center"/>
    </xf>
    <xf numFmtId="0" fontId="7" fillId="18" borderId="12" xfId="0" applyFont="1" applyFill="1" applyBorder="1" applyAlignment="1" applyProtection="1">
      <alignment horizontal="center"/>
      <protection locked="0"/>
    </xf>
    <xf numFmtId="0" fontId="7" fillId="18" borderId="11" xfId="0" applyFont="1" applyFill="1" applyBorder="1" applyAlignment="1" applyProtection="1">
      <alignment horizontal="center"/>
      <protection locked="0"/>
    </xf>
    <xf numFmtId="0" fontId="0" fillId="0" borderId="173" xfId="0" applyBorder="1"/>
    <xf numFmtId="0" fontId="0" fillId="0" borderId="49" xfId="0" applyBorder="1"/>
    <xf numFmtId="0" fontId="0" fillId="0" borderId="179" xfId="0" applyBorder="1"/>
    <xf numFmtId="0" fontId="1" fillId="16" borderId="12" xfId="7" applyNumberFormat="1" applyFont="1" applyBorder="1" applyAlignment="1" applyProtection="1">
      <alignment horizontal="center"/>
      <protection locked="0"/>
    </xf>
    <xf numFmtId="0" fontId="7" fillId="18" borderId="12" xfId="0" applyNumberFormat="1" applyFont="1" applyFill="1" applyBorder="1" applyAlignment="1" applyProtection="1">
      <alignment horizontal="center"/>
      <protection locked="0"/>
    </xf>
    <xf numFmtId="49" fontId="7" fillId="18" borderId="13" xfId="0" applyNumberFormat="1" applyFont="1" applyFill="1" applyBorder="1" applyAlignment="1" applyProtection="1">
      <alignment horizontal="center"/>
      <protection locked="0"/>
    </xf>
    <xf numFmtId="0" fontId="1" fillId="11" borderId="1" xfId="2" applyNumberFormat="1" applyBorder="1" applyAlignment="1">
      <alignment horizontal="center"/>
    </xf>
    <xf numFmtId="0" fontId="3" fillId="5" borderId="75" xfId="0" applyNumberFormat="1" applyFont="1" applyFill="1" applyBorder="1" applyProtection="1"/>
    <xf numFmtId="6" fontId="2" fillId="5" borderId="125" xfId="0" applyNumberFormat="1" applyFont="1" applyFill="1" applyBorder="1" applyProtection="1"/>
    <xf numFmtId="6" fontId="2" fillId="5" borderId="91" xfId="0" applyNumberFormat="1" applyFont="1" applyFill="1" applyBorder="1" applyProtection="1"/>
    <xf numFmtId="165" fontId="0" fillId="2" borderId="33" xfId="0" applyNumberFormat="1" applyFill="1" applyBorder="1" applyAlignment="1" applyProtection="1">
      <alignment horizontal="center"/>
    </xf>
    <xf numFmtId="165" fontId="0" fillId="2" borderId="74" xfId="0" applyNumberFormat="1" applyFill="1" applyBorder="1" applyAlignment="1" applyProtection="1">
      <alignment horizontal="center"/>
    </xf>
    <xf numFmtId="165" fontId="0" fillId="2" borderId="52" xfId="0" applyNumberFormat="1" applyFill="1" applyBorder="1" applyAlignment="1" applyProtection="1">
      <alignment horizontal="center"/>
    </xf>
    <xf numFmtId="0" fontId="0" fillId="5" borderId="71" xfId="0" applyFill="1" applyBorder="1" applyAlignment="1" applyProtection="1">
      <alignment horizontal="center"/>
    </xf>
    <xf numFmtId="0" fontId="0" fillId="5" borderId="28" xfId="0" applyFill="1" applyBorder="1" applyAlignment="1" applyProtection="1">
      <alignment horizontal="center"/>
    </xf>
    <xf numFmtId="2" fontId="37" fillId="10" borderId="223" xfId="0" applyNumberFormat="1" applyFont="1" applyFill="1" applyBorder="1"/>
    <xf numFmtId="2" fontId="37" fillId="10" borderId="164" xfId="0" applyNumberFormat="1" applyFont="1" applyFill="1" applyBorder="1"/>
    <xf numFmtId="2" fontId="33" fillId="10" borderId="164" xfId="0" applyNumberFormat="1" applyFont="1" applyFill="1" applyBorder="1"/>
    <xf numFmtId="2" fontId="42" fillId="10" borderId="224" xfId="0" applyNumberFormat="1" applyFont="1" applyFill="1" applyBorder="1" applyAlignment="1">
      <alignment horizontal="center" wrapText="1"/>
    </xf>
    <xf numFmtId="164" fontId="1" fillId="16" borderId="8" xfId="7" applyNumberFormat="1" applyBorder="1" applyProtection="1"/>
    <xf numFmtId="0" fontId="1" fillId="15" borderId="0" xfId="6" applyAlignment="1">
      <alignment horizontal="center" vertical="center"/>
    </xf>
    <xf numFmtId="0" fontId="6" fillId="0" borderId="225" xfId="0" applyFont="1" applyFill="1" applyBorder="1" applyAlignment="1">
      <alignment horizontal="left"/>
    </xf>
    <xf numFmtId="0" fontId="6" fillId="0" borderId="215" xfId="0" applyFont="1" applyBorder="1" applyAlignment="1">
      <alignment horizontal="left"/>
    </xf>
    <xf numFmtId="0" fontId="6" fillId="0" borderId="163" xfId="0" applyFont="1" applyFill="1" applyBorder="1" applyAlignment="1">
      <alignment horizontal="left"/>
    </xf>
    <xf numFmtId="0" fontId="6" fillId="0" borderId="165" xfId="0" applyFont="1" applyFill="1" applyBorder="1" applyAlignment="1">
      <alignment horizontal="left"/>
    </xf>
    <xf numFmtId="0" fontId="34" fillId="10" borderId="165" xfId="0" applyFont="1" applyFill="1" applyBorder="1" applyAlignment="1">
      <alignment horizontal="center"/>
    </xf>
    <xf numFmtId="0" fontId="37" fillId="10" borderId="148" xfId="0" applyFont="1" applyFill="1" applyBorder="1"/>
    <xf numFmtId="2" fontId="37" fillId="10" borderId="149" xfId="0" applyNumberFormat="1" applyFont="1" applyFill="1" applyBorder="1"/>
    <xf numFmtId="0" fontId="2" fillId="0" borderId="1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0" fillId="0" borderId="49" xfId="0" applyFont="1" applyFill="1" applyBorder="1" applyAlignment="1">
      <alignment horizontal="center"/>
    </xf>
    <xf numFmtId="0" fontId="0" fillId="0" borderId="164" xfId="0" applyFont="1" applyFill="1" applyBorder="1" applyAlignment="1">
      <alignment horizontal="center"/>
    </xf>
    <xf numFmtId="0" fontId="2" fillId="0" borderId="151" xfId="0" applyFont="1" applyBorder="1" applyAlignment="1">
      <alignment horizontal="center"/>
    </xf>
    <xf numFmtId="0" fontId="2" fillId="0" borderId="222" xfId="0" applyFont="1" applyBorder="1" applyAlignment="1">
      <alignment horizontal="center"/>
    </xf>
    <xf numFmtId="0" fontId="8" fillId="0" borderId="151" xfId="0" applyFont="1" applyBorder="1" applyAlignment="1">
      <alignment horizontal="center"/>
    </xf>
    <xf numFmtId="0" fontId="8" fillId="0" borderId="222" xfId="0" applyFont="1" applyBorder="1" applyAlignment="1">
      <alignment horizontal="center"/>
    </xf>
    <xf numFmtId="0" fontId="8" fillId="0" borderId="218" xfId="0" applyFont="1" applyFill="1" applyBorder="1" applyAlignment="1">
      <alignment horizontal="center"/>
    </xf>
    <xf numFmtId="0" fontId="8" fillId="0" borderId="226" xfId="0" applyFont="1" applyFill="1" applyBorder="1" applyAlignment="1">
      <alignment horizontal="center"/>
    </xf>
    <xf numFmtId="0" fontId="0" fillId="0" borderId="148" xfId="0" applyFont="1" applyBorder="1" applyAlignment="1">
      <alignment horizontal="center"/>
    </xf>
    <xf numFmtId="0" fontId="0" fillId="0" borderId="149" xfId="0" applyFont="1" applyBorder="1" applyAlignment="1">
      <alignment horizontal="center"/>
    </xf>
    <xf numFmtId="0" fontId="8" fillId="0" borderId="173" xfId="0" applyFont="1" applyFill="1" applyBorder="1" applyAlignment="1">
      <alignment horizontal="center"/>
    </xf>
    <xf numFmtId="0" fontId="8" fillId="0" borderId="223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0" borderId="164" xfId="0" applyFont="1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164" xfId="0" applyFill="1" applyBorder="1" applyAlignment="1">
      <alignment horizontal="center"/>
    </xf>
    <xf numFmtId="0" fontId="6" fillId="9" borderId="171" xfId="0" applyFont="1" applyFill="1" applyBorder="1" applyAlignment="1">
      <alignment horizontal="left"/>
    </xf>
    <xf numFmtId="0" fontId="6" fillId="9" borderId="89" xfId="0" applyFont="1" applyFill="1" applyBorder="1" applyAlignment="1">
      <alignment horizontal="left"/>
    </xf>
    <xf numFmtId="0" fontId="2" fillId="4" borderId="88" xfId="0" applyFont="1" applyFill="1" applyBorder="1" applyAlignment="1" applyProtection="1">
      <alignment horizontal="center"/>
    </xf>
    <xf numFmtId="0" fontId="2" fillId="4" borderId="89" xfId="0" applyFont="1" applyFill="1" applyBorder="1" applyAlignment="1" applyProtection="1">
      <alignment horizontal="center"/>
    </xf>
    <xf numFmtId="0" fontId="2" fillId="4" borderId="127" xfId="0" applyFont="1" applyFill="1" applyBorder="1" applyAlignment="1" applyProtection="1">
      <alignment horizontal="center"/>
    </xf>
    <xf numFmtId="0" fontId="7" fillId="6" borderId="142" xfId="0" applyFont="1" applyFill="1" applyBorder="1" applyAlignment="1" applyProtection="1">
      <alignment horizontal="center"/>
    </xf>
    <xf numFmtId="0" fontId="7" fillId="6" borderId="80" xfId="0" applyFont="1" applyFill="1" applyBorder="1" applyAlignment="1" applyProtection="1">
      <alignment horizontal="center"/>
    </xf>
    <xf numFmtId="0" fontId="7" fillId="6" borderId="81" xfId="0" applyFont="1" applyFill="1" applyBorder="1" applyAlignment="1" applyProtection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8">
    <cellStyle name="20% - Accent1" xfId="2" builtinId="30"/>
    <cellStyle name="20% - Accent2" xfId="4" builtinId="34"/>
    <cellStyle name="60% - Accent3" xfId="6" builtinId="40"/>
    <cellStyle name="60% - Accent6" xfId="7" builtinId="52"/>
    <cellStyle name="Accent2" xfId="3" builtinId="33"/>
    <cellStyle name="Accent3" xfId="5" builtinId="37"/>
    <cellStyle name="Linked Cell" xfId="1" builtinId="24"/>
    <cellStyle name="Normal" xfId="0" builtinId="0"/>
  </cellStyles>
  <dxfs count="32">
    <dxf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border outline="0">
        <top style="hair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indexed="42"/>
        </patternFill>
      </fill>
    </dxf>
    <dxf>
      <border outline="0">
        <bottom style="hair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C000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A0F0E-30B7-4C00-9465-581018727797}" name="Table1" displayName="Table1" ref="E1:K16" totalsRowShown="0" headerRowDxfId="11" dataDxfId="9" headerRowBorderDxfId="10" tableBorderDxfId="8" totalsRowBorderDxfId="7" headerRowCellStyle="Accent3">
  <autoFilter ref="E1:K16" xr:uid="{B118AAE5-6314-4991-BDCF-17CA9FBC3FF9}"/>
  <tableColumns count="7">
    <tableColumn id="1" xr3:uid="{5D36B30D-77B8-4D5D-9895-480D061267C8}" name="Last Name" dataDxfId="6"/>
    <tableColumn id="2" xr3:uid="{A6E9D35F-FE71-4119-B014-9E48C54984B4}" name="First Name" dataDxfId="5"/>
    <tableColumn id="3" xr3:uid="{3999A4BB-7307-470B-A6E4-445EE30963B1}" name="Branch" dataDxfId="4"/>
    <tableColumn id="4" xr3:uid="{7CB69ADB-FD93-4D3B-B155-F71BE7E3770F}" name="ID Number" dataDxfId="3"/>
    <tableColumn id="5" xr3:uid="{940639FA-9D60-4218-AF21-AAC1E4B69678}" name="Address" dataDxfId="2"/>
    <tableColumn id="6" xr3:uid="{6B88A187-DB08-469F-9EAA-D4B0D564CB1A}" name="email Address" dataDxfId="1"/>
    <tableColumn id="7" xr3:uid="{2758765F-F6B7-49E9-A496-3CB036C89C91}" name="Ph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46"/>
  <sheetViews>
    <sheetView workbookViewId="0">
      <selection activeCell="C8" sqref="C8"/>
    </sheetView>
  </sheetViews>
  <sheetFormatPr defaultColWidth="9.1796875" defaultRowHeight="12.5"/>
  <cols>
    <col min="1" max="1" width="2.7265625" style="14" customWidth="1"/>
    <col min="2" max="2" width="36.54296875" style="14" customWidth="1"/>
    <col min="3" max="3" width="69.26953125" style="14" customWidth="1"/>
    <col min="4" max="16384" width="9.1796875" style="14"/>
  </cols>
  <sheetData>
    <row r="1" spans="2:16" s="5" customFormat="1" ht="13" thickBot="1"/>
    <row r="2" spans="2:16" s="23" customFormat="1" ht="15" thickBot="1">
      <c r="B2" s="16" t="s">
        <v>10</v>
      </c>
      <c r="C2" s="629" t="str">
        <f>"IC"&amp;C15&amp;"-"&amp;C23&amp;"-"&amp;C22&amp;C8</f>
        <v>IC15N-240517-10Kansas_ROAR_3</v>
      </c>
      <c r="D2" s="24"/>
      <c r="E2" s="25"/>
      <c r="F2" s="25"/>
      <c r="G2" s="25"/>
      <c r="H2" s="27"/>
      <c r="I2" s="22"/>
      <c r="J2" s="22"/>
      <c r="K2" s="22"/>
      <c r="L2" s="22"/>
      <c r="M2" s="22"/>
      <c r="N2" s="22"/>
      <c r="O2" s="22"/>
      <c r="P2" s="22"/>
    </row>
    <row r="3" spans="2:16" s="23" customFormat="1" ht="13">
      <c r="B3" s="16"/>
      <c r="C3" s="17"/>
      <c r="D3" s="24"/>
      <c r="E3" s="25"/>
      <c r="F3" s="25"/>
      <c r="G3" s="25"/>
      <c r="H3" s="27"/>
      <c r="I3" s="22"/>
      <c r="J3" s="22"/>
      <c r="K3" s="22"/>
      <c r="L3" s="22"/>
      <c r="M3" s="22"/>
      <c r="N3" s="22"/>
      <c r="O3" s="22"/>
      <c r="P3" s="22"/>
    </row>
    <row r="4" spans="2:16" ht="13">
      <c r="B4" s="28" t="s">
        <v>363</v>
      </c>
      <c r="D4" s="29"/>
      <c r="E4" s="29"/>
      <c r="F4" s="29"/>
      <c r="G4" s="29"/>
      <c r="H4" s="29"/>
    </row>
    <row r="5" spans="2:16" ht="13" thickBot="1"/>
    <row r="6" spans="2:16" ht="13.5" thickTop="1">
      <c r="B6" s="36" t="s">
        <v>361</v>
      </c>
      <c r="C6" s="622" t="s">
        <v>364</v>
      </c>
      <c r="D6" s="15"/>
      <c r="E6" s="13"/>
      <c r="F6" s="15"/>
      <c r="G6" s="15"/>
      <c r="H6" s="15"/>
      <c r="I6" s="15"/>
    </row>
    <row r="7" spans="2:16" ht="13">
      <c r="B7" s="37" t="s">
        <v>20</v>
      </c>
      <c r="C7" s="621" t="s">
        <v>365</v>
      </c>
      <c r="D7" s="13"/>
      <c r="E7" s="15"/>
      <c r="F7" s="15"/>
      <c r="G7" s="15"/>
      <c r="H7" s="15"/>
      <c r="I7" s="15"/>
    </row>
    <row r="8" spans="2:16" ht="13">
      <c r="B8" s="37" t="s">
        <v>150</v>
      </c>
      <c r="C8" s="621" t="s">
        <v>368</v>
      </c>
      <c r="D8" s="13"/>
      <c r="E8" s="15"/>
      <c r="F8" s="15"/>
      <c r="G8" s="15"/>
      <c r="H8" s="15"/>
      <c r="I8" s="15"/>
    </row>
    <row r="9" spans="2:16" ht="13">
      <c r="B9" s="37" t="s">
        <v>23</v>
      </c>
      <c r="C9" s="621" t="s">
        <v>273</v>
      </c>
      <c r="D9" s="15"/>
      <c r="E9" s="15"/>
      <c r="F9" s="15"/>
      <c r="G9" s="15"/>
      <c r="H9" s="15"/>
      <c r="I9" s="15"/>
    </row>
    <row r="10" spans="2:16" ht="14.5">
      <c r="B10" s="37" t="s">
        <v>16</v>
      </c>
      <c r="C10" s="626" t="str">
        <f>VLOOKUP($C$9,Table1[],3)</f>
        <v>FEB</v>
      </c>
      <c r="D10" s="15"/>
      <c r="E10" s="15"/>
      <c r="F10" s="15"/>
      <c r="G10" s="15"/>
      <c r="H10" s="15"/>
      <c r="I10" s="15"/>
    </row>
    <row r="11" spans="2:16" ht="14.5">
      <c r="B11" s="37" t="s">
        <v>19</v>
      </c>
      <c r="C11" s="626" t="str">
        <f>VLOOKUP($C$9,Table1[],5)</f>
        <v>Corvallis MOD 130</v>
      </c>
      <c r="D11" s="15"/>
      <c r="E11" s="15"/>
      <c r="F11" s="15"/>
      <c r="G11" s="15"/>
      <c r="H11" s="15"/>
      <c r="I11" s="15"/>
    </row>
    <row r="12" spans="2:16" ht="14.5">
      <c r="B12" s="37" t="s">
        <v>17</v>
      </c>
      <c r="C12" s="626" t="str">
        <f>VLOOKUP($C$9,Table1[],6)</f>
        <v>compton.jana@epa.gov</v>
      </c>
      <c r="D12" s="15"/>
      <c r="E12" s="15"/>
      <c r="F12" s="15"/>
      <c r="G12" s="15"/>
      <c r="H12" s="15"/>
      <c r="I12" s="15"/>
      <c r="J12" s="579"/>
    </row>
    <row r="13" spans="2:16" ht="14.5">
      <c r="B13" s="37" t="s">
        <v>18</v>
      </c>
      <c r="C13" s="626">
        <f>VLOOKUP($C$9,Table1[],7)</f>
        <v>4620</v>
      </c>
      <c r="D13" s="15"/>
      <c r="E13" s="15"/>
      <c r="F13" s="15"/>
      <c r="G13" s="15"/>
      <c r="H13" s="15"/>
      <c r="I13" s="15"/>
    </row>
    <row r="14" spans="2:16" ht="13">
      <c r="B14" s="37" t="s">
        <v>29</v>
      </c>
      <c r="C14" s="627" t="s">
        <v>326</v>
      </c>
      <c r="D14" s="15"/>
      <c r="E14" s="15"/>
      <c r="F14" s="15"/>
      <c r="G14" s="15"/>
      <c r="H14" s="15"/>
      <c r="I14" s="15"/>
    </row>
    <row r="15" spans="2:16" ht="13">
      <c r="B15" s="37" t="s">
        <v>178</v>
      </c>
      <c r="C15" s="621" t="s">
        <v>323</v>
      </c>
      <c r="D15" s="15"/>
      <c r="E15" s="15"/>
      <c r="F15" s="15"/>
      <c r="G15" s="15"/>
      <c r="H15" s="15"/>
      <c r="I15" s="15"/>
    </row>
    <row r="16" spans="2:16" ht="13">
      <c r="B16" s="37" t="s">
        <v>333</v>
      </c>
      <c r="C16" s="621"/>
      <c r="D16" s="15"/>
      <c r="E16" s="15"/>
      <c r="F16" s="15"/>
      <c r="G16" s="15"/>
      <c r="H16" s="15"/>
      <c r="I16" s="15"/>
    </row>
    <row r="17" spans="2:9" ht="13">
      <c r="B17" s="37" t="s">
        <v>332</v>
      </c>
      <c r="C17" s="621"/>
      <c r="D17" s="15"/>
      <c r="E17" s="15"/>
      <c r="F17" s="15"/>
      <c r="G17" s="15"/>
      <c r="H17" s="15"/>
      <c r="I17" s="15"/>
    </row>
    <row r="18" spans="2:9" ht="13">
      <c r="B18" s="37" t="s">
        <v>334</v>
      </c>
      <c r="C18" s="621"/>
      <c r="D18" s="15"/>
      <c r="E18" s="15"/>
      <c r="F18" s="15"/>
      <c r="G18" s="15"/>
      <c r="H18" s="15"/>
      <c r="I18" s="15"/>
    </row>
    <row r="19" spans="2:9" ht="13">
      <c r="B19" s="37" t="s">
        <v>153</v>
      </c>
      <c r="C19" s="621" t="s">
        <v>366</v>
      </c>
      <c r="D19" s="15"/>
      <c r="E19" s="15"/>
      <c r="F19" s="15"/>
      <c r="G19" s="15"/>
      <c r="H19" s="15"/>
      <c r="I19" s="15"/>
    </row>
    <row r="20" spans="2:9" ht="13">
      <c r="B20" s="37" t="s">
        <v>71</v>
      </c>
      <c r="C20" s="621" t="s">
        <v>319</v>
      </c>
      <c r="D20" s="15"/>
      <c r="E20" s="15"/>
      <c r="F20" s="15"/>
      <c r="G20" s="15"/>
      <c r="H20" s="15"/>
      <c r="I20" s="15"/>
    </row>
    <row r="21" spans="2:9" ht="13">
      <c r="B21" s="37" t="s">
        <v>72</v>
      </c>
      <c r="C21" s="621" t="s">
        <v>319</v>
      </c>
      <c r="D21" s="15"/>
      <c r="E21" s="15"/>
      <c r="F21" s="15"/>
      <c r="G21" s="15"/>
      <c r="H21" s="15"/>
      <c r="I21" s="15"/>
    </row>
    <row r="22" spans="2:9" ht="14.5">
      <c r="B22" s="37" t="s">
        <v>151</v>
      </c>
      <c r="C22" s="626">
        <f>VLOOKUP($C$9,Table1[],4)</f>
        <v>10</v>
      </c>
      <c r="D22" s="15"/>
      <c r="E22" s="15"/>
      <c r="F22" s="15"/>
      <c r="G22" s="15"/>
      <c r="H22" s="15"/>
      <c r="I22" s="15"/>
    </row>
    <row r="23" spans="2:9" ht="13.5" thickBot="1">
      <c r="B23" s="38" t="s">
        <v>123</v>
      </c>
      <c r="C23" s="628" t="s">
        <v>367</v>
      </c>
      <c r="D23" s="15"/>
      <c r="E23" s="15"/>
      <c r="F23" s="15"/>
      <c r="G23" s="15"/>
      <c r="H23" s="15"/>
      <c r="I23" s="15"/>
    </row>
    <row r="24" spans="2:9" ht="13" thickTop="1">
      <c r="C24" s="5"/>
    </row>
    <row r="26" spans="2:9" ht="13">
      <c r="B26" s="13" t="s">
        <v>27</v>
      </c>
    </row>
    <row r="27" spans="2:9" ht="13">
      <c r="B27" s="15" t="s">
        <v>73</v>
      </c>
      <c r="C27" s="13"/>
    </row>
    <row r="28" spans="2:9" ht="13">
      <c r="B28" s="15" t="s">
        <v>163</v>
      </c>
      <c r="C28" s="15"/>
    </row>
    <row r="29" spans="2:9" ht="13">
      <c r="B29" s="15" t="s">
        <v>362</v>
      </c>
      <c r="C29" s="15"/>
    </row>
    <row r="30" spans="2:9">
      <c r="B30" s="15" t="s">
        <v>330</v>
      </c>
      <c r="C30" s="15"/>
    </row>
    <row r="31" spans="2:9">
      <c r="B31" s="15" t="s">
        <v>331</v>
      </c>
      <c r="C31" s="15"/>
    </row>
    <row r="32" spans="2:9">
      <c r="B32" s="15" t="s">
        <v>154</v>
      </c>
      <c r="C32" s="15"/>
    </row>
    <row r="33" spans="2:4" ht="13" thickBot="1">
      <c r="C33" s="15"/>
    </row>
    <row r="34" spans="2:4" s="5" customFormat="1" ht="13.5" thickTop="1">
      <c r="B34" s="651" t="s">
        <v>98</v>
      </c>
      <c r="C34" s="652"/>
      <c r="D34" s="653"/>
    </row>
    <row r="35" spans="2:4" ht="13">
      <c r="B35" s="34" t="s">
        <v>100</v>
      </c>
      <c r="C35" s="656" t="s">
        <v>99</v>
      </c>
      <c r="D35" s="657"/>
    </row>
    <row r="36" spans="2:4" ht="13">
      <c r="B36" s="35" t="s">
        <v>105</v>
      </c>
      <c r="C36" s="658" t="s">
        <v>104</v>
      </c>
      <c r="D36" s="659"/>
    </row>
    <row r="37" spans="2:4" ht="13">
      <c r="B37" s="35" t="s">
        <v>120</v>
      </c>
      <c r="C37" s="658" t="s">
        <v>122</v>
      </c>
      <c r="D37" s="659"/>
    </row>
    <row r="38" spans="2:4" ht="13">
      <c r="B38" s="48" t="s">
        <v>121</v>
      </c>
      <c r="C38" s="658" t="s">
        <v>106</v>
      </c>
      <c r="D38" s="659"/>
    </row>
    <row r="39" spans="2:4" ht="13">
      <c r="B39" s="644" t="s">
        <v>146</v>
      </c>
      <c r="C39" s="660" t="s">
        <v>108</v>
      </c>
      <c r="D39" s="661"/>
    </row>
    <row r="40" spans="2:4" ht="13">
      <c r="B40" s="645" t="s">
        <v>101</v>
      </c>
      <c r="C40" s="664" t="s">
        <v>107</v>
      </c>
      <c r="D40" s="665"/>
    </row>
    <row r="41" spans="2:4" ht="15">
      <c r="B41" s="437" t="s">
        <v>102</v>
      </c>
      <c r="C41" s="666" t="s">
        <v>147</v>
      </c>
      <c r="D41" s="667"/>
    </row>
    <row r="42" spans="2:4" ht="15">
      <c r="B42" s="437" t="s">
        <v>103</v>
      </c>
      <c r="C42" s="666" t="s">
        <v>148</v>
      </c>
      <c r="D42" s="667"/>
    </row>
    <row r="43" spans="2:4" ht="14.5">
      <c r="B43" s="437" t="s">
        <v>179</v>
      </c>
      <c r="C43" s="668" t="s">
        <v>180</v>
      </c>
      <c r="D43" s="669"/>
    </row>
    <row r="44" spans="2:4" ht="13">
      <c r="B44" s="646" t="s">
        <v>340</v>
      </c>
      <c r="C44" s="654" t="s">
        <v>342</v>
      </c>
      <c r="D44" s="655"/>
    </row>
    <row r="45" spans="2:4" ht="13.5" thickBot="1">
      <c r="B45" s="647" t="s">
        <v>341</v>
      </c>
      <c r="C45" s="662" t="s">
        <v>343</v>
      </c>
      <c r="D45" s="663"/>
    </row>
    <row r="46" spans="2:4" ht="13.5" thickTop="1">
      <c r="B46" s="47"/>
      <c r="C46" s="29"/>
    </row>
  </sheetData>
  <protectedRanges>
    <protectedRange password="94AB" sqref="C6:C23" name="Cover data_1_1_1"/>
  </protectedRanges>
  <mergeCells count="12">
    <mergeCell ref="C45:D45"/>
    <mergeCell ref="C40:D40"/>
    <mergeCell ref="C41:D41"/>
    <mergeCell ref="C42:D42"/>
    <mergeCell ref="C43:D43"/>
    <mergeCell ref="B34:D34"/>
    <mergeCell ref="C44:D44"/>
    <mergeCell ref="C35:D35"/>
    <mergeCell ref="C36:D36"/>
    <mergeCell ref="C37:D37"/>
    <mergeCell ref="C38:D38"/>
    <mergeCell ref="C39:D39"/>
  </mergeCells>
  <phoneticPr fontId="0" type="noConversion"/>
  <pageMargins left="0.65" right="0.43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Input Isotope(s) for Analysis" xr:uid="{BE547A5D-D660-4893-80CB-5C11340DCF95}">
          <x14:formula1>
            <xm:f>Tables!$H$18:$H$21</xm:f>
          </x14:formula1>
          <xm:sqref>C15</xm:sqref>
        </x14:dataValidation>
        <x14:dataValidation type="list" allowBlank="1" showInputMessage="1" showErrorMessage="1" promptTitle="Input Technician if Known" xr:uid="{397233FF-BA0A-4051-8BC4-42D091C1B4EA}">
          <x14:formula1>
            <xm:f>Tables!$H$23:$H$26</xm:f>
          </x14:formula1>
          <xm:sqref>C14</xm:sqref>
        </x14:dataValidation>
        <x14:dataValidation type="list" allowBlank="1" showInputMessage="1" showErrorMessage="1" xr:uid="{8787B856-B103-4E74-957A-7877336AA50D}">
          <x14:formula1>
            <xm:f>Tables!$E$19:$E$20</xm:f>
          </x14:formula1>
          <xm:sqref>C20:C21</xm:sqref>
        </x14:dataValidation>
        <x14:dataValidation type="list" allowBlank="1" showInputMessage="1" showErrorMessage="1" promptTitle="Enter Formatted Date" xr:uid="{FFEB9AB6-F3EF-4CB8-9648-23C6D3BFDE04}">
          <x14:formula1>
            <xm:f>Tables!$E$28:$E$29</xm:f>
          </x14:formula1>
          <xm:sqref>C23</xm:sqref>
        </x14:dataValidation>
        <x14:dataValidation type="list" allowBlank="1" showInputMessage="1" showErrorMessage="1" promptTitle="Input Investigator Name" xr:uid="{A4BBA6F4-E1BF-49CE-BD35-7697B04A4D69}">
          <x14:formula1>
            <xm:f>Tables!$E$2:$E$16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66"/>
  <sheetViews>
    <sheetView tabSelected="1" topLeftCell="A16" workbookViewId="0">
      <selection activeCell="C18" sqref="C18"/>
    </sheetView>
  </sheetViews>
  <sheetFormatPr defaultColWidth="11.453125" defaultRowHeight="12.5"/>
  <cols>
    <col min="1" max="1" width="8.26953125" style="15" customWidth="1"/>
    <col min="2" max="2" width="26" style="411" customWidth="1"/>
    <col min="3" max="3" width="19.1796875" style="411" customWidth="1"/>
    <col min="4" max="4" width="12.54296875" style="411" customWidth="1"/>
    <col min="5" max="6" width="10.81640625" style="411" customWidth="1"/>
    <col min="7" max="8" width="12.7265625" style="411" customWidth="1"/>
    <col min="9" max="9" width="29.7265625" style="412" bestFit="1" customWidth="1"/>
    <col min="10" max="11" width="11.453125" style="15" customWidth="1"/>
    <col min="12" max="12" width="9.54296875" style="15" customWidth="1"/>
    <col min="13" max="13" width="13" style="15" customWidth="1"/>
    <col min="14" max="14" width="9.26953125" style="15" customWidth="1"/>
    <col min="15" max="15" width="12.453125" style="15" customWidth="1"/>
    <col min="16" max="16" width="11.1796875" style="15" customWidth="1"/>
    <col min="17" max="17" width="7.7265625" style="15" customWidth="1"/>
    <col min="18" max="18" width="7.453125" style="15" customWidth="1"/>
    <col min="19" max="19" width="6.81640625" style="15" customWidth="1"/>
    <col min="20" max="16384" width="11.453125" style="15"/>
  </cols>
  <sheetData>
    <row r="1" spans="1:17" ht="13" thickBot="1"/>
    <row r="2" spans="1:17" s="23" customFormat="1" ht="13.5" thickTop="1">
      <c r="A2" s="408"/>
      <c r="B2" s="440" t="s">
        <v>10</v>
      </c>
      <c r="C2" s="670" t="str">
        <f>COVER!C2</f>
        <v>IC15N-240517-10Kansas_ROAR_3</v>
      </c>
      <c r="D2" s="671"/>
      <c r="E2" s="578"/>
      <c r="F2" s="409"/>
      <c r="G2" s="409"/>
      <c r="H2" s="429"/>
      <c r="I2" s="413" t="s">
        <v>145</v>
      </c>
      <c r="J2" s="22"/>
      <c r="K2" s="22"/>
      <c r="L2" s="22"/>
      <c r="M2" s="22"/>
      <c r="N2" s="22"/>
      <c r="O2" s="22"/>
      <c r="P2" s="22"/>
      <c r="Q2" s="22"/>
    </row>
    <row r="3" spans="1:17" s="22" customFormat="1" ht="15">
      <c r="A3" s="414" t="s">
        <v>66</v>
      </c>
      <c r="B3" s="438" t="s">
        <v>21</v>
      </c>
      <c r="C3" s="438" t="s">
        <v>161</v>
      </c>
      <c r="D3" s="439" t="s">
        <v>67</v>
      </c>
      <c r="E3" s="439" t="s">
        <v>182</v>
      </c>
      <c r="F3" s="415" t="s">
        <v>68</v>
      </c>
      <c r="G3" s="415" t="s">
        <v>183</v>
      </c>
      <c r="H3" s="415" t="s">
        <v>253</v>
      </c>
      <c r="I3" s="596"/>
      <c r="J3" s="23"/>
    </row>
    <row r="4" spans="1:17" s="22" customFormat="1">
      <c r="A4" s="418" t="s">
        <v>74</v>
      </c>
      <c r="B4" s="574" t="s">
        <v>369</v>
      </c>
      <c r="C4" s="574">
        <v>30</v>
      </c>
      <c r="D4" s="416" t="str">
        <f>IF(COUNT('ISIRF RAW'!M12,'ISIRF RAW'!M56)=0,"",AVERAGE('ISIRF RAW'!M12,'ISIRF RAW'!M56))</f>
        <v/>
      </c>
      <c r="E4" s="416" t="str">
        <f>IF(COUNT('ISIRF RAW'!O12,'ISIRF RAW'!O56)=0,"",AVERAGE('ISIRF RAW'!O12,'ISIRF RAW'!O56))</f>
        <v/>
      </c>
      <c r="F4" s="416" t="str">
        <f>IF(COUNT('ISIRF RAW'!J12,'ISIRF RAW'!J56)=0,"",AVERAGE('ISIRF RAW'!J12,'ISIRF RAW'!J56))</f>
        <v/>
      </c>
      <c r="G4" s="416" t="str">
        <f>IF(COUNT('ISIRF RAW'!L12,'ISIRF RAW'!L56)=0,"", AVERAGE('ISIRF RAW'!L12,'ISIRF RAW'!L56))</f>
        <v/>
      </c>
      <c r="H4" s="430" t="e">
        <f t="shared" ref="H4" si="0">D4/F4</f>
        <v>#VALUE!</v>
      </c>
      <c r="I4" s="594"/>
    </row>
    <row r="5" spans="1:17" s="22" customFormat="1">
      <c r="A5" s="417">
        <v>2</v>
      </c>
      <c r="B5" s="574" t="s">
        <v>370</v>
      </c>
      <c r="C5" s="574">
        <v>30</v>
      </c>
      <c r="D5" s="416" t="str">
        <f>IF(COUNT('ISIRF RAW'!M13)=0,"",'ISIRF RAW'!M13)</f>
        <v/>
      </c>
      <c r="E5" s="416" t="str">
        <f>IF(COUNT('ISIRF RAW'!O13)=0,"",'ISIRF RAW'!O13)</f>
        <v/>
      </c>
      <c r="F5" s="416" t="str">
        <f>IF(COUNT('ISIRF RAW'!J13)=0,"",'ISIRF RAW'!J13)</f>
        <v/>
      </c>
      <c r="G5" s="416" t="str">
        <f>IF(COUNT('ISIRF RAW'!L13)=0,"",'ISIRF RAW'!L13)</f>
        <v/>
      </c>
      <c r="H5" s="430" t="e">
        <f t="shared" ref="H5:H39" si="1">D5/F5</f>
        <v>#VALUE!</v>
      </c>
      <c r="I5" s="594"/>
    </row>
    <row r="6" spans="1:17" s="22" customFormat="1">
      <c r="A6" s="417">
        <v>3</v>
      </c>
      <c r="B6" s="574" t="s">
        <v>371</v>
      </c>
      <c r="C6" s="574">
        <v>30</v>
      </c>
      <c r="D6" s="416" t="str">
        <f>IF(COUNT('ISIRF RAW'!M14)=0,"",'ISIRF RAW'!M14)</f>
        <v/>
      </c>
      <c r="E6" s="416" t="str">
        <f>IF(COUNT('ISIRF RAW'!O14)=0,"",'ISIRF RAW'!O14)</f>
        <v/>
      </c>
      <c r="F6" s="416" t="str">
        <f>IF(COUNT('ISIRF RAW'!J14)=0,"",'ISIRF RAW'!J14)</f>
        <v/>
      </c>
      <c r="G6" s="416" t="str">
        <f>IF(COUNT('ISIRF RAW'!L14)=0,"",'ISIRF RAW'!L14)</f>
        <v/>
      </c>
      <c r="H6" s="430" t="e">
        <f t="shared" si="1"/>
        <v>#VALUE!</v>
      </c>
      <c r="I6" s="594"/>
    </row>
    <row r="7" spans="1:17" s="22" customFormat="1">
      <c r="A7" s="417">
        <v>4</v>
      </c>
      <c r="B7" s="574" t="s">
        <v>372</v>
      </c>
      <c r="C7" s="574">
        <v>30</v>
      </c>
      <c r="D7" s="416" t="str">
        <f>IF(COUNT('ISIRF RAW'!M15)=0,"",'ISIRF RAW'!M15)</f>
        <v/>
      </c>
      <c r="E7" s="416" t="str">
        <f>IF(COUNT('ISIRF RAW'!O15)=0,"",'ISIRF RAW'!O15)</f>
        <v/>
      </c>
      <c r="F7" s="416" t="str">
        <f>IF(COUNT('ISIRF RAW'!J15)=0,"",'ISIRF RAW'!J15)</f>
        <v/>
      </c>
      <c r="G7" s="416" t="str">
        <f>IF(COUNT('ISIRF RAW'!L15)=0,"",'ISIRF RAW'!L15)</f>
        <v/>
      </c>
      <c r="H7" s="430" t="e">
        <f t="shared" si="1"/>
        <v>#VALUE!</v>
      </c>
      <c r="I7" s="594"/>
    </row>
    <row r="8" spans="1:17" s="22" customFormat="1">
      <c r="A8" s="417">
        <v>5</v>
      </c>
      <c r="B8" s="574" t="s">
        <v>373</v>
      </c>
      <c r="C8" s="574">
        <v>30</v>
      </c>
      <c r="D8" s="416" t="str">
        <f>IF(COUNT('ISIRF RAW'!M16)=0,"",'ISIRF RAW'!M16)</f>
        <v/>
      </c>
      <c r="E8" s="416" t="str">
        <f>IF(COUNT('ISIRF RAW'!O16)=0,"",'ISIRF RAW'!O16)</f>
        <v/>
      </c>
      <c r="F8" s="416" t="str">
        <f>IF(COUNT('ISIRF RAW'!J16)=0,"",'ISIRF RAW'!J16)</f>
        <v/>
      </c>
      <c r="G8" s="416" t="str">
        <f>IF(COUNT('ISIRF RAW'!L16)=0,"",'ISIRF RAW'!L16)</f>
        <v/>
      </c>
      <c r="H8" s="430" t="e">
        <f t="shared" si="1"/>
        <v>#VALUE!</v>
      </c>
      <c r="I8" s="594"/>
    </row>
    <row r="9" spans="1:17" s="22" customFormat="1">
      <c r="A9" s="417">
        <v>6</v>
      </c>
      <c r="B9" s="574" t="s">
        <v>374</v>
      </c>
      <c r="C9" s="574">
        <v>30</v>
      </c>
      <c r="D9" s="416" t="str">
        <f>IF(COUNT('ISIRF RAW'!M17)=0,"",'ISIRF RAW'!M17)</f>
        <v/>
      </c>
      <c r="E9" s="416" t="str">
        <f>IF(COUNT('ISIRF RAW'!O17)=0,"",'ISIRF RAW'!O17)</f>
        <v/>
      </c>
      <c r="F9" s="416" t="str">
        <f>IF(COUNT('ISIRF RAW'!J17)=0,"",'ISIRF RAW'!J17)</f>
        <v/>
      </c>
      <c r="G9" s="416" t="str">
        <f>IF(COUNT('ISIRF RAW'!L17)=0,"",'ISIRF RAW'!L17)</f>
        <v/>
      </c>
      <c r="H9" s="430" t="e">
        <f t="shared" si="1"/>
        <v>#VALUE!</v>
      </c>
      <c r="I9" s="594"/>
    </row>
    <row r="10" spans="1:17" s="22" customFormat="1">
      <c r="A10" s="417">
        <v>7</v>
      </c>
      <c r="B10" s="574" t="s">
        <v>375</v>
      </c>
      <c r="C10" s="574">
        <v>30</v>
      </c>
      <c r="D10" s="416" t="str">
        <f>IF(COUNT('ISIRF RAW'!M18)=0,"",'ISIRF RAW'!M18)</f>
        <v/>
      </c>
      <c r="E10" s="416" t="str">
        <f>IF(COUNT('ISIRF RAW'!O18)=0,"",'ISIRF RAW'!O18)</f>
        <v/>
      </c>
      <c r="F10" s="416" t="str">
        <f>IF(COUNT('ISIRF RAW'!J18)=0,"",'ISIRF RAW'!J18)</f>
        <v/>
      </c>
      <c r="G10" s="416" t="str">
        <f>IF(COUNT('ISIRF RAW'!L18)=0,"",'ISIRF RAW'!L18)</f>
        <v/>
      </c>
      <c r="H10" s="430" t="e">
        <f t="shared" si="1"/>
        <v>#VALUE!</v>
      </c>
      <c r="I10" s="594"/>
    </row>
    <row r="11" spans="1:17" s="22" customFormat="1">
      <c r="A11" s="417">
        <v>8</v>
      </c>
      <c r="B11" s="574" t="s">
        <v>376</v>
      </c>
      <c r="C11" s="574">
        <v>30</v>
      </c>
      <c r="D11" s="416" t="str">
        <f>IF(COUNT('ISIRF RAW'!M19)=0,"",'ISIRF RAW'!M19)</f>
        <v/>
      </c>
      <c r="E11" s="416" t="str">
        <f>IF(COUNT('ISIRF RAW'!O19)=0,"",'ISIRF RAW'!O19)</f>
        <v/>
      </c>
      <c r="F11" s="416" t="str">
        <f>IF(COUNT('ISIRF RAW'!J19)=0,"",'ISIRF RAW'!J19)</f>
        <v/>
      </c>
      <c r="G11" s="416" t="str">
        <f>IF(COUNT('ISIRF RAW'!L19)=0,"",'ISIRF RAW'!L19)</f>
        <v/>
      </c>
      <c r="H11" s="430" t="e">
        <f t="shared" si="1"/>
        <v>#VALUE!</v>
      </c>
      <c r="I11" s="594"/>
    </row>
    <row r="12" spans="1:17" s="22" customFormat="1">
      <c r="A12" s="417">
        <v>9</v>
      </c>
      <c r="B12" s="574" t="s">
        <v>377</v>
      </c>
      <c r="C12" s="574">
        <v>30</v>
      </c>
      <c r="D12" s="416" t="str">
        <f>IF(COUNT('ISIRF RAW'!M20)=0,"",'ISIRF RAW'!M20)</f>
        <v/>
      </c>
      <c r="E12" s="416" t="str">
        <f>IF(COUNT('ISIRF RAW'!O20)=0,"",'ISIRF RAW'!O20)</f>
        <v/>
      </c>
      <c r="F12" s="416" t="str">
        <f>IF(COUNT('ISIRF RAW'!J20)=0,"",'ISIRF RAW'!J20)</f>
        <v/>
      </c>
      <c r="G12" s="416" t="str">
        <f>IF(COUNT('ISIRF RAW'!L20)=0,"",'ISIRF RAW'!L20)</f>
        <v/>
      </c>
      <c r="H12" s="430" t="e">
        <f t="shared" si="1"/>
        <v>#VALUE!</v>
      </c>
      <c r="I12" s="594"/>
    </row>
    <row r="13" spans="1:17" s="22" customFormat="1">
      <c r="A13" s="417">
        <v>10</v>
      </c>
      <c r="B13" s="574" t="s">
        <v>378</v>
      </c>
      <c r="C13" s="574">
        <v>30</v>
      </c>
      <c r="D13" s="416" t="str">
        <f>IF(COUNT('ISIRF RAW'!M22)=0,"",'ISIRF RAW'!M22)</f>
        <v/>
      </c>
      <c r="E13" s="416" t="str">
        <f>IF(COUNT('ISIRF RAW'!O22)=0,"",'ISIRF RAW'!O22)</f>
        <v/>
      </c>
      <c r="F13" s="416" t="str">
        <f>IF(COUNT('ISIRF RAW'!J22)=0,"",'ISIRF RAW'!J22)</f>
        <v/>
      </c>
      <c r="G13" s="416" t="str">
        <f>IF(COUNT('ISIRF RAW'!L22)=0,"",'ISIRF RAW'!L22)</f>
        <v/>
      </c>
      <c r="H13" s="430" t="e">
        <f t="shared" si="1"/>
        <v>#VALUE!</v>
      </c>
      <c r="I13" s="594"/>
    </row>
    <row r="14" spans="1:17" s="22" customFormat="1">
      <c r="A14" s="417">
        <v>11</v>
      </c>
      <c r="B14" s="574" t="s">
        <v>379</v>
      </c>
      <c r="C14" s="574">
        <v>30</v>
      </c>
      <c r="D14" s="416" t="str">
        <f>IF(COUNT('ISIRF RAW'!M23)=0,"",'ISIRF RAW'!M23)</f>
        <v/>
      </c>
      <c r="E14" s="416" t="str">
        <f>IF(COUNT('ISIRF RAW'!O23)=0,"",'ISIRF RAW'!O23)</f>
        <v/>
      </c>
      <c r="F14" s="416" t="str">
        <f>IF(COUNT('ISIRF RAW'!J23)=0,"",'ISIRF RAW'!J23)</f>
        <v/>
      </c>
      <c r="G14" s="416" t="str">
        <f>IF(COUNT('ISIRF RAW'!L23)=0,"",'ISIRF RAW'!L23)</f>
        <v/>
      </c>
      <c r="H14" s="430" t="e">
        <f t="shared" si="1"/>
        <v>#VALUE!</v>
      </c>
      <c r="I14" s="594"/>
    </row>
    <row r="15" spans="1:17" s="22" customFormat="1">
      <c r="A15" s="417">
        <v>12</v>
      </c>
      <c r="B15" s="574" t="s">
        <v>380</v>
      </c>
      <c r="C15" s="574">
        <v>30</v>
      </c>
      <c r="D15" s="416" t="str">
        <f>IF(COUNT('ISIRF RAW'!M24)=0,"",'ISIRF RAW'!M24)</f>
        <v/>
      </c>
      <c r="E15" s="416" t="str">
        <f>IF(COUNT('ISIRF RAW'!O24)=0,"",'ISIRF RAW'!O24)</f>
        <v/>
      </c>
      <c r="F15" s="416" t="str">
        <f>IF(COUNT('ISIRF RAW'!J24)=0,"",'ISIRF RAW'!J24)</f>
        <v/>
      </c>
      <c r="G15" s="416" t="str">
        <f>IF(COUNT('ISIRF RAW'!L24)=0,"",'ISIRF RAW'!L24)</f>
        <v/>
      </c>
      <c r="H15" s="430" t="e">
        <f t="shared" si="1"/>
        <v>#VALUE!</v>
      </c>
      <c r="I15" s="594"/>
    </row>
    <row r="16" spans="1:17" s="22" customFormat="1">
      <c r="A16" s="417">
        <v>13</v>
      </c>
      <c r="B16" s="574" t="s">
        <v>381</v>
      </c>
      <c r="C16" s="574">
        <v>30</v>
      </c>
      <c r="D16" s="416" t="str">
        <f>IF(COUNT('ISIRF RAW'!M25)=0,"",'ISIRF RAW'!M25)</f>
        <v/>
      </c>
      <c r="E16" s="416" t="str">
        <f>IF(COUNT('ISIRF RAW'!O25)=0,"",'ISIRF RAW'!O25)</f>
        <v/>
      </c>
      <c r="F16" s="416" t="str">
        <f>IF(COUNT('ISIRF RAW'!J25)=0,"",'ISIRF RAW'!J25)</f>
        <v/>
      </c>
      <c r="G16" s="416" t="str">
        <f>IF(COUNT('ISIRF RAW'!L25)=0,"",'ISIRF RAW'!L25)</f>
        <v/>
      </c>
      <c r="H16" s="430" t="e">
        <f t="shared" si="1"/>
        <v>#VALUE!</v>
      </c>
      <c r="I16" s="594"/>
    </row>
    <row r="17" spans="1:9" s="22" customFormat="1">
      <c r="A17" s="418" t="s">
        <v>162</v>
      </c>
      <c r="B17" s="574" t="s">
        <v>382</v>
      </c>
      <c r="C17" s="574">
        <v>30</v>
      </c>
      <c r="D17" s="416" t="str">
        <f>IF(COUNT('ISIRF RAW'!M26,'ISIRF RAW'!M27)=0,"",AVERAGE('ISIRF RAW'!M26,'ISIRF RAW'!M27))</f>
        <v/>
      </c>
      <c r="E17" s="416" t="str">
        <f>IF(COUNT('ISIRF RAW'!O26,'ISIRF RAW'!O27)=0,"",AVERAGE('ISIRF RAW'!O26,'ISIRF RAW'!O27))</f>
        <v/>
      </c>
      <c r="F17" s="416" t="str">
        <f>IF(COUNT('ISIRF RAW'!J26,'ISIRF RAW'!J27)=0,"",AVERAGE('ISIRF RAW'!J26,'ISIRF RAW'!J27))</f>
        <v/>
      </c>
      <c r="G17" s="416" t="str">
        <f>IF(COUNT('ISIRF RAW'!L26,'ISIRF RAW'!L27)=0,"", AVERAGE('ISIRF RAW'!L26,'ISIRF RAW'!L27))</f>
        <v/>
      </c>
      <c r="H17" s="430" t="e">
        <f t="shared" si="1"/>
        <v>#VALUE!</v>
      </c>
      <c r="I17" s="594"/>
    </row>
    <row r="18" spans="1:9" s="22" customFormat="1">
      <c r="A18" s="417">
        <v>15</v>
      </c>
      <c r="B18" s="574" t="s">
        <v>383</v>
      </c>
      <c r="C18" s="574">
        <v>30</v>
      </c>
      <c r="D18" s="416" t="str">
        <f>IF(COUNT('ISIRF RAW'!M28)=0,"",'ISIRF RAW'!M28)</f>
        <v/>
      </c>
      <c r="E18" s="416" t="str">
        <f>IF(COUNT('ISIRF RAW'!O28)=0,"",'ISIRF RAW'!O28)</f>
        <v/>
      </c>
      <c r="F18" s="416" t="str">
        <f>IF(COUNT('ISIRF RAW'!J28)=0,"",'ISIRF RAW'!J28)</f>
        <v/>
      </c>
      <c r="G18" s="416" t="str">
        <f>IF(COUNT('ISIRF RAW'!L28)=0,"",'ISIRF RAW'!L28)</f>
        <v/>
      </c>
      <c r="H18" s="430" t="e">
        <f t="shared" si="1"/>
        <v>#VALUE!</v>
      </c>
      <c r="I18" s="594"/>
    </row>
    <row r="19" spans="1:9" s="22" customFormat="1">
      <c r="A19" s="417">
        <v>16</v>
      </c>
      <c r="B19" s="574" t="s">
        <v>384</v>
      </c>
      <c r="C19" s="574">
        <v>30</v>
      </c>
      <c r="D19" s="416" t="str">
        <f>IF(COUNT('ISIRF RAW'!M29)=0,"",'ISIRF RAW'!M29)</f>
        <v/>
      </c>
      <c r="E19" s="416" t="str">
        <f>IF(COUNT('ISIRF RAW'!O29)=0,"",'ISIRF RAW'!O29)</f>
        <v/>
      </c>
      <c r="F19" s="416" t="str">
        <f>IF(COUNT('ISIRF RAW'!J29)=0,"",'ISIRF RAW'!J29)</f>
        <v/>
      </c>
      <c r="G19" s="416" t="str">
        <f>IF(COUNT('ISIRF RAW'!L29)=0,"",'ISIRF RAW'!L29)</f>
        <v/>
      </c>
      <c r="H19" s="430" t="e">
        <f t="shared" ref="H19" si="2">D19/F19</f>
        <v>#VALUE!</v>
      </c>
      <c r="I19" s="594"/>
    </row>
    <row r="20" spans="1:9" s="22" customFormat="1">
      <c r="A20" s="417">
        <v>17</v>
      </c>
      <c r="B20" s="574" t="s">
        <v>385</v>
      </c>
      <c r="C20" s="574">
        <v>30</v>
      </c>
      <c r="D20" s="416" t="str">
        <f>IF(COUNT('ISIRF RAW'!M30)=0,"",'ISIRF RAW'!M30)</f>
        <v/>
      </c>
      <c r="E20" s="416" t="str">
        <f>IF(COUNT('ISIRF RAW'!O30)=0,"",'ISIRF RAW'!O30)</f>
        <v/>
      </c>
      <c r="F20" s="416" t="str">
        <f>IF(COUNT('ISIRF RAW'!J30)=0,"",'ISIRF RAW'!J30)</f>
        <v/>
      </c>
      <c r="G20" s="416" t="str">
        <f>IF(COUNT('ISIRF RAW'!L30)=0,"",'ISIRF RAW'!L30)</f>
        <v/>
      </c>
      <c r="H20" s="430" t="e">
        <f t="shared" si="1"/>
        <v>#VALUE!</v>
      </c>
      <c r="I20" s="594"/>
    </row>
    <row r="21" spans="1:9" s="22" customFormat="1">
      <c r="A21" s="417">
        <v>18</v>
      </c>
      <c r="B21" s="574" t="s">
        <v>386</v>
      </c>
      <c r="C21" s="574">
        <v>30</v>
      </c>
      <c r="D21" s="416" t="str">
        <f>IF(COUNT('ISIRF RAW'!M31)=0,"",'ISIRF RAW'!M31)</f>
        <v/>
      </c>
      <c r="E21" s="416" t="str">
        <f>IF(COUNT('ISIRF RAW'!O31)=0,"",'ISIRF RAW'!O31)</f>
        <v/>
      </c>
      <c r="F21" s="416" t="str">
        <f>IF(COUNT('ISIRF RAW'!J31)=0,"",'ISIRF RAW'!J31)</f>
        <v/>
      </c>
      <c r="G21" s="416" t="str">
        <f>IF(COUNT('ISIRF RAW'!L31)=0,"",'ISIRF RAW'!L31)</f>
        <v/>
      </c>
      <c r="H21" s="430" t="e">
        <f t="shared" si="1"/>
        <v>#VALUE!</v>
      </c>
      <c r="I21" s="594"/>
    </row>
    <row r="22" spans="1:9" s="22" customFormat="1">
      <c r="A22" s="417">
        <v>19</v>
      </c>
      <c r="B22" s="574" t="s">
        <v>387</v>
      </c>
      <c r="C22" s="574">
        <v>30</v>
      </c>
      <c r="D22" s="416" t="str">
        <f>IF(COUNT('ISIRF RAW'!M37)=0,"",'ISIRF RAW'!M37)</f>
        <v/>
      </c>
      <c r="E22" s="416" t="str">
        <f>IF(COUNT('ISIRF RAW'!O37)=0,"",'ISIRF RAW'!O37)</f>
        <v/>
      </c>
      <c r="F22" s="416" t="str">
        <f>IF(COUNT('ISIRF RAW'!J37)=0,"",'ISIRF RAW'!J37)</f>
        <v/>
      </c>
      <c r="G22" s="416" t="str">
        <f>IF(COUNT('ISIRF RAW'!L37)=0,"",'ISIRF RAW'!L37)</f>
        <v/>
      </c>
      <c r="H22" s="430" t="e">
        <f t="shared" si="1"/>
        <v>#VALUE!</v>
      </c>
      <c r="I22" s="594"/>
    </row>
    <row r="23" spans="1:9" s="22" customFormat="1">
      <c r="A23" s="417">
        <v>20</v>
      </c>
      <c r="B23" s="574" t="s">
        <v>388</v>
      </c>
      <c r="C23" s="574">
        <v>30</v>
      </c>
      <c r="D23" s="416" t="str">
        <f>IF(COUNT('ISIRF RAW'!M38)=0,"",'ISIRF RAW'!M38)</f>
        <v/>
      </c>
      <c r="E23" s="416" t="str">
        <f>IF(COUNT('ISIRF RAW'!O38)=0,"",'ISIRF RAW'!O38)</f>
        <v/>
      </c>
      <c r="F23" s="416" t="str">
        <f>IF(COUNT('ISIRF RAW'!J38)=0,"",'ISIRF RAW'!J38)</f>
        <v/>
      </c>
      <c r="G23" s="416" t="str">
        <f>IF(COUNT('ISIRF RAW'!L38)=0,"",'ISIRF RAW'!L38)</f>
        <v/>
      </c>
      <c r="H23" s="430" t="e">
        <f t="shared" si="1"/>
        <v>#VALUE!</v>
      </c>
      <c r="I23" s="594"/>
    </row>
    <row r="24" spans="1:9" s="22" customFormat="1">
      <c r="A24" s="417">
        <v>21</v>
      </c>
      <c r="B24" s="574" t="s">
        <v>389</v>
      </c>
      <c r="C24" s="574">
        <v>30</v>
      </c>
      <c r="D24" s="416" t="str">
        <f>IF(COUNT('ISIRF RAW'!M39)=0,"",'ISIRF RAW'!M39)</f>
        <v/>
      </c>
      <c r="E24" s="416" t="str">
        <f>IF(COUNT('ISIRF RAW'!O39)=0,"",'ISIRF RAW'!O39)</f>
        <v/>
      </c>
      <c r="F24" s="416" t="str">
        <f>IF(COUNT('ISIRF RAW'!J39)=0,"",'ISIRF RAW'!J39)</f>
        <v/>
      </c>
      <c r="G24" s="416" t="str">
        <f>IF(COUNT('ISIRF RAW'!L39)=0,"",'ISIRF RAW'!L39)</f>
        <v/>
      </c>
      <c r="H24" s="430" t="e">
        <f t="shared" si="1"/>
        <v>#VALUE!</v>
      </c>
      <c r="I24" s="594"/>
    </row>
    <row r="25" spans="1:9" s="22" customFormat="1">
      <c r="A25" s="417">
        <v>22</v>
      </c>
      <c r="B25" s="574" t="s">
        <v>390</v>
      </c>
      <c r="C25" s="574">
        <v>30</v>
      </c>
      <c r="D25" s="416" t="str">
        <f>IF(COUNT('ISIRF RAW'!M40)=0,"",'ISIRF RAW'!M40)</f>
        <v/>
      </c>
      <c r="E25" s="416" t="str">
        <f>IF(COUNT('ISIRF RAW'!O40)=0,"",'ISIRF RAW'!O40)</f>
        <v/>
      </c>
      <c r="F25" s="416" t="str">
        <f>IF(COUNT('ISIRF RAW'!J40)=0,"",'ISIRF RAW'!J40)</f>
        <v/>
      </c>
      <c r="G25" s="416" t="str">
        <f>IF(COUNT('ISIRF RAW'!L40)=0,"",'ISIRF RAW'!L40)</f>
        <v/>
      </c>
      <c r="H25" s="430" t="e">
        <f t="shared" si="1"/>
        <v>#VALUE!</v>
      </c>
      <c r="I25" s="594"/>
    </row>
    <row r="26" spans="1:9" s="22" customFormat="1">
      <c r="A26" s="417">
        <v>23</v>
      </c>
      <c r="B26" s="574" t="s">
        <v>391</v>
      </c>
      <c r="C26" s="574">
        <v>30</v>
      </c>
      <c r="D26" s="416" t="str">
        <f>IF(COUNT('ISIRF RAW'!M41)=0,"",'ISIRF RAW'!M41)</f>
        <v/>
      </c>
      <c r="E26" s="416" t="str">
        <f>IF(COUNT('ISIRF RAW'!O41)=0,"",'ISIRF RAW'!O41)</f>
        <v/>
      </c>
      <c r="F26" s="416" t="str">
        <f>IF(COUNT('ISIRF RAW'!J41)=0,"",'ISIRF RAW'!J41)</f>
        <v/>
      </c>
      <c r="G26" s="416" t="str">
        <f>IF(COUNT('ISIRF RAW'!L41)=0,"",'ISIRF RAW'!L41)</f>
        <v/>
      </c>
      <c r="H26" s="430" t="e">
        <f t="shared" si="1"/>
        <v>#VALUE!</v>
      </c>
      <c r="I26" s="594"/>
    </row>
    <row r="27" spans="1:9" s="22" customFormat="1">
      <c r="A27" s="417">
        <v>24</v>
      </c>
      <c r="B27" s="574" t="s">
        <v>392</v>
      </c>
      <c r="C27" s="574">
        <v>30</v>
      </c>
      <c r="D27" s="416" t="str">
        <f>IF(COUNT('ISIRF RAW'!M42)=0,"",'ISIRF RAW'!M42)</f>
        <v/>
      </c>
      <c r="E27" s="416" t="str">
        <f>IF(COUNT('ISIRF RAW'!O42)=0,"",'ISIRF RAW'!O42)</f>
        <v/>
      </c>
      <c r="F27" s="416" t="str">
        <f>IF(COUNT('ISIRF RAW'!J42)=0,"",'ISIRF RAW'!J42)</f>
        <v/>
      </c>
      <c r="G27" s="416" t="str">
        <f>IF(COUNT('ISIRF RAW'!L42)=0,"",'ISIRF RAW'!L42)</f>
        <v/>
      </c>
      <c r="H27" s="430" t="e">
        <f t="shared" si="1"/>
        <v>#VALUE!</v>
      </c>
      <c r="I27" s="594"/>
    </row>
    <row r="28" spans="1:9" s="22" customFormat="1">
      <c r="A28" s="417">
        <v>25</v>
      </c>
      <c r="B28" s="574" t="s">
        <v>393</v>
      </c>
      <c r="C28" s="574">
        <v>30</v>
      </c>
      <c r="D28" s="416" t="str">
        <f>IF(COUNT('ISIRF RAW'!M43)=0,"",'ISIRF RAW'!M43)</f>
        <v/>
      </c>
      <c r="E28" s="416" t="str">
        <f>IF(COUNT('ISIRF RAW'!O43)=0,"",'ISIRF RAW'!O43)</f>
        <v/>
      </c>
      <c r="F28" s="416" t="str">
        <f>IF(COUNT('ISIRF RAW'!J43)=0,"",'ISIRF RAW'!J43)</f>
        <v/>
      </c>
      <c r="G28" s="416" t="str">
        <f>IF(COUNT('ISIRF RAW'!L43)=0,"",'ISIRF RAW'!L43)</f>
        <v/>
      </c>
      <c r="H28" s="430" t="e">
        <f t="shared" si="1"/>
        <v>#VALUE!</v>
      </c>
      <c r="I28" s="594"/>
    </row>
    <row r="29" spans="1:9" s="22" customFormat="1">
      <c r="A29" s="417">
        <v>26</v>
      </c>
      <c r="B29" s="574" t="s">
        <v>394</v>
      </c>
      <c r="C29" s="574">
        <v>30</v>
      </c>
      <c r="D29" s="416" t="str">
        <f>IF(COUNT('ISIRF RAW'!M44)=0,"",'ISIRF RAW'!M44)</f>
        <v/>
      </c>
      <c r="E29" s="416" t="str">
        <f>IF(COUNT('ISIRF RAW'!O44)=0,"",'ISIRF RAW'!O44)</f>
        <v/>
      </c>
      <c r="F29" s="416" t="str">
        <f>IF(COUNT('ISIRF RAW'!J44)=0,"",'ISIRF RAW'!J44)</f>
        <v/>
      </c>
      <c r="G29" s="416" t="str">
        <f>IF(COUNT('ISIRF RAW'!L44)=0,"",'ISIRF RAW'!L44)</f>
        <v/>
      </c>
      <c r="H29" s="430" t="e">
        <f t="shared" si="1"/>
        <v>#VALUE!</v>
      </c>
      <c r="I29" s="594"/>
    </row>
    <row r="30" spans="1:9" s="22" customFormat="1">
      <c r="A30" s="417">
        <v>27</v>
      </c>
      <c r="B30" s="574" t="s">
        <v>395</v>
      </c>
      <c r="C30" s="574">
        <v>30</v>
      </c>
      <c r="D30" s="416" t="str">
        <f>IF(COUNT('ISIRF RAW'!M45)=0,"",'ISIRF RAW'!M45)</f>
        <v/>
      </c>
      <c r="E30" s="416" t="str">
        <f>IF(COUNT('ISIRF RAW'!O45)=0,"",'ISIRF RAW'!O45)</f>
        <v/>
      </c>
      <c r="F30" s="416" t="str">
        <f>IF(COUNT('ISIRF RAW'!J45)=0,"",'ISIRF RAW'!J45)</f>
        <v/>
      </c>
      <c r="G30" s="416" t="str">
        <f>IF(COUNT('ISIRF RAW'!L45)=0,"",'ISIRF RAW'!L45)</f>
        <v/>
      </c>
      <c r="H30" s="430" t="e">
        <f t="shared" si="1"/>
        <v>#VALUE!</v>
      </c>
      <c r="I30" s="594"/>
    </row>
    <row r="31" spans="1:9" s="22" customFormat="1">
      <c r="A31" s="418">
        <v>28</v>
      </c>
      <c r="B31" s="574" t="s">
        <v>396</v>
      </c>
      <c r="C31" s="574">
        <v>30</v>
      </c>
      <c r="D31" s="416" t="str">
        <f>IF(COUNT('ISIRF RAW'!M47)=0,"",'ISIRF RAW'!M47)</f>
        <v/>
      </c>
      <c r="E31" s="416" t="str">
        <f>IF(COUNT('ISIRF RAW'!O47)=0,"",'ISIRF RAW'!O47)</f>
        <v/>
      </c>
      <c r="F31" s="416" t="str">
        <f>IF(COUNT('ISIRF RAW'!J47)=0,"",'ISIRF RAW'!J47)</f>
        <v/>
      </c>
      <c r="G31" s="416" t="str">
        <f>IF(COUNT('ISIRF RAW'!L47)=0,"",'ISIRF RAW'!L47)</f>
        <v/>
      </c>
      <c r="H31" s="430" t="e">
        <f t="shared" si="1"/>
        <v>#VALUE!</v>
      </c>
      <c r="I31" s="594"/>
    </row>
    <row r="32" spans="1:9" s="22" customFormat="1">
      <c r="A32" s="417">
        <v>29</v>
      </c>
      <c r="B32" s="574" t="s">
        <v>397</v>
      </c>
      <c r="C32" s="574">
        <v>30</v>
      </c>
      <c r="D32" s="416" t="str">
        <f>IF(COUNT('ISIRF RAW'!M48)=0,"",'ISIRF RAW'!M48)</f>
        <v/>
      </c>
      <c r="E32" s="416" t="str">
        <f>IF(COUNT('ISIRF RAW'!O48)=0,"",'ISIRF RAW'!O48)</f>
        <v/>
      </c>
      <c r="F32" s="416" t="str">
        <f>IF(COUNT('ISIRF RAW'!J48)=0,"",'ISIRF RAW'!J48)</f>
        <v/>
      </c>
      <c r="G32" s="416" t="str">
        <f>IF(COUNT('ISIRF RAW'!L48)=0,"",'ISIRF RAW'!L48)</f>
        <v/>
      </c>
      <c r="H32" s="430" t="e">
        <f t="shared" si="1"/>
        <v>#VALUE!</v>
      </c>
      <c r="I32" s="594"/>
    </row>
    <row r="33" spans="1:9" s="22" customFormat="1">
      <c r="A33" s="417">
        <v>30</v>
      </c>
      <c r="B33" s="574" t="s">
        <v>398</v>
      </c>
      <c r="C33" s="574">
        <v>30</v>
      </c>
      <c r="D33" s="416" t="str">
        <f>IF(COUNT('ISIRF RAW'!M49)=0,"",'ISIRF RAW'!M49)</f>
        <v/>
      </c>
      <c r="E33" s="416" t="str">
        <f>IF(COUNT('ISIRF RAW'!O49)=0,"",'ISIRF RAW'!O49)</f>
        <v/>
      </c>
      <c r="F33" s="416" t="str">
        <f>IF(COUNT('ISIRF RAW'!J49)=0,"",'ISIRF RAW'!J49)</f>
        <v/>
      </c>
      <c r="G33" s="416" t="str">
        <f>IF(COUNT('ISIRF RAW'!L49)=0,"",'ISIRF RAW'!L49)</f>
        <v/>
      </c>
      <c r="H33" s="430" t="e">
        <f t="shared" si="1"/>
        <v>#VALUE!</v>
      </c>
      <c r="I33" s="594"/>
    </row>
    <row r="34" spans="1:9" s="22" customFormat="1">
      <c r="A34" s="417">
        <v>31</v>
      </c>
      <c r="B34" s="574" t="s">
        <v>399</v>
      </c>
      <c r="C34" s="574">
        <v>30</v>
      </c>
      <c r="D34" s="416" t="str">
        <f>IF(COUNT('ISIRF RAW'!M50)=0,"",'ISIRF RAW'!M50)</f>
        <v/>
      </c>
      <c r="E34" s="416" t="str">
        <f>IF(COUNT('ISIRF RAW'!O50)=0,"",'ISIRF RAW'!O50)</f>
        <v/>
      </c>
      <c r="F34" s="416" t="str">
        <f>IF(COUNT('ISIRF RAW'!J50)=0,"",'ISIRF RAW'!J50)</f>
        <v/>
      </c>
      <c r="G34" s="416" t="str">
        <f>IF(COUNT('ISIRF RAW'!L50)=0,"",'ISIRF RAW'!L50)</f>
        <v/>
      </c>
      <c r="H34" s="430" t="e">
        <f t="shared" si="1"/>
        <v>#VALUE!</v>
      </c>
      <c r="I34" s="594"/>
    </row>
    <row r="35" spans="1:9" s="22" customFormat="1">
      <c r="A35" s="417">
        <v>32</v>
      </c>
      <c r="B35" s="574" t="s">
        <v>400</v>
      </c>
      <c r="C35" s="574">
        <v>30</v>
      </c>
      <c r="D35" s="416" t="str">
        <f>IF(COUNT('ISIRF RAW'!M51)=0,"",'ISIRF RAW'!M51)</f>
        <v/>
      </c>
      <c r="E35" s="416" t="str">
        <f>IF(COUNT('ISIRF RAW'!O51)=0,"",'ISIRF RAW'!O51)</f>
        <v/>
      </c>
      <c r="F35" s="416" t="str">
        <f>IF(COUNT('ISIRF RAW'!J51)=0,"",'ISIRF RAW'!J51)</f>
        <v/>
      </c>
      <c r="G35" s="416" t="str">
        <f>IF(COUNT('ISIRF RAW'!L51)=0,"",'ISIRF RAW'!L51)</f>
        <v/>
      </c>
      <c r="H35" s="430" t="e">
        <f t="shared" si="1"/>
        <v>#VALUE!</v>
      </c>
      <c r="I35" s="594"/>
    </row>
    <row r="36" spans="1:9" s="22" customFormat="1">
      <c r="A36" s="417">
        <v>33</v>
      </c>
      <c r="B36" s="574" t="s">
        <v>401</v>
      </c>
      <c r="C36" s="574">
        <v>30</v>
      </c>
      <c r="D36" s="416" t="str">
        <f>IF(COUNT('ISIRF RAW'!M52)=0,"",'ISIRF RAW'!M52)</f>
        <v/>
      </c>
      <c r="E36" s="416" t="str">
        <f>IF(COUNT('ISIRF RAW'!O52)=0,"",'ISIRF RAW'!O52)</f>
        <v/>
      </c>
      <c r="F36" s="416" t="str">
        <f>IF(COUNT('ISIRF RAW'!J52)=0,"",'ISIRF RAW'!J52)</f>
        <v/>
      </c>
      <c r="G36" s="416" t="str">
        <f>IF(COUNT('ISIRF RAW'!L52)=0,"",'ISIRF RAW'!L52)</f>
        <v/>
      </c>
      <c r="H36" s="430" t="e">
        <f t="shared" si="1"/>
        <v>#VALUE!</v>
      </c>
      <c r="I36" s="594"/>
    </row>
    <row r="37" spans="1:9" s="22" customFormat="1">
      <c r="A37" s="418">
        <v>34</v>
      </c>
      <c r="B37" s="574" t="s">
        <v>402</v>
      </c>
      <c r="C37" s="574">
        <v>30</v>
      </c>
      <c r="D37" s="416" t="str">
        <f>IF(COUNT('ISIRF RAW'!M53)=0,"",'ISIRF RAW'!M53)</f>
        <v/>
      </c>
      <c r="E37" s="416" t="str">
        <f>IF(COUNT('ISIRF RAW'!O53)=0,"",'ISIRF RAW'!O53)</f>
        <v/>
      </c>
      <c r="F37" s="416" t="str">
        <f>IF(COUNT('ISIRF RAW'!J53)=0,"",'ISIRF RAW'!J53)</f>
        <v/>
      </c>
      <c r="G37" s="416" t="str">
        <f>IF(COUNT('ISIRF RAW'!L53)=0,"",'ISIRF RAW'!L53)</f>
        <v/>
      </c>
      <c r="H37" s="430" t="e">
        <f t="shared" si="1"/>
        <v>#VALUE!</v>
      </c>
      <c r="I37" s="594"/>
    </row>
    <row r="38" spans="1:9" s="22" customFormat="1">
      <c r="A38" s="418">
        <v>35</v>
      </c>
      <c r="B38" s="463" t="s">
        <v>403</v>
      </c>
      <c r="C38" s="574">
        <v>30</v>
      </c>
      <c r="D38" s="416" t="str">
        <f>IF(COUNT('ISIRF RAW'!M54)=0,"",'ISIRF RAW'!M54)</f>
        <v/>
      </c>
      <c r="E38" s="416" t="str">
        <f>IF(COUNT('ISIRF RAW'!O54)=0,"",'ISIRF RAW'!O54)</f>
        <v/>
      </c>
      <c r="F38" s="416" t="str">
        <f>IF(COUNT('ISIRF RAW'!J54)=0,"",'ISIRF RAW'!J54)</f>
        <v/>
      </c>
      <c r="G38" s="416" t="str">
        <f>IF(COUNT('ISIRF RAW'!L54)=0,"",'ISIRF RAW'!L54)</f>
        <v/>
      </c>
      <c r="H38" s="416" t="e">
        <f t="shared" si="1"/>
        <v>#VALUE!</v>
      </c>
      <c r="I38" s="594"/>
    </row>
    <row r="39" spans="1:9" s="22" customFormat="1" ht="13" thickBot="1">
      <c r="A39" s="419">
        <v>36</v>
      </c>
      <c r="B39" s="434" t="s">
        <v>404</v>
      </c>
      <c r="C39" s="574">
        <v>30</v>
      </c>
      <c r="D39" s="420" t="str">
        <f>IF(COUNT('ISIRF RAW'!M55)=0,"",'ISIRF RAW'!M55)</f>
        <v/>
      </c>
      <c r="E39" s="420" t="str">
        <f>IF(COUNT('ISIRF RAW'!O55)=0,"",'ISIRF RAW'!O55)</f>
        <v/>
      </c>
      <c r="F39" s="420" t="str">
        <f>IF(COUNT('ISIRF RAW'!J55)=0,"",'ISIRF RAW'!J55)</f>
        <v/>
      </c>
      <c r="G39" s="420" t="str">
        <f>IF(COUNT('ISIRF RAW'!L55)=0,"",'ISIRF RAW'!L55)</f>
        <v/>
      </c>
      <c r="H39" s="420" t="e">
        <f t="shared" si="1"/>
        <v>#VALUE!</v>
      </c>
      <c r="I39" s="595"/>
    </row>
    <row r="40" spans="1:9" s="22" customFormat="1" ht="13" thickTop="1">
      <c r="B40" s="435"/>
      <c r="C40" s="435"/>
      <c r="D40" s="421"/>
      <c r="E40" s="421"/>
      <c r="F40" s="421"/>
      <c r="G40" s="421"/>
      <c r="H40" s="421"/>
      <c r="I40" s="422"/>
    </row>
    <row r="41" spans="1:9" s="22" customFormat="1">
      <c r="B41" s="435"/>
      <c r="C41" s="435"/>
      <c r="D41" s="421"/>
      <c r="E41" s="421"/>
      <c r="F41" s="421"/>
      <c r="G41" s="421"/>
      <c r="H41" s="421"/>
      <c r="I41" s="422"/>
    </row>
    <row r="42" spans="1:9" s="22" customFormat="1">
      <c r="B42" s="435"/>
      <c r="C42" s="435"/>
      <c r="D42" s="421"/>
      <c r="E42" s="421"/>
      <c r="F42" s="421"/>
      <c r="G42" s="421"/>
      <c r="H42" s="421"/>
      <c r="I42" s="422"/>
    </row>
    <row r="43" spans="1:9" s="22" customFormat="1">
      <c r="B43" s="435"/>
      <c r="C43" s="435"/>
      <c r="D43" s="421"/>
      <c r="E43" s="421"/>
      <c r="F43" s="421"/>
      <c r="G43" s="421"/>
      <c r="H43" s="421"/>
      <c r="I43" s="422"/>
    </row>
    <row r="44" spans="1:9" s="22" customFormat="1">
      <c r="B44" s="435"/>
      <c r="C44" s="435"/>
      <c r="D44" s="421"/>
      <c r="E44" s="421"/>
      <c r="F44" s="421"/>
      <c r="G44" s="421"/>
      <c r="H44" s="421"/>
      <c r="I44" s="422"/>
    </row>
    <row r="45" spans="1:9" s="22" customFormat="1">
      <c r="B45" s="435"/>
      <c r="C45" s="435"/>
      <c r="D45" s="421"/>
      <c r="E45" s="421"/>
      <c r="F45" s="421"/>
      <c r="G45" s="421"/>
      <c r="H45" s="421"/>
      <c r="I45" s="422"/>
    </row>
    <row r="46" spans="1:9" s="22" customFormat="1">
      <c r="B46" s="421"/>
      <c r="C46" s="421"/>
      <c r="D46" s="421"/>
      <c r="E46" s="421"/>
      <c r="F46" s="421"/>
      <c r="G46" s="421"/>
      <c r="H46" s="421"/>
      <c r="I46" s="422"/>
    </row>
    <row r="47" spans="1:9" s="22" customFormat="1">
      <c r="B47" s="421"/>
      <c r="C47" s="421"/>
      <c r="D47" s="421"/>
      <c r="E47" s="421"/>
      <c r="F47" s="421"/>
      <c r="G47" s="421"/>
      <c r="H47" s="421"/>
      <c r="I47" s="422"/>
    </row>
    <row r="48" spans="1:9" s="22" customFormat="1">
      <c r="B48" s="421"/>
      <c r="C48" s="421"/>
      <c r="D48" s="421"/>
      <c r="E48" s="421"/>
      <c r="F48" s="421"/>
      <c r="G48" s="421"/>
      <c r="H48" s="421"/>
      <c r="I48" s="422"/>
    </row>
    <row r="49" spans="2:11" s="22" customFormat="1">
      <c r="B49" s="421"/>
      <c r="C49" s="421"/>
      <c r="D49" s="421"/>
      <c r="E49" s="421"/>
      <c r="F49" s="421"/>
      <c r="G49" s="421"/>
      <c r="H49" s="421"/>
      <c r="I49" s="422"/>
    </row>
    <row r="50" spans="2:11" s="22" customFormat="1">
      <c r="B50" s="421"/>
      <c r="C50" s="421"/>
      <c r="D50" s="421"/>
      <c r="E50" s="421"/>
      <c r="F50" s="421"/>
      <c r="G50" s="421"/>
      <c r="H50" s="421"/>
      <c r="I50" s="422"/>
    </row>
    <row r="51" spans="2:11" s="22" customFormat="1">
      <c r="B51" s="421"/>
      <c r="C51" s="421"/>
      <c r="D51" s="421"/>
      <c r="E51" s="421"/>
      <c r="F51" s="421"/>
      <c r="G51" s="421"/>
      <c r="H51" s="421"/>
      <c r="I51" s="422"/>
    </row>
    <row r="52" spans="2:11" s="22" customFormat="1">
      <c r="B52" s="421"/>
      <c r="C52" s="421"/>
      <c r="D52" s="421"/>
      <c r="E52" s="421"/>
      <c r="F52" s="421"/>
      <c r="G52" s="421"/>
      <c r="H52" s="421"/>
      <c r="I52" s="422"/>
    </row>
    <row r="53" spans="2:11" s="22" customFormat="1">
      <c r="B53" s="421"/>
      <c r="C53" s="421"/>
      <c r="D53" s="421"/>
      <c r="E53" s="421"/>
      <c r="F53" s="421"/>
      <c r="G53" s="421"/>
      <c r="H53" s="421"/>
      <c r="I53" s="422"/>
    </row>
    <row r="54" spans="2:11" s="22" customFormat="1">
      <c r="B54" s="421"/>
      <c r="C54" s="421"/>
      <c r="D54" s="421"/>
      <c r="E54" s="421"/>
      <c r="F54" s="421"/>
      <c r="G54" s="421"/>
      <c r="H54" s="421"/>
      <c r="I54" s="422"/>
    </row>
    <row r="55" spans="2:11" s="22" customFormat="1">
      <c r="B55" s="421"/>
      <c r="C55" s="421"/>
      <c r="D55" s="421"/>
      <c r="E55" s="421"/>
      <c r="F55" s="421"/>
      <c r="G55" s="421"/>
      <c r="H55" s="421"/>
      <c r="I55" s="422"/>
    </row>
    <row r="56" spans="2:11" s="22" customFormat="1">
      <c r="B56" s="421"/>
      <c r="C56" s="421"/>
      <c r="D56" s="421"/>
      <c r="E56" s="421"/>
      <c r="F56" s="421"/>
      <c r="G56" s="421"/>
      <c r="H56" s="421"/>
      <c r="I56" s="422"/>
    </row>
    <row r="57" spans="2:11" s="22" customFormat="1">
      <c r="B57" s="421"/>
      <c r="C57" s="421"/>
      <c r="D57" s="421"/>
      <c r="E57" s="421"/>
      <c r="F57" s="421"/>
      <c r="G57" s="421"/>
      <c r="H57" s="421"/>
      <c r="I57" s="422"/>
    </row>
    <row r="58" spans="2:11" s="22" customFormat="1">
      <c r="B58" s="421"/>
      <c r="C58" s="421"/>
      <c r="D58" s="421"/>
      <c r="E58" s="421"/>
      <c r="F58" s="421"/>
      <c r="G58" s="421"/>
      <c r="H58" s="421"/>
      <c r="I58" s="422"/>
    </row>
    <row r="59" spans="2:11" s="22" customFormat="1">
      <c r="B59" s="421"/>
      <c r="C59" s="421"/>
      <c r="D59" s="421"/>
      <c r="E59" s="421"/>
      <c r="F59" s="421"/>
      <c r="G59" s="421"/>
      <c r="H59" s="421"/>
      <c r="I59" s="422"/>
    </row>
    <row r="60" spans="2:11" s="22" customFormat="1">
      <c r="B60" s="421"/>
      <c r="C60" s="421"/>
      <c r="D60" s="421"/>
      <c r="E60" s="421"/>
      <c r="F60" s="421"/>
      <c r="G60" s="421"/>
      <c r="H60" s="421"/>
      <c r="I60" s="422"/>
    </row>
    <row r="61" spans="2:11" s="22" customFormat="1">
      <c r="B61" s="421"/>
      <c r="C61" s="421"/>
      <c r="D61" s="421"/>
      <c r="E61" s="421"/>
      <c r="F61" s="421"/>
      <c r="G61" s="421"/>
      <c r="H61" s="421"/>
      <c r="I61" s="422"/>
    </row>
    <row r="62" spans="2:11" s="22" customFormat="1">
      <c r="B62" s="421"/>
      <c r="C62" s="421"/>
      <c r="D62" s="421"/>
      <c r="E62" s="421"/>
      <c r="F62" s="421"/>
      <c r="G62" s="421"/>
      <c r="H62" s="421"/>
      <c r="I62" s="422"/>
    </row>
    <row r="63" spans="2:11" s="22" customFormat="1">
      <c r="B63" s="421"/>
      <c r="C63" s="421"/>
      <c r="D63" s="421"/>
      <c r="E63" s="421"/>
      <c r="F63" s="421"/>
      <c r="G63" s="421"/>
      <c r="H63" s="421"/>
      <c r="I63" s="422"/>
      <c r="K63" s="15"/>
    </row>
    <row r="64" spans="2:11" s="22" customFormat="1">
      <c r="B64" s="421"/>
      <c r="C64" s="421"/>
      <c r="D64" s="421"/>
      <c r="E64" s="421"/>
      <c r="F64" s="421"/>
      <c r="G64" s="421"/>
      <c r="H64" s="421"/>
      <c r="I64" s="422"/>
      <c r="K64" s="15"/>
    </row>
    <row r="65" spans="2:11" s="22" customFormat="1">
      <c r="B65" s="421"/>
      <c r="C65" s="421"/>
      <c r="D65" s="421"/>
      <c r="E65" s="421"/>
      <c r="F65" s="421"/>
      <c r="G65" s="421"/>
      <c r="H65" s="421"/>
      <c r="I65" s="422"/>
      <c r="K65" s="15"/>
    </row>
    <row r="66" spans="2:11" s="22" customFormat="1">
      <c r="B66" s="421"/>
      <c r="C66" s="421"/>
      <c r="D66" s="421"/>
      <c r="E66" s="421"/>
      <c r="F66" s="421"/>
      <c r="G66" s="421"/>
      <c r="H66" s="421"/>
      <c r="I66" s="422"/>
      <c r="K66" s="15"/>
    </row>
  </sheetData>
  <protectedRanges>
    <protectedRange sqref="I3:IW3 J4:J37 L4:IW37 K4:K33" name="User Data"/>
    <protectedRange password="94AB" sqref="B38:B39" name="Sample IDs"/>
    <protectedRange sqref="I4:I39" name="User Data_1"/>
    <protectedRange password="94AB" sqref="B4:C4 B5:B37 C5:C39" name="Sample IDs_1_1"/>
  </protectedRanges>
  <mergeCells count="1">
    <mergeCell ref="C2:D2"/>
  </mergeCells>
  <phoneticPr fontId="0" type="noConversion"/>
  <pageMargins left="0.75" right="0.75" top="1" bottom="1" header="0.5" footer="0.5"/>
  <pageSetup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X75"/>
  <sheetViews>
    <sheetView topLeftCell="A25" workbookViewId="0">
      <selection activeCell="C4" sqref="C4"/>
    </sheetView>
  </sheetViews>
  <sheetFormatPr defaultColWidth="9.1796875" defaultRowHeight="12.5"/>
  <cols>
    <col min="1" max="1" width="22.54296875" style="2" customWidth="1"/>
    <col min="2" max="2" width="7.81640625" style="2" customWidth="1"/>
    <col min="3" max="3" width="28.453125" style="2" customWidth="1"/>
    <col min="4" max="4" width="8.26953125" style="2" customWidth="1"/>
    <col min="5" max="5" width="12.1796875" style="2" customWidth="1"/>
    <col min="6" max="6" width="11.26953125" style="2" customWidth="1"/>
    <col min="7" max="7" width="11.1796875" style="2" customWidth="1"/>
    <col min="8" max="8" width="7.7265625" customWidth="1"/>
    <col min="9" max="9" width="22.26953125" style="2" bestFit="1" customWidth="1"/>
    <col min="10" max="10" width="6.81640625" style="2" bestFit="1" customWidth="1"/>
    <col min="11" max="11" width="9.1796875" style="2"/>
    <col min="12" max="12" width="10.1796875" style="2" customWidth="1"/>
    <col min="13" max="18" width="9.1796875" style="2"/>
    <col min="19" max="19" width="9.81640625" style="2" customWidth="1"/>
    <col min="20" max="20" width="11.453125" style="9" customWidth="1"/>
    <col min="21" max="26" width="9.1796875" style="2"/>
    <col min="27" max="27" width="12" style="2" bestFit="1" customWidth="1"/>
    <col min="28" max="33" width="9.1796875" style="2"/>
    <col min="34" max="34" width="9.7265625" style="2" customWidth="1"/>
    <col min="35" max="16384" width="9.1796875" style="2"/>
  </cols>
  <sheetData>
    <row r="1" spans="1:50" ht="14" thickTop="1" thickBot="1">
      <c r="A1" s="153" t="str">
        <f>COVER!B4</f>
        <v>ISIRF Isotope Cube INLET SUBMISSION FORM -- AS OF 4/29/2024</v>
      </c>
      <c r="B1" s="9"/>
      <c r="C1" s="9"/>
      <c r="D1" s="9"/>
      <c r="E1" s="276"/>
      <c r="F1" s="468" t="s">
        <v>32</v>
      </c>
      <c r="G1" s="159">
        <f>COUNTA('Investigator Data'!B4:B39)</f>
        <v>36</v>
      </c>
    </row>
    <row r="2" spans="1:50" ht="14" thickTop="1" thickBot="1">
      <c r="A2" s="9"/>
      <c r="B2" s="154" t="s">
        <v>10</v>
      </c>
      <c r="C2" s="375" t="str">
        <f>COVER!C2</f>
        <v>IC15N-240517-10Kansas_ROAR_3</v>
      </c>
      <c r="D2" s="302"/>
      <c r="E2" s="281" t="s">
        <v>152</v>
      </c>
      <c r="F2" s="9"/>
      <c r="G2" s="9"/>
    </row>
    <row r="3" spans="1:50" ht="13.5" thickTop="1">
      <c r="A3" s="155" t="s">
        <v>28</v>
      </c>
      <c r="B3" s="156"/>
      <c r="C3" s="423"/>
      <c r="D3" s="301" t="s">
        <v>78</v>
      </c>
      <c r="E3" s="275" t="s">
        <v>149</v>
      </c>
      <c r="F3" s="275"/>
      <c r="G3" s="630"/>
      <c r="I3" s="4"/>
      <c r="J3" s="3"/>
      <c r="K3" s="3"/>
      <c r="L3" s="3"/>
      <c r="M3" s="6"/>
      <c r="N3" s="4"/>
      <c r="O3" s="5"/>
      <c r="P3" s="5"/>
      <c r="Q3" s="7"/>
      <c r="R3" s="5"/>
      <c r="S3" s="5"/>
      <c r="X3" s="5"/>
      <c r="Y3" s="5"/>
      <c r="Z3" s="4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  <c r="AM3" s="5"/>
      <c r="AN3" s="5"/>
      <c r="AV3" s="18"/>
      <c r="AW3" s="18"/>
      <c r="AX3" s="18"/>
    </row>
    <row r="4" spans="1:50" ht="13">
      <c r="A4" s="157" t="s">
        <v>31</v>
      </c>
      <c r="B4" s="158"/>
      <c r="C4" s="424" t="str">
        <f>COVER!C19</f>
        <v>Soil Samples collected from 0-8 inches in Kansas farmlands</v>
      </c>
      <c r="D4" s="347"/>
      <c r="E4" s="431" t="s">
        <v>9</v>
      </c>
      <c r="F4" s="432" t="s">
        <v>175</v>
      </c>
      <c r="G4" s="433"/>
      <c r="I4" s="4"/>
      <c r="J4" s="4"/>
      <c r="K4" s="3"/>
      <c r="L4" s="3"/>
      <c r="M4" s="6"/>
      <c r="N4" s="4"/>
      <c r="O4" s="6"/>
      <c r="P4" s="6"/>
      <c r="Q4" s="4"/>
      <c r="R4" s="5"/>
      <c r="S4" s="5"/>
      <c r="X4" s="5"/>
      <c r="Y4" s="5"/>
      <c r="Z4" s="4"/>
      <c r="AA4" s="8"/>
      <c r="AB4" s="8"/>
      <c r="AC4" s="8"/>
      <c r="AD4" s="4"/>
      <c r="AE4" s="4"/>
      <c r="AF4" s="4"/>
      <c r="AG4" s="4"/>
      <c r="AH4" s="4"/>
      <c r="AI4" s="4"/>
      <c r="AJ4" s="4"/>
      <c r="AK4" s="4"/>
      <c r="AL4" s="4"/>
      <c r="AM4" s="5"/>
      <c r="AN4" s="5"/>
      <c r="AV4" s="8"/>
      <c r="AW4" s="8"/>
      <c r="AX4" s="8"/>
    </row>
    <row r="5" spans="1:50" ht="13">
      <c r="A5" s="157" t="s">
        <v>155</v>
      </c>
      <c r="B5" s="158"/>
      <c r="C5" s="424">
        <f>COVER!C16</f>
        <v>0</v>
      </c>
      <c r="D5" s="347"/>
      <c r="E5" s="280"/>
      <c r="F5" s="280"/>
      <c r="G5" s="631"/>
      <c r="I5" s="4"/>
      <c r="J5" s="4"/>
      <c r="K5" s="1"/>
      <c r="L5" s="1"/>
      <c r="M5" s="6"/>
      <c r="N5" s="6"/>
      <c r="O5" s="6"/>
      <c r="P5" s="6"/>
      <c r="Q5" s="4"/>
      <c r="R5" s="5"/>
      <c r="S5" s="5"/>
      <c r="X5" s="5"/>
      <c r="Y5" s="5"/>
      <c r="Z5" s="4"/>
      <c r="AA5" s="8"/>
      <c r="AB5" s="8"/>
      <c r="AC5" s="8"/>
      <c r="AD5" s="4"/>
      <c r="AE5" s="4"/>
      <c r="AF5" s="4"/>
      <c r="AG5" s="4"/>
      <c r="AH5" s="4"/>
      <c r="AI5" s="4"/>
      <c r="AJ5" s="4"/>
      <c r="AK5" s="4"/>
      <c r="AL5" s="4"/>
      <c r="AM5" s="5"/>
      <c r="AN5" s="5"/>
      <c r="AV5" s="8"/>
      <c r="AW5" s="8"/>
      <c r="AX5" s="8"/>
    </row>
    <row r="6" spans="1:50" ht="13">
      <c r="A6" s="157" t="s">
        <v>127</v>
      </c>
      <c r="B6" s="160"/>
      <c r="C6" s="424" t="str">
        <f>COVER!C15</f>
        <v>15N</v>
      </c>
      <c r="D6" s="347"/>
      <c r="E6" s="278"/>
      <c r="F6" s="278"/>
      <c r="G6" s="632"/>
      <c r="I6" s="4"/>
      <c r="J6" s="4"/>
      <c r="K6" s="3"/>
      <c r="L6" s="3"/>
      <c r="M6" s="6"/>
      <c r="N6" s="4"/>
      <c r="O6" s="5"/>
      <c r="P6" s="5"/>
      <c r="Q6" s="7"/>
      <c r="R6" s="5"/>
      <c r="S6" s="5"/>
      <c r="X6" s="5"/>
      <c r="Y6" s="5"/>
      <c r="Z6" s="4"/>
      <c r="AA6" s="8"/>
      <c r="AB6" s="8"/>
      <c r="AC6" s="8"/>
      <c r="AD6" s="4"/>
      <c r="AE6" s="4"/>
      <c r="AF6" s="4"/>
      <c r="AG6" s="4"/>
      <c r="AH6" s="4"/>
      <c r="AI6" s="4"/>
      <c r="AJ6" s="4"/>
      <c r="AK6" s="4"/>
      <c r="AL6" s="4"/>
      <c r="AM6" s="5"/>
      <c r="AN6" s="5"/>
      <c r="AV6" s="8"/>
      <c r="AW6" s="8"/>
      <c r="AX6" s="8"/>
    </row>
    <row r="7" spans="1:50" ht="13">
      <c r="A7" s="161" t="s">
        <v>29</v>
      </c>
      <c r="B7" s="160"/>
      <c r="C7" s="636" t="str">
        <f>COVER!C14</f>
        <v>Janice Chatfield</v>
      </c>
      <c r="D7" s="348"/>
      <c r="E7" s="279"/>
      <c r="F7" s="279"/>
      <c r="G7" s="277"/>
      <c r="I7" s="4"/>
      <c r="J7" s="4"/>
      <c r="K7" s="3"/>
      <c r="L7" s="3"/>
      <c r="M7" s="6"/>
      <c r="N7" s="4"/>
      <c r="O7" s="6"/>
      <c r="P7" s="6"/>
      <c r="Q7" s="4"/>
      <c r="R7" s="5"/>
      <c r="S7" s="5"/>
      <c r="X7" s="5"/>
      <c r="Y7" s="5"/>
      <c r="Z7" s="4"/>
      <c r="AA7" s="8"/>
      <c r="AB7" s="8"/>
      <c r="AC7" s="8"/>
      <c r="AD7" s="4"/>
      <c r="AE7" s="4"/>
      <c r="AF7" s="4"/>
      <c r="AG7" s="4"/>
      <c r="AH7" s="4"/>
      <c r="AI7" s="4"/>
      <c r="AJ7" s="4"/>
      <c r="AK7" s="4"/>
      <c r="AL7" s="4"/>
      <c r="AM7" s="5"/>
      <c r="AN7" s="5"/>
      <c r="AV7" s="8"/>
      <c r="AW7" s="8"/>
      <c r="AX7" s="8"/>
    </row>
    <row r="8" spans="1:50" ht="13">
      <c r="A8" s="161" t="s">
        <v>156</v>
      </c>
      <c r="B8" s="160"/>
      <c r="C8" s="424"/>
      <c r="D8" s="348"/>
      <c r="E8" s="283"/>
      <c r="F8" s="283"/>
      <c r="G8" s="284"/>
      <c r="I8" s="4"/>
      <c r="J8" s="4"/>
      <c r="K8" s="3"/>
      <c r="L8" s="3"/>
      <c r="M8" s="6"/>
      <c r="N8" s="4"/>
      <c r="O8" s="6"/>
      <c r="P8" s="6"/>
      <c r="Q8" s="4"/>
      <c r="R8" s="5"/>
      <c r="S8" s="5"/>
      <c r="X8" s="5"/>
      <c r="Y8" s="5"/>
      <c r="Z8" s="4"/>
      <c r="AA8" s="8"/>
      <c r="AB8" s="8"/>
      <c r="AC8" s="8"/>
      <c r="AD8" s="4"/>
      <c r="AE8" s="4"/>
      <c r="AF8" s="4"/>
      <c r="AG8" s="4"/>
      <c r="AH8" s="4"/>
      <c r="AI8" s="4"/>
      <c r="AJ8" s="4"/>
      <c r="AK8" s="4"/>
      <c r="AL8" s="4"/>
      <c r="AM8" s="5"/>
      <c r="AN8" s="5"/>
      <c r="AV8" s="8"/>
      <c r="AW8" s="8"/>
      <c r="AX8" s="8"/>
    </row>
    <row r="9" spans="1:50" ht="15" thickBot="1">
      <c r="A9" s="157" t="s">
        <v>164</v>
      </c>
      <c r="B9" s="162"/>
      <c r="C9" s="636" t="s">
        <v>249</v>
      </c>
      <c r="D9" s="642">
        <f>VLOOKUP(C9,Tables!A2:C17,3,FALSE)</f>
        <v>1.2</v>
      </c>
      <c r="E9" s="300"/>
      <c r="F9" s="285"/>
      <c r="G9" s="286"/>
      <c r="I9" s="4"/>
      <c r="J9" s="4"/>
      <c r="K9" s="1"/>
      <c r="L9" s="1"/>
      <c r="M9" s="6"/>
      <c r="N9" s="6"/>
      <c r="O9" s="6"/>
      <c r="P9" s="6"/>
      <c r="Q9" s="4"/>
      <c r="R9" s="5"/>
      <c r="S9" s="5"/>
      <c r="X9" s="5"/>
      <c r="Y9" s="5"/>
      <c r="Z9" s="4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5"/>
      <c r="AN9" s="5"/>
      <c r="AV9" s="8"/>
      <c r="AW9" s="8"/>
      <c r="AX9" s="8"/>
    </row>
    <row r="10" spans="1:50" ht="15" thickTop="1">
      <c r="A10" s="157" t="s">
        <v>125</v>
      </c>
      <c r="B10" s="162"/>
      <c r="C10" s="636" t="s">
        <v>255</v>
      </c>
      <c r="D10" s="642">
        <f>VLOOKUP(C10,Tables!A2:C17,3,FALSE)</f>
        <v>1</v>
      </c>
      <c r="E10" s="672" t="s">
        <v>35</v>
      </c>
      <c r="F10" s="673"/>
      <c r="G10" s="674"/>
      <c r="T10" s="2"/>
    </row>
    <row r="11" spans="1:50" ht="14.5">
      <c r="A11" s="169" t="s">
        <v>126</v>
      </c>
      <c r="B11" s="162"/>
      <c r="C11" s="636" t="s">
        <v>254</v>
      </c>
      <c r="D11" s="642">
        <f>VLOOKUP(C11,Tables!A2:C17,3,FALSE)</f>
        <v>1.5</v>
      </c>
      <c r="E11" s="165" t="s">
        <v>24</v>
      </c>
      <c r="F11" s="166"/>
      <c r="G11" s="633" t="str">
        <f>IF(COUNTA(COVER!C23)=0,"",COVER!C23)</f>
        <v>240517</v>
      </c>
      <c r="T11" s="2"/>
    </row>
    <row r="12" spans="1:50" ht="14.5">
      <c r="A12" s="169" t="s">
        <v>181</v>
      </c>
      <c r="B12" s="162"/>
      <c r="C12" s="636" t="s">
        <v>357</v>
      </c>
      <c r="D12" s="642">
        <f>VLOOKUP(C12,Tables!A2:C17,3,FALSE)</f>
        <v>6.5</v>
      </c>
      <c r="E12" s="167" t="s">
        <v>8</v>
      </c>
      <c r="F12" s="168"/>
      <c r="G12" s="634" t="str">
        <f>IF(COUNTA('ISIRF RAW'!B2)=0,"",'ISIRF RAW'!B2)</f>
        <v/>
      </c>
      <c r="T12" s="2"/>
    </row>
    <row r="13" spans="1:50">
      <c r="A13" s="161" t="s">
        <v>166</v>
      </c>
      <c r="B13" s="162"/>
      <c r="C13" s="636" t="s">
        <v>176</v>
      </c>
      <c r="D13" s="436" t="s">
        <v>177</v>
      </c>
      <c r="E13" s="167" t="s">
        <v>30</v>
      </c>
      <c r="F13" s="170"/>
      <c r="G13" s="634" t="str">
        <f>IF(COUNTA('ISIRF RAW'!B3)=0,"",'ISIRF RAW'!B3)</f>
        <v/>
      </c>
      <c r="T13" s="2"/>
    </row>
    <row r="14" spans="1:50" ht="13" thickBot="1">
      <c r="A14" s="173" t="s">
        <v>252</v>
      </c>
      <c r="B14" s="174"/>
      <c r="C14" s="637"/>
      <c r="D14" s="349">
        <v>5</v>
      </c>
      <c r="E14" s="171" t="s">
        <v>235</v>
      </c>
      <c r="F14" s="172"/>
      <c r="G14" s="635" t="str">
        <f>COVER!C15</f>
        <v>15N</v>
      </c>
      <c r="T14" s="2"/>
    </row>
    <row r="15" spans="1:50" s="33" customFormat="1" ht="14" thickTop="1" thickBot="1">
      <c r="A15" s="163"/>
      <c r="B15" s="175"/>
      <c r="C15" s="176"/>
      <c r="D15" s="176"/>
      <c r="E15" s="176"/>
      <c r="F15" s="176"/>
      <c r="G15" s="176"/>
    </row>
    <row r="16" spans="1:50" s="19" customFormat="1" ht="26.5" thickTop="1">
      <c r="A16" s="342" t="s">
        <v>33</v>
      </c>
      <c r="B16" s="343" t="s">
        <v>36</v>
      </c>
      <c r="C16" s="344" t="s">
        <v>21</v>
      </c>
      <c r="D16" s="346" t="s">
        <v>161</v>
      </c>
      <c r="E16" s="177" t="s">
        <v>22</v>
      </c>
      <c r="F16" s="345" t="s">
        <v>124</v>
      </c>
      <c r="G16" s="341"/>
      <c r="H16" s="575"/>
      <c r="I16" s="576"/>
      <c r="J16" s="577"/>
      <c r="K16" s="575"/>
    </row>
    <row r="17" spans="1:20" ht="13">
      <c r="A17" s="178" t="str">
        <f>"IC"&amp;COVER!C$15&amp;COVER!C$23&amp;"-"&amp;COVER!C$22&amp;F17</f>
        <v>IC15N240517-101</v>
      </c>
      <c r="B17" s="179" t="s">
        <v>37</v>
      </c>
      <c r="C17" s="180" t="s">
        <v>34</v>
      </c>
      <c r="D17" s="303"/>
      <c r="E17" s="465"/>
      <c r="F17" s="181">
        <v>1</v>
      </c>
      <c r="G17"/>
      <c r="H17" s="33"/>
      <c r="I17" s="33"/>
      <c r="J17" s="350"/>
      <c r="K17" s="33"/>
      <c r="T17" s="2"/>
    </row>
    <row r="18" spans="1:20" ht="13">
      <c r="A18" s="178" t="str">
        <f>"IC"&amp;COVER!C$15&amp;COVER!C$23&amp;"-"&amp;COVER!C$22&amp;F18</f>
        <v>IC15N240517-102</v>
      </c>
      <c r="B18" s="179" t="s">
        <v>38</v>
      </c>
      <c r="C18" s="180" t="s">
        <v>34</v>
      </c>
      <c r="D18" s="303"/>
      <c r="E18" s="465"/>
      <c r="F18" s="181">
        <f>F17+1</f>
        <v>2</v>
      </c>
      <c r="G18"/>
      <c r="H18" s="33"/>
      <c r="I18" s="33"/>
      <c r="J18" s="350"/>
      <c r="K18" s="33"/>
      <c r="T18" s="2"/>
    </row>
    <row r="19" spans="1:20" ht="13">
      <c r="A19" s="178" t="str">
        <f>"IC"&amp;COVER!C$15&amp;COVER!C$23&amp;"-"&amp;COVER!C$22&amp;F19</f>
        <v>IC15N240517-103</v>
      </c>
      <c r="B19" s="179" t="s">
        <v>39</v>
      </c>
      <c r="C19" s="180" t="str">
        <f>$C$9</f>
        <v>ISIRF Ulva</v>
      </c>
      <c r="D19" s="303">
        <f>$D$9</f>
        <v>1.2</v>
      </c>
      <c r="E19" s="464"/>
      <c r="F19" s="181">
        <f t="shared" ref="F19:F72" si="0">F18+1</f>
        <v>3</v>
      </c>
      <c r="G19"/>
      <c r="H19" s="33"/>
      <c r="I19" s="33"/>
      <c r="J19" s="350"/>
      <c r="K19" s="33"/>
      <c r="T19" s="2"/>
    </row>
    <row r="20" spans="1:20" ht="13">
      <c r="A20" s="178" t="str">
        <f>"IC"&amp;COVER!C$15&amp;COVER!C$23&amp;"-"&amp;COVER!C$22&amp;F20</f>
        <v>IC15N240517-104</v>
      </c>
      <c r="B20" s="179" t="s">
        <v>40</v>
      </c>
      <c r="C20" s="180" t="str">
        <f>$C$10</f>
        <v>ISIRF Chitin</v>
      </c>
      <c r="D20" s="303">
        <f>$D$10</f>
        <v>1</v>
      </c>
      <c r="E20" s="464"/>
      <c r="F20" s="181">
        <f t="shared" si="0"/>
        <v>4</v>
      </c>
      <c r="G20"/>
      <c r="H20" s="33"/>
      <c r="I20" s="33"/>
      <c r="J20" s="350"/>
      <c r="K20" s="33"/>
      <c r="T20" s="2"/>
    </row>
    <row r="21" spans="1:20" ht="13">
      <c r="A21" s="178" t="str">
        <f>"IC"&amp;COVER!C$15&amp;COVER!C$23&amp;"-"&amp;COVER!C$22&amp;F21</f>
        <v>IC15N240517-105</v>
      </c>
      <c r="B21" s="179" t="s">
        <v>41</v>
      </c>
      <c r="C21" s="180" t="str">
        <f>$C$11</f>
        <v>ISIRF Bamboo</v>
      </c>
      <c r="D21" s="303">
        <f>$D$11</f>
        <v>1.5</v>
      </c>
      <c r="E21" s="465"/>
      <c r="F21" s="181">
        <f t="shared" si="0"/>
        <v>5</v>
      </c>
      <c r="G21"/>
      <c r="H21" s="33"/>
      <c r="I21" s="33"/>
      <c r="J21" s="350"/>
      <c r="K21" s="33"/>
      <c r="T21" s="2"/>
    </row>
    <row r="22" spans="1:20" ht="13">
      <c r="A22" s="178" t="str">
        <f>"IC"&amp;COVER!C$15&amp;COVER!C$23&amp;"-"&amp;COVER!C$22&amp;F22</f>
        <v>IC15N240517-106</v>
      </c>
      <c r="B22" s="179" t="s">
        <v>42</v>
      </c>
      <c r="C22" s="180" t="str">
        <f>C12</f>
        <v>NBS 1575 Pine Needles</v>
      </c>
      <c r="D22" s="303">
        <f>D12</f>
        <v>6.5</v>
      </c>
      <c r="E22" s="465"/>
      <c r="F22" s="181">
        <f t="shared" si="0"/>
        <v>6</v>
      </c>
      <c r="G22"/>
      <c r="H22" s="33"/>
      <c r="I22" s="33"/>
      <c r="J22" s="350"/>
      <c r="K22" s="33"/>
      <c r="T22" s="2"/>
    </row>
    <row r="23" spans="1:20" ht="13">
      <c r="A23" s="178" t="str">
        <f>"IC"&amp;COVER!C$15&amp;COVER!C$23&amp;"-"&amp;COVER!C$22&amp;F23</f>
        <v>IC15N240517-107</v>
      </c>
      <c r="B23" s="179" t="s">
        <v>43</v>
      </c>
      <c r="C23" s="410" t="str">
        <f>IF('Investigator Data'!B4="","","R1-"&amp;'Investigator Data'!B4)</f>
        <v xml:space="preserve">R1-20231120_W1_H </v>
      </c>
      <c r="D23" s="304">
        <f>IF('Investigator Data'!C4="",$D$8,'Investigator Data'!C4)</f>
        <v>30</v>
      </c>
      <c r="E23" s="465"/>
      <c r="F23" s="181">
        <f t="shared" si="0"/>
        <v>7</v>
      </c>
      <c r="G23"/>
      <c r="H23" s="33"/>
      <c r="I23" s="33"/>
      <c r="J23" s="350"/>
      <c r="K23" s="33"/>
      <c r="T23" s="2"/>
    </row>
    <row r="24" spans="1:20" ht="13">
      <c r="A24" s="178" t="str">
        <f>"IC"&amp;COVER!C$15&amp;COVER!C$23&amp;"-"&amp;COVER!C$22&amp;F24</f>
        <v>IC15N240517-108</v>
      </c>
      <c r="B24" s="179" t="s">
        <v>44</v>
      </c>
      <c r="C24" s="182" t="str">
        <f>IF('Investigator Data'!B5="","",'Investigator Data'!B5)</f>
        <v xml:space="preserve">20240407_E1_A </v>
      </c>
      <c r="D24" s="304">
        <f>IF('Investigator Data'!C5="",$D$8,'Investigator Data'!C5)</f>
        <v>30</v>
      </c>
      <c r="E24" s="465"/>
      <c r="F24" s="181">
        <f t="shared" si="0"/>
        <v>8</v>
      </c>
      <c r="G24"/>
      <c r="H24" s="33"/>
      <c r="I24" s="33"/>
      <c r="J24" s="350"/>
      <c r="K24" s="33"/>
      <c r="T24" s="2"/>
    </row>
    <row r="25" spans="1:20" ht="13">
      <c r="A25" s="178" t="str">
        <f>"IC"&amp;COVER!C$15&amp;COVER!C$23&amp;"-"&amp;COVER!C$22&amp;F25</f>
        <v>IC15N240517-109</v>
      </c>
      <c r="B25" s="179" t="s">
        <v>187</v>
      </c>
      <c r="C25" s="182" t="str">
        <f>IF('Investigator Data'!B6="","",'Investigator Data'!B6)</f>
        <v xml:space="preserve">20240407_E1_B </v>
      </c>
      <c r="D25" s="304">
        <f>IF('Investigator Data'!C6="",$D$8,'Investigator Data'!C6)</f>
        <v>30</v>
      </c>
      <c r="E25" s="465"/>
      <c r="F25" s="181">
        <f t="shared" si="0"/>
        <v>9</v>
      </c>
      <c r="G25"/>
      <c r="H25" s="33"/>
      <c r="I25" s="33"/>
      <c r="J25" s="350"/>
      <c r="K25" s="33"/>
      <c r="T25" s="2"/>
    </row>
    <row r="26" spans="1:20" ht="13">
      <c r="A26" s="178" t="str">
        <f>"IC"&amp;COVER!C$15&amp;COVER!C$23&amp;"-"&amp;COVER!C$22&amp;F26</f>
        <v>IC15N240517-1010</v>
      </c>
      <c r="B26" s="179" t="s">
        <v>188</v>
      </c>
      <c r="C26" s="182" t="str">
        <f>IF('Investigator Data'!B7="","",'Investigator Data'!B7)</f>
        <v xml:space="preserve">20240407_E1_C </v>
      </c>
      <c r="D26" s="304">
        <f>IF('Investigator Data'!C7="",$D$8,'Investigator Data'!C7)</f>
        <v>30</v>
      </c>
      <c r="E26" s="465"/>
      <c r="F26" s="181">
        <f t="shared" si="0"/>
        <v>10</v>
      </c>
      <c r="G26"/>
      <c r="H26" s="33"/>
      <c r="I26" s="33"/>
      <c r="J26" s="350"/>
      <c r="K26" s="33"/>
      <c r="T26" s="2"/>
    </row>
    <row r="27" spans="1:20" ht="13">
      <c r="A27" s="178" t="str">
        <f>"IC"&amp;COVER!C$15&amp;COVER!C$23&amp;"-"&amp;COVER!C$22&amp;F27</f>
        <v>IC15N240517-1011</v>
      </c>
      <c r="B27" s="179" t="s">
        <v>189</v>
      </c>
      <c r="C27" s="182" t="str">
        <f>IF('Investigator Data'!B8="","",'Investigator Data'!B8)</f>
        <v xml:space="preserve">20240407_E1_D </v>
      </c>
      <c r="D27" s="304">
        <f>IF('Investigator Data'!C8="",$D$8,'Investigator Data'!C8)</f>
        <v>30</v>
      </c>
      <c r="E27" s="465"/>
      <c r="F27" s="181">
        <f t="shared" si="0"/>
        <v>11</v>
      </c>
      <c r="G27"/>
      <c r="H27" s="33"/>
      <c r="I27" s="33"/>
      <c r="J27" s="33"/>
      <c r="K27" s="33"/>
      <c r="T27" s="2"/>
    </row>
    <row r="28" spans="1:20" ht="13">
      <c r="A28" s="178" t="str">
        <f>"IC"&amp;COVER!C$15&amp;COVER!C$23&amp;"-"&amp;COVER!C$22&amp;F28</f>
        <v>IC15N240517-1012</v>
      </c>
      <c r="B28" s="179" t="s">
        <v>190</v>
      </c>
      <c r="C28" s="182" t="str">
        <f>IF('Investigator Data'!B9="","",'Investigator Data'!B9)</f>
        <v xml:space="preserve">20240407_E1_E </v>
      </c>
      <c r="D28" s="304">
        <f>IF('Investigator Data'!C9="",$D$8,'Investigator Data'!C9)</f>
        <v>30</v>
      </c>
      <c r="E28" s="465"/>
      <c r="F28" s="181">
        <f t="shared" si="0"/>
        <v>12</v>
      </c>
      <c r="G28"/>
      <c r="H28" s="2"/>
      <c r="T28" s="2"/>
    </row>
    <row r="29" spans="1:20" ht="13">
      <c r="A29" s="178" t="str">
        <f>"IC"&amp;COVER!C$15&amp;COVER!C$23&amp;"-"&amp;COVER!C$22&amp;F29</f>
        <v>IC15N240517-1013</v>
      </c>
      <c r="B29" s="179" t="s">
        <v>45</v>
      </c>
      <c r="C29" s="182" t="str">
        <f>IF('Investigator Data'!B10="","",'Investigator Data'!B10)</f>
        <v xml:space="preserve">20240407_E1_F </v>
      </c>
      <c r="D29" s="304">
        <f>IF('Investigator Data'!C10="",$D$8,'Investigator Data'!C10)</f>
        <v>30</v>
      </c>
      <c r="E29" s="465"/>
      <c r="F29" s="181">
        <f t="shared" si="0"/>
        <v>13</v>
      </c>
      <c r="G29"/>
      <c r="H29" s="2"/>
      <c r="T29" s="2"/>
    </row>
    <row r="30" spans="1:20" ht="13">
      <c r="A30" s="178" t="str">
        <f>"IC"&amp;COVER!C$15&amp;COVER!C$23&amp;"-"&amp;COVER!C$22&amp;F30</f>
        <v>IC15N240517-1014</v>
      </c>
      <c r="B30" s="179" t="s">
        <v>46</v>
      </c>
      <c r="C30" s="182" t="str">
        <f>IF('Investigator Data'!B11="","",'Investigator Data'!B11)</f>
        <v xml:space="preserve">20240407_E1_G </v>
      </c>
      <c r="D30" s="304">
        <f>IF('Investigator Data'!C11="",$D$8,'Investigator Data'!C11)</f>
        <v>30</v>
      </c>
      <c r="E30" s="465"/>
      <c r="F30" s="181">
        <f t="shared" si="0"/>
        <v>14</v>
      </c>
      <c r="G30"/>
      <c r="H30" s="2"/>
      <c r="T30" s="2"/>
    </row>
    <row r="31" spans="1:20" ht="13">
      <c r="A31" s="178" t="str">
        <f>"IC"&amp;COVER!C$15&amp;COVER!C$23&amp;"-"&amp;COVER!C$22&amp;F31</f>
        <v>IC15N240517-1015</v>
      </c>
      <c r="B31" s="179" t="s">
        <v>47</v>
      </c>
      <c r="C31" s="182" t="str">
        <f>IF('Investigator Data'!B12="","",'Investigator Data'!B12)</f>
        <v xml:space="preserve">20240407_E1_H </v>
      </c>
      <c r="D31" s="304">
        <f>IF('Investigator Data'!C12="",$D$8,'Investigator Data'!C12)</f>
        <v>30</v>
      </c>
      <c r="E31" s="465"/>
      <c r="F31" s="181">
        <f t="shared" si="0"/>
        <v>15</v>
      </c>
      <c r="G31"/>
      <c r="H31" s="2"/>
      <c r="T31" s="2"/>
    </row>
    <row r="32" spans="1:20" ht="13">
      <c r="A32" s="178" t="str">
        <f>"IC"&amp;COVER!C$15&amp;COVER!C$23&amp;"-"&amp;COVER!C$22&amp;F32</f>
        <v>IC15N240517-1016</v>
      </c>
      <c r="B32" s="179" t="s">
        <v>48</v>
      </c>
      <c r="C32" s="180" t="str">
        <f>$C$9</f>
        <v>ISIRF Ulva</v>
      </c>
      <c r="D32" s="303">
        <f>$D$9</f>
        <v>1.2</v>
      </c>
      <c r="E32" s="465"/>
      <c r="F32" s="181">
        <f t="shared" si="0"/>
        <v>16</v>
      </c>
      <c r="G32"/>
      <c r="H32" s="2"/>
      <c r="T32" s="2"/>
    </row>
    <row r="33" spans="1:20" ht="13">
      <c r="A33" s="178" t="str">
        <f>"IC"&amp;COVER!C$15&amp;COVER!C$23&amp;"-"&amp;COVER!C$22&amp;F33</f>
        <v>IC15N240517-1017</v>
      </c>
      <c r="B33" s="179" t="s">
        <v>49</v>
      </c>
      <c r="C33" s="182" t="str">
        <f>IF('Investigator Data'!B13="","",'Investigator Data'!B13)</f>
        <v xml:space="preserve">20240407_E1_I </v>
      </c>
      <c r="D33" s="304">
        <f>IF('Investigator Data'!C13="",$D$8,'Investigator Data'!C13)</f>
        <v>30</v>
      </c>
      <c r="E33" s="465"/>
      <c r="F33" s="181">
        <f t="shared" si="0"/>
        <v>17</v>
      </c>
      <c r="G33"/>
      <c r="H33" s="2"/>
      <c r="T33" s="2"/>
    </row>
    <row r="34" spans="1:20" ht="13">
      <c r="A34" s="178" t="str">
        <f>"IC"&amp;COVER!C$15&amp;COVER!C$23&amp;"-"&amp;COVER!C$22&amp;F34</f>
        <v>IC15N240517-1018</v>
      </c>
      <c r="B34" s="179" t="s">
        <v>50</v>
      </c>
      <c r="C34" s="182" t="str">
        <f>IF('Investigator Data'!B14="","",'Investigator Data'!B14)</f>
        <v>20240407_E2_A</v>
      </c>
      <c r="D34" s="304">
        <f>IF('Investigator Data'!C14="",$D$8,'Investigator Data'!C14)</f>
        <v>30</v>
      </c>
      <c r="E34" s="465"/>
      <c r="F34" s="181">
        <f t="shared" si="0"/>
        <v>18</v>
      </c>
      <c r="G34"/>
      <c r="H34" s="2"/>
      <c r="T34" s="2"/>
    </row>
    <row r="35" spans="1:20" ht="13">
      <c r="A35" s="178" t="str">
        <f>"IC"&amp;COVER!C$15&amp;COVER!C$23&amp;"-"&amp;COVER!C$22&amp;F35</f>
        <v>IC15N240517-1019</v>
      </c>
      <c r="B35" s="179" t="s">
        <v>51</v>
      </c>
      <c r="C35" s="182" t="str">
        <f>IF('Investigator Data'!B15="","",'Investigator Data'!B15)</f>
        <v xml:space="preserve">20240407_E2_B </v>
      </c>
      <c r="D35" s="304">
        <f>IF('Investigator Data'!C15="",$D$8,'Investigator Data'!C15)</f>
        <v>30</v>
      </c>
      <c r="E35" s="465"/>
      <c r="F35" s="181">
        <f t="shared" si="0"/>
        <v>19</v>
      </c>
      <c r="G35"/>
      <c r="H35" s="2"/>
      <c r="T35" s="2"/>
    </row>
    <row r="36" spans="1:20" ht="13">
      <c r="A36" s="178" t="str">
        <f>"IC"&amp;COVER!C$15&amp;COVER!C$23&amp;"-"&amp;COVER!C$22&amp;F36</f>
        <v>IC15N240517-1020</v>
      </c>
      <c r="B36" s="179" t="s">
        <v>52</v>
      </c>
      <c r="C36" s="182" t="str">
        <f>IF('Investigator Data'!B16="","",'Investigator Data'!B16)</f>
        <v xml:space="preserve">20240407_E2_C </v>
      </c>
      <c r="D36" s="304">
        <f>IF('Investigator Data'!C16="",$D$8,'Investigator Data'!C16)</f>
        <v>30</v>
      </c>
      <c r="E36" s="465"/>
      <c r="F36" s="181">
        <f t="shared" si="0"/>
        <v>20</v>
      </c>
      <c r="G36"/>
      <c r="H36" s="2"/>
      <c r="T36" s="2"/>
    </row>
    <row r="37" spans="1:20" ht="13">
      <c r="A37" s="178" t="str">
        <f>"IC"&amp;COVER!C$15&amp;COVER!C$23&amp;"-"&amp;COVER!C$22&amp;F37</f>
        <v>IC15N240517-1021</v>
      </c>
      <c r="B37" s="179" t="s">
        <v>191</v>
      </c>
      <c r="C37" s="410" t="str">
        <f>IF('Investigator Data'!B17="","","R2-"&amp;'Investigator Data'!B17)</f>
        <v xml:space="preserve">R2-20240407_E2_D </v>
      </c>
      <c r="D37" s="304">
        <f>IF('Investigator Data'!C17="",$D$8,'Investigator Data'!C17)</f>
        <v>30</v>
      </c>
      <c r="E37" s="465"/>
      <c r="F37" s="181">
        <f t="shared" si="0"/>
        <v>21</v>
      </c>
      <c r="G37"/>
      <c r="H37" s="2"/>
      <c r="T37" s="2"/>
    </row>
    <row r="38" spans="1:20" ht="13">
      <c r="A38" s="178" t="str">
        <f>"IC"&amp;COVER!C$15&amp;COVER!C$23&amp;"-"&amp;COVER!C$22&amp;F38</f>
        <v>IC15N240517-1022</v>
      </c>
      <c r="B38" s="179" t="s">
        <v>192</v>
      </c>
      <c r="C38" s="410" t="str">
        <f>IF('Investigator Data'!B17="","","R2-"&amp;'Investigator Data'!B17)</f>
        <v xml:space="preserve">R2-20240407_E2_D </v>
      </c>
      <c r="D38" s="304">
        <f>IF('Investigator Data'!C17="",$D$8,'Investigator Data'!C17)</f>
        <v>30</v>
      </c>
      <c r="E38" s="465"/>
      <c r="F38" s="181">
        <f t="shared" si="0"/>
        <v>22</v>
      </c>
      <c r="G38"/>
      <c r="H38" s="2"/>
      <c r="T38" s="2"/>
    </row>
    <row r="39" spans="1:20" ht="13">
      <c r="A39" s="178" t="str">
        <f>"IC"&amp;COVER!C$15&amp;COVER!C$23&amp;"-"&amp;COVER!C$22&amp;F39</f>
        <v>IC15N240517-1023</v>
      </c>
      <c r="B39" s="179" t="s">
        <v>193</v>
      </c>
      <c r="C39" s="182" t="str">
        <f>IF('Investigator Data'!B18="","",'Investigator Data'!B18)</f>
        <v xml:space="preserve">20240407_E2_E </v>
      </c>
      <c r="D39" s="304">
        <f>IF('Investigator Data'!C18="",$D$8,'Investigator Data'!C18)</f>
        <v>30</v>
      </c>
      <c r="E39" s="465"/>
      <c r="F39" s="181">
        <f t="shared" si="0"/>
        <v>23</v>
      </c>
      <c r="G39"/>
      <c r="H39" s="2"/>
      <c r="T39" s="2"/>
    </row>
    <row r="40" spans="1:20" ht="13">
      <c r="A40" s="178" t="str">
        <f>"IC"&amp;COVER!C$15&amp;COVER!C$23&amp;"-"&amp;COVER!C$22&amp;F40</f>
        <v>IC15N240517-1024</v>
      </c>
      <c r="B40" s="179" t="s">
        <v>194</v>
      </c>
      <c r="C40" s="182" t="str">
        <f>IF('Investigator Data'!B19="","",'Investigator Data'!B19)</f>
        <v xml:space="preserve">20240407_E2_F </v>
      </c>
      <c r="D40" s="304">
        <f>IF('Investigator Data'!C19="",$D$8,'Investigator Data'!C19)</f>
        <v>30</v>
      </c>
      <c r="E40" s="465"/>
      <c r="F40" s="181">
        <f t="shared" si="0"/>
        <v>24</v>
      </c>
      <c r="G40"/>
      <c r="H40" s="2"/>
      <c r="T40" s="2"/>
    </row>
    <row r="41" spans="1:20" ht="13">
      <c r="A41" s="178" t="str">
        <f>"IC"&amp;COVER!C$15&amp;COVER!C$23&amp;"-"&amp;COVER!C$22&amp;F41</f>
        <v>IC15N240517-1025</v>
      </c>
      <c r="B41" s="179" t="s">
        <v>174</v>
      </c>
      <c r="C41" s="182" t="str">
        <f>IF('Investigator Data'!B20="","",'Investigator Data'!B20)</f>
        <v xml:space="preserve">20240407_E2_G </v>
      </c>
      <c r="D41" s="304">
        <f>IF('Investigator Data'!C20="",$D$8,'Investigator Data'!C20)</f>
        <v>30</v>
      </c>
      <c r="E41" s="465"/>
      <c r="F41" s="181">
        <f t="shared" si="0"/>
        <v>25</v>
      </c>
      <c r="G41"/>
      <c r="H41" s="2"/>
      <c r="T41" s="2"/>
    </row>
    <row r="42" spans="1:20" ht="13">
      <c r="A42" s="178" t="str">
        <f>"IC"&amp;COVER!C$15&amp;COVER!C$23&amp;"-"&amp;COVER!C$22&amp;F42</f>
        <v>IC15N240517-1026</v>
      </c>
      <c r="B42" s="179" t="s">
        <v>53</v>
      </c>
      <c r="C42" s="182" t="str">
        <f>IF('Investigator Data'!B21="","",'Investigator Data'!B21)</f>
        <v xml:space="preserve">20240407_E3_A </v>
      </c>
      <c r="D42" s="304">
        <f>IF('Investigator Data'!C21="",$D$8,'Investigator Data'!C21)</f>
        <v>30</v>
      </c>
      <c r="E42" s="465"/>
      <c r="F42" s="181">
        <f t="shared" si="0"/>
        <v>26</v>
      </c>
      <c r="G42"/>
      <c r="H42" s="2"/>
      <c r="T42" s="2"/>
    </row>
    <row r="43" spans="1:20" ht="13">
      <c r="A43" s="178" t="str">
        <f>"IC"&amp;COVER!C$15&amp;COVER!C$23&amp;"-"&amp;COVER!C$22&amp;F43</f>
        <v>IC15N240517-1027</v>
      </c>
      <c r="B43" s="179" t="s">
        <v>54</v>
      </c>
      <c r="C43" s="180" t="s">
        <v>34</v>
      </c>
      <c r="D43" s="303"/>
      <c r="E43" s="465"/>
      <c r="F43" s="181">
        <f>F42+1</f>
        <v>27</v>
      </c>
      <c r="G43"/>
      <c r="H43" s="2"/>
      <c r="T43" s="2"/>
    </row>
    <row r="44" spans="1:20" ht="13">
      <c r="A44" s="178" t="str">
        <f>"IC"&amp;COVER!C$15&amp;COVER!C$23&amp;"-"&amp;COVER!C$22&amp;F44</f>
        <v>IC15N240517-1028</v>
      </c>
      <c r="B44" s="179" t="s">
        <v>55</v>
      </c>
      <c r="C44" s="180" t="str">
        <f>$C$9</f>
        <v>ISIRF Ulva</v>
      </c>
      <c r="D44" s="303">
        <f>$D$9</f>
        <v>1.2</v>
      </c>
      <c r="E44" s="465"/>
      <c r="F44" s="181">
        <f t="shared" si="0"/>
        <v>28</v>
      </c>
      <c r="G44"/>
      <c r="H44" s="2"/>
      <c r="T44" s="2"/>
    </row>
    <row r="45" spans="1:20" ht="13">
      <c r="A45" s="178" t="str">
        <f>"IC"&amp;COVER!C$15&amp;COVER!C$23&amp;"-"&amp;COVER!C$22&amp;F45</f>
        <v>IC15N240517-1029</v>
      </c>
      <c r="B45" s="179" t="s">
        <v>56</v>
      </c>
      <c r="C45" s="180" t="str">
        <f>C10</f>
        <v>ISIRF Chitin</v>
      </c>
      <c r="D45" s="303">
        <f>$D$10</f>
        <v>1</v>
      </c>
      <c r="E45" s="465"/>
      <c r="F45" s="181">
        <f t="shared" si="0"/>
        <v>29</v>
      </c>
      <c r="G45"/>
      <c r="H45" s="2"/>
      <c r="T45" s="2"/>
    </row>
    <row r="46" spans="1:20" ht="13">
      <c r="A46" s="178" t="str">
        <f>"IC"&amp;COVER!C$15&amp;COVER!C$23&amp;"-"&amp;COVER!C$22&amp;F46</f>
        <v>IC15N240517-1030</v>
      </c>
      <c r="B46" s="179" t="s">
        <v>57</v>
      </c>
      <c r="C46" s="180" t="str">
        <f>C11</f>
        <v>ISIRF Bamboo</v>
      </c>
      <c r="D46" s="303">
        <f>$D$11</f>
        <v>1.5</v>
      </c>
      <c r="E46" s="465"/>
      <c r="F46" s="181">
        <f t="shared" si="0"/>
        <v>30</v>
      </c>
      <c r="G46"/>
      <c r="H46" s="2"/>
      <c r="T46" s="2"/>
    </row>
    <row r="47" spans="1:20" ht="13">
      <c r="A47" s="178" t="str">
        <f>"IC"&amp;COVER!C$15&amp;COVER!C$23&amp;"-"&amp;COVER!C$22&amp;F47</f>
        <v>IC15N240517-1031</v>
      </c>
      <c r="B47" s="179" t="s">
        <v>58</v>
      </c>
      <c r="C47" s="180" t="str">
        <f>C12</f>
        <v>NBS 1575 Pine Needles</v>
      </c>
      <c r="D47" s="303">
        <f>$D$12</f>
        <v>6.5</v>
      </c>
      <c r="E47" s="465"/>
      <c r="F47" s="181">
        <f t="shared" si="0"/>
        <v>31</v>
      </c>
      <c r="G47"/>
      <c r="H47" s="2"/>
      <c r="T47" s="2"/>
    </row>
    <row r="48" spans="1:20" ht="13">
      <c r="A48" s="178" t="str">
        <f>"IC"&amp;COVER!C$15&amp;COVER!C$23&amp;"-"&amp;COVER!C$22&amp;F48</f>
        <v>IC15N240517-1032</v>
      </c>
      <c r="B48" s="179" t="s">
        <v>59</v>
      </c>
      <c r="C48" s="183" t="str">
        <f>IF('Investigator Data'!B22="","",'Investigator Data'!B22)</f>
        <v>20240407_E3_A_Dup</v>
      </c>
      <c r="D48" s="304">
        <f>IF('Investigator Data'!C22="",$D$8,'Investigator Data'!C22)</f>
        <v>30</v>
      </c>
      <c r="E48" s="465"/>
      <c r="F48" s="181">
        <f t="shared" si="0"/>
        <v>32</v>
      </c>
      <c r="G48"/>
      <c r="H48" s="2"/>
      <c r="T48" s="2"/>
    </row>
    <row r="49" spans="1:20" ht="13">
      <c r="A49" s="178" t="str">
        <f>"IC"&amp;COVER!C$15&amp;COVER!C$23&amp;"-"&amp;COVER!C$22&amp;F49</f>
        <v>IC15N240517-1033</v>
      </c>
      <c r="B49" s="179" t="s">
        <v>195</v>
      </c>
      <c r="C49" s="183" t="str">
        <f>IF('Investigator Data'!B23="","",'Investigator Data'!B23)</f>
        <v xml:space="preserve">20240407_E3_B </v>
      </c>
      <c r="D49" s="304">
        <f>IF('Investigator Data'!C23="",$D$8,'Investigator Data'!C23)</f>
        <v>30</v>
      </c>
      <c r="E49" s="465"/>
      <c r="F49" s="181">
        <f t="shared" si="0"/>
        <v>33</v>
      </c>
      <c r="G49"/>
      <c r="H49" s="2"/>
      <c r="T49" s="2"/>
    </row>
    <row r="50" spans="1:20" ht="13">
      <c r="A50" s="178" t="str">
        <f>"IC"&amp;COVER!C$15&amp;COVER!C$23&amp;"-"&amp;COVER!C$22&amp;F50</f>
        <v>IC15N240517-1034</v>
      </c>
      <c r="B50" s="179" t="s">
        <v>196</v>
      </c>
      <c r="C50" s="183" t="str">
        <f>IF('Investigator Data'!B24="","",'Investigator Data'!B24)</f>
        <v xml:space="preserve">20240407_E3_C </v>
      </c>
      <c r="D50" s="304">
        <f>IF('Investigator Data'!C24="",$D$8,'Investigator Data'!C24)</f>
        <v>30</v>
      </c>
      <c r="E50" s="465"/>
      <c r="F50" s="181">
        <f t="shared" si="0"/>
        <v>34</v>
      </c>
      <c r="G50"/>
      <c r="H50" s="2"/>
      <c r="T50" s="2"/>
    </row>
    <row r="51" spans="1:20" ht="13">
      <c r="A51" s="178" t="str">
        <f>"IC"&amp;COVER!C$15&amp;COVER!C$23&amp;"-"&amp;COVER!C$22&amp;F51</f>
        <v>IC15N240517-1035</v>
      </c>
      <c r="B51" s="179" t="s">
        <v>197</v>
      </c>
      <c r="C51" s="183" t="str">
        <f>IF('Investigator Data'!B25="","",'Investigator Data'!B25)</f>
        <v xml:space="preserve">20240407_E3_D </v>
      </c>
      <c r="D51" s="304">
        <f>IF('Investigator Data'!C25="",$D$8,'Investigator Data'!C25)</f>
        <v>30</v>
      </c>
      <c r="E51" s="465"/>
      <c r="F51" s="181">
        <f t="shared" si="0"/>
        <v>35</v>
      </c>
      <c r="G51"/>
      <c r="H51" s="2"/>
      <c r="T51" s="2"/>
    </row>
    <row r="52" spans="1:20" ht="13">
      <c r="A52" s="178" t="str">
        <f>"IC"&amp;COVER!C$15&amp;COVER!C$23&amp;"-"&amp;COVER!C$22&amp;F52</f>
        <v>IC15N240517-1036</v>
      </c>
      <c r="B52" s="179" t="s">
        <v>198</v>
      </c>
      <c r="C52" s="183" t="str">
        <f>IF('Investigator Data'!B26="","",'Investigator Data'!B26)</f>
        <v xml:space="preserve">20240407_E3_E </v>
      </c>
      <c r="D52" s="304">
        <f>IF('Investigator Data'!C26="",$D$8,'Investigator Data'!C26)</f>
        <v>30</v>
      </c>
      <c r="E52" s="465"/>
      <c r="F52" s="181">
        <f t="shared" si="0"/>
        <v>36</v>
      </c>
      <c r="G52"/>
      <c r="H52" s="2"/>
      <c r="T52" s="2"/>
    </row>
    <row r="53" spans="1:20" ht="13">
      <c r="A53" s="178" t="str">
        <f>"IC"&amp;COVER!C$15&amp;COVER!C$23&amp;"-"&amp;COVER!C$22&amp;F53</f>
        <v>IC15N240517-1037</v>
      </c>
      <c r="B53" s="179" t="s">
        <v>60</v>
      </c>
      <c r="C53" s="183" t="str">
        <f>IF('Investigator Data'!B27="","",'Investigator Data'!B27)</f>
        <v xml:space="preserve">20240407_E3_F </v>
      </c>
      <c r="D53" s="304">
        <f>IF('Investigator Data'!C27="",$D$8,'Investigator Data'!C27)</f>
        <v>30</v>
      </c>
      <c r="E53" s="465"/>
      <c r="F53" s="181">
        <f t="shared" si="0"/>
        <v>37</v>
      </c>
      <c r="G53"/>
      <c r="H53" s="2"/>
      <c r="T53" s="2"/>
    </row>
    <row r="54" spans="1:20" ht="13">
      <c r="A54" s="178" t="str">
        <f>"IC"&amp;COVER!C$15&amp;COVER!C$23&amp;"-"&amp;COVER!C$22&amp;F54</f>
        <v>IC15N240517-1038</v>
      </c>
      <c r="B54" s="179" t="s">
        <v>61</v>
      </c>
      <c r="C54" s="183" t="str">
        <f>IF('Investigator Data'!B28="","",'Investigator Data'!B28)</f>
        <v xml:space="preserve">20240407_E3_G </v>
      </c>
      <c r="D54" s="304">
        <f>IF('Investigator Data'!C28="",$D$8,'Investigator Data'!C28)</f>
        <v>30</v>
      </c>
      <c r="E54" s="465"/>
      <c r="F54" s="181">
        <f t="shared" si="0"/>
        <v>38</v>
      </c>
      <c r="G54"/>
      <c r="H54" s="2"/>
      <c r="T54" s="2"/>
    </row>
    <row r="55" spans="1:20" ht="13">
      <c r="A55" s="178" t="str">
        <f>"IC"&amp;COVER!C$15&amp;COVER!C$23&amp;"-"&amp;COVER!C$22&amp;F55</f>
        <v>IC15N240517-1039</v>
      </c>
      <c r="B55" s="179" t="s">
        <v>62</v>
      </c>
      <c r="C55" s="183" t="str">
        <f>IF('Investigator Data'!B29="","",'Investigator Data'!B29)</f>
        <v xml:space="preserve">20240407_E3_H </v>
      </c>
      <c r="D55" s="304">
        <f>IF('Investigator Data'!C29="",$D$8,'Investigator Data'!C29)</f>
        <v>30</v>
      </c>
      <c r="E55" s="465"/>
      <c r="F55" s="181">
        <f t="shared" si="0"/>
        <v>39</v>
      </c>
      <c r="G55"/>
      <c r="H55" s="2"/>
      <c r="T55" s="2"/>
    </row>
    <row r="56" spans="1:20" ht="13">
      <c r="A56" s="178" t="str">
        <f>"IC"&amp;COVER!C$15&amp;COVER!C$23&amp;"-"&amp;COVER!C$22&amp;F56</f>
        <v>IC15N240517-1040</v>
      </c>
      <c r="B56" s="179" t="s">
        <v>63</v>
      </c>
      <c r="C56" s="183" t="str">
        <f>IF('Investigator Data'!B30="","",'Investigator Data'!B30)</f>
        <v xml:space="preserve">20240407_E3_I </v>
      </c>
      <c r="D56" s="304">
        <f>IF('Investigator Data'!C30="",$D$8,'Investigator Data'!C30)</f>
        <v>30</v>
      </c>
      <c r="E56" s="465"/>
      <c r="F56" s="181">
        <f t="shared" si="0"/>
        <v>40</v>
      </c>
      <c r="G56"/>
      <c r="H56" s="2"/>
      <c r="T56" s="2"/>
    </row>
    <row r="57" spans="1:20" ht="13">
      <c r="A57" s="178" t="str">
        <f>"IC"&amp;COVER!C$15&amp;COVER!C$23&amp;"-"&amp;COVER!C$22&amp;F57</f>
        <v>IC15N240517-1041</v>
      </c>
      <c r="B57" s="179" t="s">
        <v>64</v>
      </c>
      <c r="C57" s="180" t="str">
        <f>$C$9</f>
        <v>ISIRF Ulva</v>
      </c>
      <c r="D57" s="303">
        <f>$D$9</f>
        <v>1.2</v>
      </c>
      <c r="E57" s="465"/>
      <c r="F57" s="181">
        <f t="shared" si="0"/>
        <v>41</v>
      </c>
      <c r="G57"/>
      <c r="H57" s="2"/>
      <c r="T57" s="2"/>
    </row>
    <row r="58" spans="1:20" ht="13">
      <c r="A58" s="178" t="str">
        <f>"IC"&amp;COVER!C$15&amp;COVER!C$23&amp;"-"&amp;COVER!C$22&amp;F58</f>
        <v>IC15N240517-1042</v>
      </c>
      <c r="B58" s="179" t="s">
        <v>65</v>
      </c>
      <c r="C58" s="183" t="str">
        <f>IF('Investigator Data'!B31="","",'Investigator Data'!B31)</f>
        <v xml:space="preserve">20240407_S2_A </v>
      </c>
      <c r="D58" s="304">
        <f>IF('Investigator Data'!C31="",$D$8,'Investigator Data'!C31)</f>
        <v>30</v>
      </c>
      <c r="E58" s="465"/>
      <c r="F58" s="181">
        <f t="shared" si="0"/>
        <v>42</v>
      </c>
      <c r="G58"/>
      <c r="H58" s="2"/>
      <c r="T58" s="2"/>
    </row>
    <row r="59" spans="1:20" ht="13">
      <c r="A59" s="178" t="str">
        <f>"IC"&amp;COVER!C$15&amp;COVER!C$23&amp;"-"&amp;COVER!C$22&amp;F59</f>
        <v>IC15N240517-1043</v>
      </c>
      <c r="B59" s="179" t="s">
        <v>11</v>
      </c>
      <c r="C59" s="183" t="str">
        <f>IF('Investigator Data'!B32="","",'Investigator Data'!B32)</f>
        <v xml:space="preserve">20240407_S2_B </v>
      </c>
      <c r="D59" s="304">
        <f>IF('Investigator Data'!C32="",$D$8,'Investigator Data'!C32)</f>
        <v>30</v>
      </c>
      <c r="E59" s="465"/>
      <c r="F59" s="181">
        <f t="shared" si="0"/>
        <v>43</v>
      </c>
      <c r="G59"/>
      <c r="H59" s="2"/>
      <c r="T59" s="2"/>
    </row>
    <row r="60" spans="1:20" ht="13">
      <c r="A60" s="178" t="str">
        <f>"IC"&amp;COVER!C$15&amp;COVER!C$23&amp;"-"&amp;COVER!C$22&amp;F60</f>
        <v>IC15N240517-1044</v>
      </c>
      <c r="B60" s="179" t="s">
        <v>12</v>
      </c>
      <c r="C60" s="183" t="str">
        <f>IF('Investigator Data'!B33="","",'Investigator Data'!B33)</f>
        <v xml:space="preserve">20240407_S2_C </v>
      </c>
      <c r="D60" s="304">
        <f>IF('Investigator Data'!C33="",$D$8,'Investigator Data'!C33)</f>
        <v>30</v>
      </c>
      <c r="E60" s="465"/>
      <c r="F60" s="181">
        <f t="shared" si="0"/>
        <v>44</v>
      </c>
      <c r="G60"/>
      <c r="H60" s="2"/>
      <c r="T60" s="2"/>
    </row>
    <row r="61" spans="1:20" ht="13">
      <c r="A61" s="178" t="str">
        <f>"IC"&amp;COVER!C$15&amp;COVER!C$23&amp;"-"&amp;COVER!C$22&amp;F61</f>
        <v>IC15N240517-1045</v>
      </c>
      <c r="B61" s="179" t="s">
        <v>199</v>
      </c>
      <c r="C61" s="183" t="str">
        <f>IF('Investigator Data'!B34="","",'Investigator Data'!B34)</f>
        <v xml:space="preserve">20240407_S2_D </v>
      </c>
      <c r="D61" s="304">
        <f>IF('Investigator Data'!C34="",$D$8,'Investigator Data'!C34)</f>
        <v>30</v>
      </c>
      <c r="E61" s="465"/>
      <c r="F61" s="181">
        <f t="shared" si="0"/>
        <v>45</v>
      </c>
      <c r="G61"/>
      <c r="H61" s="2"/>
      <c r="T61" s="2"/>
    </row>
    <row r="62" spans="1:20" ht="13">
      <c r="A62" s="178" t="str">
        <f>"IC"&amp;COVER!C$15&amp;COVER!C$23&amp;"-"&amp;COVER!C$22&amp;F62</f>
        <v>IC15N240517-1046</v>
      </c>
      <c r="B62" s="179" t="s">
        <v>200</v>
      </c>
      <c r="C62" s="183" t="str">
        <f>IF('Investigator Data'!B35="","",'Investigator Data'!B35)</f>
        <v xml:space="preserve">20240407_S2_E </v>
      </c>
      <c r="D62" s="304">
        <f>IF('Investigator Data'!C35="",$D$8,'Investigator Data'!C35)</f>
        <v>30</v>
      </c>
      <c r="E62" s="465"/>
      <c r="F62" s="181">
        <f t="shared" si="0"/>
        <v>46</v>
      </c>
      <c r="G62"/>
      <c r="H62" s="2"/>
      <c r="T62" s="2"/>
    </row>
    <row r="63" spans="1:20" ht="13">
      <c r="A63" s="178" t="str">
        <f>"IC"&amp;COVER!C$15&amp;COVER!C$23&amp;"-"&amp;COVER!C$22&amp;F63</f>
        <v>IC15N240517-1047</v>
      </c>
      <c r="B63" s="179" t="s">
        <v>201</v>
      </c>
      <c r="C63" s="183" t="str">
        <f>IF('Investigator Data'!B36="","",'Investigator Data'!B36)</f>
        <v xml:space="preserve">20240407_S2_F </v>
      </c>
      <c r="D63" s="304">
        <f>IF('Investigator Data'!C36="",$D$8,'Investigator Data'!C36)</f>
        <v>30</v>
      </c>
      <c r="E63" s="465"/>
      <c r="F63" s="181">
        <f t="shared" si="0"/>
        <v>47</v>
      </c>
      <c r="G63"/>
      <c r="H63" s="2"/>
      <c r="T63" s="2"/>
    </row>
    <row r="64" spans="1:20" ht="13">
      <c r="A64" s="178" t="str">
        <f>"IC"&amp;COVER!C$15&amp;COVER!C$23&amp;"-"&amp;COVER!C$22&amp;F64</f>
        <v>IC15N240517-1048</v>
      </c>
      <c r="B64" s="179" t="s">
        <v>202</v>
      </c>
      <c r="C64" s="183" t="str">
        <f>IF('Investigator Data'!B37="","",'Investigator Data'!B37)</f>
        <v xml:space="preserve">20240407_S2_G </v>
      </c>
      <c r="D64" s="304">
        <f>IF('Investigator Data'!C37="",$D$8,'Investigator Data'!C37)</f>
        <v>30</v>
      </c>
      <c r="E64" s="465"/>
      <c r="F64" s="181">
        <f t="shared" si="0"/>
        <v>48</v>
      </c>
      <c r="G64"/>
      <c r="H64" s="2"/>
      <c r="T64" s="2"/>
    </row>
    <row r="65" spans="1:20" ht="13">
      <c r="A65" s="178" t="str">
        <f>"IC"&amp;COVER!C$15&amp;COVER!C$23&amp;"-"&amp;COVER!C$22&amp;F65</f>
        <v>IC15N240517-1049</v>
      </c>
      <c r="B65" s="179" t="s">
        <v>13</v>
      </c>
      <c r="C65" s="183" t="str">
        <f>IF('Investigator Data'!B38="","",'Investigator Data'!B38)</f>
        <v>20240407_S2_H</v>
      </c>
      <c r="D65" s="304">
        <f>IF('Investigator Data'!C38="",$D$8,'Investigator Data'!C38)</f>
        <v>30</v>
      </c>
      <c r="E65" s="465"/>
      <c r="F65" s="181">
        <f t="shared" si="0"/>
        <v>49</v>
      </c>
      <c r="G65"/>
      <c r="H65" s="2"/>
      <c r="T65" s="2"/>
    </row>
    <row r="66" spans="1:20" ht="13">
      <c r="A66" s="178" t="str">
        <f>"IC"&amp;COVER!C$15&amp;COVER!C$23&amp;"-"&amp;COVER!C$22&amp;F66</f>
        <v>IC15N240517-1050</v>
      </c>
      <c r="B66" s="179" t="s">
        <v>167</v>
      </c>
      <c r="C66" s="183" t="str">
        <f>IF('Investigator Data'!B39="","",'Investigator Data'!B39)</f>
        <v xml:space="preserve">20240407_S2_I </v>
      </c>
      <c r="D66" s="304">
        <f>IF('Investigator Data'!C39="",$D$8,'Investigator Data'!C39)</f>
        <v>30</v>
      </c>
      <c r="E66" s="465"/>
      <c r="F66" s="181">
        <f t="shared" si="0"/>
        <v>50</v>
      </c>
    </row>
    <row r="67" spans="1:20" ht="13">
      <c r="A67" s="178" t="str">
        <f>"IC"&amp;COVER!C$15&amp;COVER!C$23&amp;"-"&amp;COVER!C$22&amp;F67</f>
        <v>IC15N240517-1051</v>
      </c>
      <c r="B67" s="179" t="s">
        <v>168</v>
      </c>
      <c r="C67" s="410" t="str">
        <f>IF('Investigator Data'!B4="","","R1-"&amp;'Investigator Data'!B4)</f>
        <v xml:space="preserve">R1-20231120_W1_H </v>
      </c>
      <c r="D67" s="304">
        <f>IF('Investigator Data'!C4="",$D$8,'Investigator Data'!C4)</f>
        <v>30</v>
      </c>
      <c r="E67" s="465"/>
      <c r="F67" s="181">
        <f t="shared" si="0"/>
        <v>51</v>
      </c>
    </row>
    <row r="68" spans="1:20" ht="13">
      <c r="A68" s="178" t="str">
        <f>"IC"&amp;COVER!C$15&amp;COVER!C$23&amp;"-"&amp;COVER!C$22&amp;F68</f>
        <v>IC15N240517-1052</v>
      </c>
      <c r="B68" s="179" t="s">
        <v>169</v>
      </c>
      <c r="C68" s="180" t="s">
        <v>34</v>
      </c>
      <c r="D68" s="303"/>
      <c r="E68" s="465"/>
      <c r="F68" s="181">
        <f t="shared" si="0"/>
        <v>52</v>
      </c>
    </row>
    <row r="69" spans="1:20" ht="13">
      <c r="A69" s="178" t="str">
        <f>"IC"&amp;COVER!C$15&amp;COVER!C$23&amp;"-"&amp;COVER!C$22&amp;F69</f>
        <v>IC15N240517-1053</v>
      </c>
      <c r="B69" s="179" t="s">
        <v>170</v>
      </c>
      <c r="C69" s="180" t="str">
        <f>$C$9</f>
        <v>ISIRF Ulva</v>
      </c>
      <c r="D69" s="303">
        <f>$D$9</f>
        <v>1.2</v>
      </c>
      <c r="E69" s="466"/>
      <c r="F69" s="181">
        <f t="shared" si="0"/>
        <v>53</v>
      </c>
    </row>
    <row r="70" spans="1:20" ht="13">
      <c r="A70" s="178" t="str">
        <f>"IC"&amp;COVER!C$15&amp;COVER!C$23&amp;"-"&amp;COVER!C$22&amp;F70</f>
        <v>IC15N240517-1054</v>
      </c>
      <c r="B70" s="179" t="s">
        <v>171</v>
      </c>
      <c r="C70" s="180" t="str">
        <f>$C$10</f>
        <v>ISIRF Chitin</v>
      </c>
      <c r="D70" s="303">
        <f>$D$10</f>
        <v>1</v>
      </c>
      <c r="E70" s="466"/>
      <c r="F70" s="181">
        <f t="shared" si="0"/>
        <v>54</v>
      </c>
    </row>
    <row r="71" spans="1:20" ht="13">
      <c r="A71" s="178" t="str">
        <f>"IC"&amp;COVER!C$15&amp;COVER!C$23&amp;"-"&amp;COVER!C$22&amp;F71</f>
        <v>IC15N240517-1055</v>
      </c>
      <c r="B71" s="179" t="s">
        <v>172</v>
      </c>
      <c r="C71" s="180" t="str">
        <f>$C$11</f>
        <v>ISIRF Bamboo</v>
      </c>
      <c r="D71" s="303">
        <f>$D$11</f>
        <v>1.5</v>
      </c>
      <c r="E71" s="465"/>
      <c r="F71" s="181">
        <f t="shared" si="0"/>
        <v>55</v>
      </c>
    </row>
    <row r="72" spans="1:20" ht="13">
      <c r="A72" s="442" t="str">
        <f>"IC"&amp;COVER!C$15&amp;COVER!C$23&amp;"-"&amp;COVER!C$22&amp;F72</f>
        <v>IC15N240517-1056</v>
      </c>
      <c r="B72" s="443" t="s">
        <v>173</v>
      </c>
      <c r="C72" s="444" t="str">
        <f>C12</f>
        <v>NBS 1575 Pine Needles</v>
      </c>
      <c r="D72" s="445">
        <f>$D$12</f>
        <v>6.5</v>
      </c>
      <c r="E72" s="467"/>
      <c r="F72" s="446">
        <f t="shared" si="0"/>
        <v>56</v>
      </c>
    </row>
    <row r="73" spans="1:20" ht="13">
      <c r="B73" s="441"/>
    </row>
    <row r="74" spans="1:20" ht="13">
      <c r="B74" s="441"/>
    </row>
    <row r="75" spans="1:20" ht="13">
      <c r="B75" s="441"/>
    </row>
  </sheetData>
  <sheetProtection formatCells="0" formatColumns="0" formatRows="0" insertColumns="0" insertRows="0" insertHyperlinks="0" deleteColumns="0" deleteRows="0" sort="0" autoFilter="0" pivotTables="0"/>
  <protectedRanges>
    <protectedRange password="94AB" sqref="B10:B14" name="Standards_1"/>
    <protectedRange password="94AB" sqref="C13:D14" name="Standards_1_1"/>
  </protectedRanges>
  <mergeCells count="1">
    <mergeCell ref="E10:G10"/>
  </mergeCells>
  <phoneticPr fontId="0" type="noConversion"/>
  <conditionalFormatting sqref="E71 E24:E42 E69 E44:E67">
    <cfRule type="expression" dxfId="31" priority="10" stopIfTrue="1">
      <formula>C24=""</formula>
    </cfRule>
  </conditionalFormatting>
  <conditionalFormatting sqref="E72">
    <cfRule type="expression" dxfId="30" priority="9" stopIfTrue="1">
      <formula>C72=""</formula>
    </cfRule>
  </conditionalFormatting>
  <conditionalFormatting sqref="E23">
    <cfRule type="expression" dxfId="29" priority="5" stopIfTrue="1">
      <formula>C23=""</formula>
    </cfRule>
  </conditionalFormatting>
  <conditionalFormatting sqref="E70">
    <cfRule type="expression" dxfId="28" priority="4" stopIfTrue="1">
      <formula>C70=""</formula>
    </cfRule>
  </conditionalFormatting>
  <conditionalFormatting sqref="E17:E18">
    <cfRule type="expression" dxfId="27" priority="3" stopIfTrue="1">
      <formula>C17=""</formula>
    </cfRule>
  </conditionalFormatting>
  <conditionalFormatting sqref="E43">
    <cfRule type="expression" dxfId="26" priority="2" stopIfTrue="1">
      <formula>C43=""</formula>
    </cfRule>
  </conditionalFormatting>
  <conditionalFormatting sqref="E68">
    <cfRule type="expression" dxfId="25" priority="1" stopIfTrue="1">
      <formula>C68=""</formula>
    </cfRule>
  </conditionalFormatting>
  <pageMargins left="0.44" right="0.46" top="0.64" bottom="0.46" header="0.34" footer="0.45"/>
  <pageSetup scale="76" orientation="portrait" r:id="rId1"/>
  <headerFooter alignWithMargins="0">
    <oddHeader>&amp;C&amp;F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Tables!$A$2:$A$17</xm:f>
          </x14:formula1>
          <xm:sqref>C9:C12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50"/>
  <sheetViews>
    <sheetView workbookViewId="0">
      <selection activeCell="O5" sqref="O5:O18"/>
    </sheetView>
  </sheetViews>
  <sheetFormatPr defaultColWidth="9.1796875" defaultRowHeight="12.5"/>
  <cols>
    <col min="1" max="1" width="12.7265625" style="26" customWidth="1"/>
    <col min="2" max="2" width="27" style="26" customWidth="1"/>
    <col min="3" max="3" width="19.54296875" style="26" customWidth="1"/>
    <col min="4" max="4" width="18.7265625" style="26" bestFit="1" customWidth="1"/>
    <col min="5" max="5" width="11.453125" style="26" bestFit="1" customWidth="1"/>
    <col min="6" max="6" width="7.7265625" style="46" customWidth="1"/>
    <col min="7" max="7" width="8.81640625" style="46" bestFit="1" customWidth="1"/>
    <col min="8" max="9" width="10" style="46" bestFit="1" customWidth="1"/>
    <col min="10" max="10" width="8.453125" style="46" bestFit="1" customWidth="1"/>
    <col min="11" max="11" width="8.54296875" style="46" bestFit="1" customWidth="1"/>
    <col min="12" max="12" width="10" style="46" bestFit="1" customWidth="1"/>
    <col min="13" max="13" width="11.453125" style="46" customWidth="1"/>
    <col min="14" max="14" width="10.453125" style="45" customWidth="1"/>
    <col min="15" max="15" width="8.54296875" style="45" customWidth="1"/>
    <col min="16" max="16" width="6.7265625" style="45" customWidth="1"/>
    <col min="17" max="17" width="12.81640625" style="45" customWidth="1"/>
    <col min="18" max="16384" width="9.1796875" style="26"/>
  </cols>
  <sheetData>
    <row r="1" spans="1:17">
      <c r="A1" s="49"/>
      <c r="B1" s="49"/>
      <c r="C1" s="49"/>
      <c r="D1" s="49"/>
      <c r="E1" s="49"/>
      <c r="F1" s="50"/>
      <c r="G1" s="50"/>
      <c r="H1" s="50"/>
      <c r="I1" s="50"/>
      <c r="J1" s="50"/>
      <c r="K1" s="50"/>
      <c r="L1" s="50"/>
      <c r="M1" s="50"/>
      <c r="N1" s="51"/>
      <c r="O1" s="51"/>
      <c r="P1" s="51"/>
      <c r="Q1" s="51"/>
    </row>
    <row r="2" spans="1:17" ht="13">
      <c r="A2" s="49"/>
      <c r="B2" s="49"/>
      <c r="C2" s="49"/>
      <c r="D2" s="49"/>
      <c r="E2" s="52" t="s">
        <v>10</v>
      </c>
      <c r="F2" s="53" t="str">
        <f>COVER!C2</f>
        <v>IC15N-240517-10Kansas_ROAR_3</v>
      </c>
      <c r="G2" s="54"/>
      <c r="H2" s="54"/>
      <c r="I2" s="55"/>
      <c r="J2" s="50"/>
      <c r="K2" s="50"/>
      <c r="L2" s="50"/>
      <c r="M2" s="50"/>
      <c r="N2" s="51"/>
      <c r="O2" s="51"/>
      <c r="P2" s="51"/>
      <c r="Q2" s="51"/>
    </row>
    <row r="3" spans="1:17" ht="13" thickBot="1">
      <c r="A3" s="49"/>
      <c r="B3" s="49"/>
      <c r="C3" s="49"/>
      <c r="D3" s="49"/>
      <c r="E3" s="49"/>
      <c r="F3" s="50"/>
      <c r="G3" s="50"/>
      <c r="H3" s="50"/>
      <c r="I3" s="50"/>
      <c r="J3" s="50"/>
      <c r="K3" s="50"/>
      <c r="L3" s="50"/>
      <c r="M3" s="50"/>
      <c r="N3" s="51"/>
      <c r="O3" s="51"/>
      <c r="P3" s="51"/>
      <c r="Q3" s="51"/>
    </row>
    <row r="4" spans="1:17" ht="15.5" thickTop="1">
      <c r="A4" s="56" t="s">
        <v>91</v>
      </c>
      <c r="B4" s="57"/>
      <c r="C4" s="58"/>
      <c r="D4" s="59"/>
      <c r="E4" s="60" t="s">
        <v>216</v>
      </c>
      <c r="F4" s="61"/>
      <c r="G4" s="61"/>
      <c r="H4" s="59"/>
      <c r="I4" s="61" t="s">
        <v>67</v>
      </c>
      <c r="J4" s="61"/>
      <c r="K4" s="62"/>
      <c r="L4" s="63"/>
      <c r="M4" s="64" t="s">
        <v>81</v>
      </c>
      <c r="N4" s="65"/>
      <c r="O4" s="66"/>
      <c r="P4" s="26"/>
      <c r="Q4" s="26"/>
    </row>
    <row r="5" spans="1:17" ht="15.5" thickBot="1">
      <c r="A5" s="67"/>
      <c r="B5" s="68"/>
      <c r="C5" s="69" t="s">
        <v>85</v>
      </c>
      <c r="D5" s="70" t="s">
        <v>14</v>
      </c>
      <c r="E5" s="70" t="s">
        <v>15</v>
      </c>
      <c r="F5" s="70" t="s">
        <v>139</v>
      </c>
      <c r="G5" s="71" t="s">
        <v>5</v>
      </c>
      <c r="H5" s="70" t="s">
        <v>14</v>
      </c>
      <c r="I5" s="70" t="s">
        <v>15</v>
      </c>
      <c r="J5" s="70" t="s">
        <v>139</v>
      </c>
      <c r="K5" s="71" t="s">
        <v>233</v>
      </c>
      <c r="L5" s="72" t="s">
        <v>94</v>
      </c>
      <c r="M5" s="73" t="s">
        <v>223</v>
      </c>
      <c r="N5" s="74"/>
      <c r="O5" s="75" t="e">
        <f>IF(SUM(L7:L11)&lt;2,"",SQRT((SUMPRODUCT(F6:F11,L6:L11))/SUM(L6:L11)))</f>
        <v>#DIV/0!</v>
      </c>
      <c r="P5" s="26"/>
      <c r="Q5" s="26"/>
    </row>
    <row r="6" spans="1:17" ht="14" thickTop="1" thickBot="1">
      <c r="A6" s="76" t="s">
        <v>138</v>
      </c>
      <c r="B6" s="77"/>
      <c r="C6" s="78" t="str">
        <f>'ISIRF 13C'!A7</f>
        <v>NBS 1575 Pine Needles</v>
      </c>
      <c r="D6" s="376">
        <f>'ISIRF 13C'!C7</f>
        <v>0</v>
      </c>
      <c r="E6" s="133">
        <f>'ISIRF 13C'!B33</f>
        <v>0</v>
      </c>
      <c r="F6" s="133">
        <f>'ISIRF 13C'!C33</f>
        <v>0</v>
      </c>
      <c r="G6" s="107">
        <f>'ISIRF 13C'!D33</f>
        <v>0</v>
      </c>
      <c r="H6" s="106">
        <f>'ISIRF 13C'!D7</f>
        <v>0</v>
      </c>
      <c r="I6" s="108">
        <f>'ISIRF 13C'!E33</f>
        <v>0</v>
      </c>
      <c r="J6" s="108">
        <f>'ISIRF 13C'!F33</f>
        <v>0</v>
      </c>
      <c r="K6" s="391" t="e">
        <f>'ISIRF 13C'!G33</f>
        <v>#DIV/0!</v>
      </c>
      <c r="L6" s="400">
        <f>'ISIRF 13C'!H33</f>
        <v>3</v>
      </c>
      <c r="M6" s="82" t="s">
        <v>89</v>
      </c>
      <c r="N6" s="83"/>
      <c r="O6" s="84" t="e">
        <f>AVERAGE(K6:K11)</f>
        <v>#DIV/0!</v>
      </c>
      <c r="P6" s="26"/>
      <c r="Q6" s="26"/>
    </row>
    <row r="7" spans="1:17" ht="13.5" thickTop="1">
      <c r="A7" s="85" t="s">
        <v>86</v>
      </c>
      <c r="B7" s="86"/>
      <c r="C7" s="87" t="str">
        <f>'ISIRF 13C'!D11</f>
        <v>ISIRF Ulva</v>
      </c>
      <c r="D7" s="101">
        <f>'ISIRF 13C'!C4</f>
        <v>0</v>
      </c>
      <c r="E7" s="99">
        <f>'ISIRF 13C'!B30</f>
        <v>0</v>
      </c>
      <c r="F7" s="99">
        <f>'ISIRF 13C'!C30</f>
        <v>0</v>
      </c>
      <c r="G7" s="100">
        <f>'ISIRF 13C'!D30</f>
        <v>0</v>
      </c>
      <c r="H7" s="101">
        <f>'ISIRF 13C'!D4</f>
        <v>0</v>
      </c>
      <c r="I7" s="99">
        <f>'ISIRF 13C'!E30</f>
        <v>0</v>
      </c>
      <c r="J7" s="99">
        <f>'ISIRF 13C'!F30</f>
        <v>0</v>
      </c>
      <c r="K7" s="100" t="e">
        <f>'ISIRF 13C'!G30</f>
        <v>#DIV/0!</v>
      </c>
      <c r="L7" s="401">
        <f>'ISIRF 13C'!H30</f>
        <v>5</v>
      </c>
      <c r="M7" s="88" t="s">
        <v>82</v>
      </c>
      <c r="N7" s="89"/>
      <c r="O7" s="90"/>
      <c r="P7" s="26"/>
      <c r="Q7" s="26"/>
    </row>
    <row r="8" spans="1:17" ht="15">
      <c r="A8" s="91" t="s">
        <v>87</v>
      </c>
      <c r="B8" s="92"/>
      <c r="C8" s="93" t="str">
        <f>'ISIRF 13C'!A5</f>
        <v>ISIRF Chitin</v>
      </c>
      <c r="D8" s="105">
        <f>'ISIRF 13C'!C5</f>
        <v>0</v>
      </c>
      <c r="E8" s="106">
        <f>'ISIRF 13C'!B31</f>
        <v>0</v>
      </c>
      <c r="F8" s="106">
        <f>'ISIRF 13C'!C31</f>
        <v>0</v>
      </c>
      <c r="G8" s="377">
        <f>'ISIRF 13C'!D31</f>
        <v>0</v>
      </c>
      <c r="H8" s="378">
        <f>'ISIRF 13C'!D5</f>
        <v>0</v>
      </c>
      <c r="I8" s="103">
        <f>'ISIRF 13C'!E31</f>
        <v>0</v>
      </c>
      <c r="J8" s="103">
        <f>'ISIRF 13C'!F31</f>
        <v>0</v>
      </c>
      <c r="K8" s="104" t="e">
        <f>'ISIRF 13C'!G31</f>
        <v>#DIV/0!</v>
      </c>
      <c r="L8" s="402">
        <f>'ISIRF 13C'!H31</f>
        <v>3</v>
      </c>
      <c r="M8" s="73" t="s">
        <v>223</v>
      </c>
      <c r="N8" s="74"/>
      <c r="O8" s="75">
        <f>IF(COUNT(E6:E7)=0,"",D6-E6)</f>
        <v>0</v>
      </c>
      <c r="P8" s="26"/>
      <c r="Q8" s="26"/>
    </row>
    <row r="9" spans="1:17" ht="13.5" thickBot="1">
      <c r="A9" s="91" t="s">
        <v>88</v>
      </c>
      <c r="B9" s="94"/>
      <c r="C9" s="95" t="str">
        <f>'ISIRF 13C'!A6</f>
        <v>ISIRF Bamboo</v>
      </c>
      <c r="D9" s="378">
        <f>'ISIRF 13C'!C6</f>
        <v>0</v>
      </c>
      <c r="E9" s="103">
        <f>'ISIRF 13C'!B32</f>
        <v>0</v>
      </c>
      <c r="F9" s="103">
        <f>'ISIRF 13C'!C32</f>
        <v>0</v>
      </c>
      <c r="G9" s="104">
        <f>'ISIRF 13C'!D32</f>
        <v>0</v>
      </c>
      <c r="H9" s="378">
        <f>'ISIRF 13C'!D6</f>
        <v>0</v>
      </c>
      <c r="I9" s="381">
        <f>'ISIRF 13C'!E32</f>
        <v>0</v>
      </c>
      <c r="J9" s="106">
        <f>'ISIRF 13C'!F32</f>
        <v>0</v>
      </c>
      <c r="K9" s="106" t="e">
        <f>'ISIRF 13C'!G32</f>
        <v>#DIV/0!</v>
      </c>
      <c r="L9" s="403">
        <f>'ISIRF 13C'!H32</f>
        <v>3</v>
      </c>
      <c r="M9" s="96" t="s">
        <v>89</v>
      </c>
      <c r="N9" s="97"/>
      <c r="O9" s="98">
        <f>(H6-I6)</f>
        <v>0</v>
      </c>
      <c r="P9" s="42"/>
      <c r="Q9" s="26"/>
    </row>
    <row r="10" spans="1:17" ht="14" thickTop="1" thickBot="1">
      <c r="A10" s="85" t="s">
        <v>92</v>
      </c>
      <c r="B10" s="86"/>
      <c r="C10" s="87" t="str">
        <f>'Investigator Data'!B4</f>
        <v xml:space="preserve">20231120_W1_H </v>
      </c>
      <c r="D10" s="101"/>
      <c r="E10" s="99" t="e">
        <f>'ISIRF 13C'!B28</f>
        <v>#DIV/0!</v>
      </c>
      <c r="F10" s="99" t="e">
        <f>'ISIRF 13C'!C28</f>
        <v>#DIV/0!</v>
      </c>
      <c r="G10" s="100" t="e">
        <f>'ISIRF 13C'!D28</f>
        <v>#DIV/0!</v>
      </c>
      <c r="H10" s="101"/>
      <c r="I10" s="99" t="e">
        <f>'ISIRF 13C'!E28</f>
        <v>#DIV/0!</v>
      </c>
      <c r="J10" s="99" t="e">
        <f>'ISIRF 13C'!F28</f>
        <v>#DIV/0!</v>
      </c>
      <c r="K10" s="100" t="e">
        <f>'ISIRF 13C'!G28</f>
        <v>#DIV/0!</v>
      </c>
      <c r="L10" s="102">
        <f>'ISIRF 13C'!H28</f>
        <v>0</v>
      </c>
      <c r="M10" s="51"/>
      <c r="N10" s="51"/>
      <c r="O10" s="51"/>
      <c r="P10" s="26"/>
      <c r="Q10" s="26"/>
    </row>
    <row r="11" spans="1:17" ht="13.5" thickTop="1">
      <c r="A11" s="91" t="s">
        <v>93</v>
      </c>
      <c r="B11" s="92"/>
      <c r="C11" s="87" t="str">
        <f>'Investigator Data'!B17</f>
        <v xml:space="preserve">20240407_E2_D </v>
      </c>
      <c r="D11" s="101"/>
      <c r="E11" s="99" t="e">
        <f>'ISIRF 13C'!B29</f>
        <v>#DIV/0!</v>
      </c>
      <c r="F11" s="99" t="e">
        <f>'ISIRF 13C'!C29</f>
        <v>#DIV/0!</v>
      </c>
      <c r="G11" s="100" t="e">
        <f>'ISIRF 13C'!D29</f>
        <v>#DIV/0!</v>
      </c>
      <c r="H11" s="101"/>
      <c r="I11" s="99" t="e">
        <f>'ISIRF 13C'!E29</f>
        <v>#DIV/0!</v>
      </c>
      <c r="J11" s="99" t="e">
        <f>'ISIRF 13C'!F29</f>
        <v>#DIV/0!</v>
      </c>
      <c r="K11" s="100" t="e">
        <f>'ISIRF 13C'!G29</f>
        <v>#DIV/0!</v>
      </c>
      <c r="L11" s="102">
        <f>'ISIRF 13C'!H29</f>
        <v>0</v>
      </c>
      <c r="M11" s="51"/>
      <c r="N11" s="51"/>
      <c r="O11" s="51"/>
      <c r="P11" s="26"/>
      <c r="Q11" s="26"/>
    </row>
    <row r="12" spans="1:17" ht="13" thickBot="1">
      <c r="A12" s="110"/>
      <c r="B12" s="110"/>
      <c r="C12" s="110"/>
      <c r="D12" s="379"/>
      <c r="E12" s="379"/>
      <c r="F12" s="379"/>
      <c r="G12" s="379"/>
      <c r="H12" s="379"/>
      <c r="I12" s="379"/>
      <c r="J12" s="379"/>
      <c r="K12" s="379"/>
      <c r="L12" s="392"/>
      <c r="M12" s="109"/>
      <c r="N12" s="109"/>
      <c r="O12" s="51"/>
      <c r="P12" s="26"/>
      <c r="Q12" s="26"/>
    </row>
    <row r="13" spans="1:17" ht="15.5" thickTop="1">
      <c r="A13" s="111" t="s">
        <v>95</v>
      </c>
      <c r="B13" s="57"/>
      <c r="C13" s="58"/>
      <c r="D13" s="396"/>
      <c r="E13" s="397" t="s">
        <v>217</v>
      </c>
      <c r="F13" s="398"/>
      <c r="G13" s="399"/>
      <c r="H13" s="398"/>
      <c r="I13" s="398" t="s">
        <v>68</v>
      </c>
      <c r="J13" s="398"/>
      <c r="K13" s="399"/>
      <c r="L13" s="396"/>
      <c r="M13" s="64" t="s">
        <v>83</v>
      </c>
      <c r="N13" s="65"/>
      <c r="O13" s="66"/>
      <c r="P13" s="26"/>
      <c r="Q13" s="26"/>
    </row>
    <row r="14" spans="1:17" ht="15.5" thickBot="1">
      <c r="A14" s="67"/>
      <c r="B14" s="68"/>
      <c r="C14" s="69" t="s">
        <v>85</v>
      </c>
      <c r="D14" s="79" t="s">
        <v>14</v>
      </c>
      <c r="E14" s="80" t="s">
        <v>15</v>
      </c>
      <c r="F14" s="80" t="s">
        <v>139</v>
      </c>
      <c r="G14" s="81" t="s">
        <v>5</v>
      </c>
      <c r="H14" s="80" t="s">
        <v>14</v>
      </c>
      <c r="I14" s="80" t="s">
        <v>15</v>
      </c>
      <c r="J14" s="80" t="s">
        <v>139</v>
      </c>
      <c r="K14" s="81" t="s">
        <v>234</v>
      </c>
      <c r="L14" s="79" t="s">
        <v>94</v>
      </c>
      <c r="M14" s="73" t="s">
        <v>224</v>
      </c>
      <c r="N14" s="74"/>
      <c r="O14" s="75" t="e">
        <f>IF(SUM(L16:L20)&lt;2,"",SQRT(SUMPRODUCT(F15:F20,L15:L20)/SUM(L15:L20)))</f>
        <v>#DIV/0!</v>
      </c>
      <c r="P14" s="26"/>
      <c r="Q14" s="26"/>
    </row>
    <row r="15" spans="1:17" ht="14" thickTop="1" thickBot="1">
      <c r="A15" s="76" t="s">
        <v>138</v>
      </c>
      <c r="B15" s="76"/>
      <c r="C15" s="112" t="str">
        <f>'ISIRF 15N'!A7</f>
        <v>NBS 1575 Pine Needles</v>
      </c>
      <c r="D15" s="380">
        <f>'ISIRF 15N'!C7</f>
        <v>0</v>
      </c>
      <c r="E15" s="381">
        <f>'ISIRF 15N'!B33</f>
        <v>0</v>
      </c>
      <c r="F15" s="381">
        <f>'ISIRF 15N'!C33</f>
        <v>0</v>
      </c>
      <c r="G15" s="382">
        <f>'ISIRF 15N'!D33</f>
        <v>0</v>
      </c>
      <c r="H15" s="381">
        <f>'ISIRF 15N'!D7</f>
        <v>0</v>
      </c>
      <c r="I15" s="381">
        <f>'ISIRF 15N'!E33</f>
        <v>0</v>
      </c>
      <c r="J15" s="393">
        <f>'ISIRF 15N'!F33</f>
        <v>0</v>
      </c>
      <c r="K15" s="394" t="e">
        <f>'ISIRF 15N'!G33</f>
        <v>#DIV/0!</v>
      </c>
      <c r="L15" s="407">
        <f>'ISIRF 15N'!H33</f>
        <v>3</v>
      </c>
      <c r="M15" s="82" t="s">
        <v>90</v>
      </c>
      <c r="N15" s="83"/>
      <c r="O15" s="84" t="e">
        <f>AVERAGE(K15:K20)</f>
        <v>#DIV/0!</v>
      </c>
      <c r="P15" s="26"/>
      <c r="Q15" s="26"/>
    </row>
    <row r="16" spans="1:17" ht="13.5" thickTop="1">
      <c r="A16" s="113" t="s">
        <v>86</v>
      </c>
      <c r="B16" s="114"/>
      <c r="C16" s="115" t="str">
        <f>'ISIRF 15N'!A4</f>
        <v>ISIRF Ulva</v>
      </c>
      <c r="D16" s="383">
        <f>'ISIRF 15N'!C4</f>
        <v>0</v>
      </c>
      <c r="E16" s="124">
        <f>'ISIRF 15N'!B30</f>
        <v>0</v>
      </c>
      <c r="F16" s="125">
        <f>'ISIRF 15N'!C30</f>
        <v>0</v>
      </c>
      <c r="G16" s="126">
        <f>'ISIRF 15N'!D30</f>
        <v>0</v>
      </c>
      <c r="H16" s="124">
        <f>'ISIRF 15N'!D4</f>
        <v>0</v>
      </c>
      <c r="I16" s="124">
        <f>'ISIRF 15N'!E30</f>
        <v>0</v>
      </c>
      <c r="J16" s="384">
        <f>'ISIRF 15N'!F30</f>
        <v>0</v>
      </c>
      <c r="K16" s="126" t="e">
        <f>'ISIRF 15N'!G30</f>
        <v>#DIV/0!</v>
      </c>
      <c r="L16" s="404">
        <f>'ISIRF 15N'!H30</f>
        <v>5</v>
      </c>
      <c r="M16" s="88" t="s">
        <v>84</v>
      </c>
      <c r="N16" s="89"/>
      <c r="O16" s="90"/>
      <c r="P16" s="26"/>
      <c r="Q16" s="26"/>
    </row>
    <row r="17" spans="1:18" ht="15">
      <c r="A17" s="116" t="s">
        <v>87</v>
      </c>
      <c r="B17" s="117"/>
      <c r="C17" s="118" t="str">
        <f>'ISIRF 15N'!A5</f>
        <v>ISIRF Chitin</v>
      </c>
      <c r="D17" s="380">
        <f>'ISIRF 15N'!C5</f>
        <v>0</v>
      </c>
      <c r="E17" s="129">
        <f>'ISIRF 15N'!B31</f>
        <v>0</v>
      </c>
      <c r="F17" s="384">
        <f>'ISIRF 15N'!C31</f>
        <v>0</v>
      </c>
      <c r="G17" s="385">
        <f>'ISIRF 15N'!D31</f>
        <v>0</v>
      </c>
      <c r="H17" s="129">
        <f>'ISIRF 15N'!D5</f>
        <v>0</v>
      </c>
      <c r="I17" s="129">
        <f>'ISIRF 15N'!E31</f>
        <v>0</v>
      </c>
      <c r="J17" s="130">
        <f>'ISIRF 15N'!F31</f>
        <v>0</v>
      </c>
      <c r="K17" s="131" t="e">
        <f>'ISIRF 15N'!G31</f>
        <v>#DIV/0!</v>
      </c>
      <c r="L17" s="405">
        <f>'ISIRF 15N'!H31</f>
        <v>3</v>
      </c>
      <c r="M17" s="73" t="s">
        <v>224</v>
      </c>
      <c r="N17" s="119"/>
      <c r="O17" s="75">
        <f>IF(COUNT(E15:E16)=0,"",D15-E15)</f>
        <v>0</v>
      </c>
      <c r="P17" s="26"/>
      <c r="Q17" s="26"/>
    </row>
    <row r="18" spans="1:18" ht="13.5" thickBot="1">
      <c r="A18" s="120" t="s">
        <v>88</v>
      </c>
      <c r="B18" s="121"/>
      <c r="C18" s="122" t="str">
        <f>'ISIRF 15N'!A6</f>
        <v>ISIRF Bamboo</v>
      </c>
      <c r="D18" s="380">
        <f>'ISIRF 15N'!C6</f>
        <v>0</v>
      </c>
      <c r="E18" s="129">
        <f>'ISIRF 15N'!B32</f>
        <v>0</v>
      </c>
      <c r="F18" s="386">
        <f>'ISIRF 15N'!C32</f>
        <v>0</v>
      </c>
      <c r="G18" s="387">
        <f>'ISIRF 15N'!D32</f>
        <v>0</v>
      </c>
      <c r="H18" s="390">
        <f>'ISIRF 15N'!D6</f>
        <v>0</v>
      </c>
      <c r="I18" s="390">
        <f>'ISIRF 15N'!E32</f>
        <v>0</v>
      </c>
      <c r="J18" s="386">
        <f>'ISIRF 15N'!F32</f>
        <v>0</v>
      </c>
      <c r="K18" s="386" t="e">
        <f>'ISIRF 15N'!G32</f>
        <v>#DIV/0!</v>
      </c>
      <c r="L18" s="406">
        <f>'ISIRF 15N'!H32</f>
        <v>3</v>
      </c>
      <c r="M18" s="96" t="s">
        <v>90</v>
      </c>
      <c r="N18" s="123"/>
      <c r="O18" s="98">
        <f>IF(COUNT(I15,I17:I18)=0,"",H15-I15)</f>
        <v>0</v>
      </c>
      <c r="P18" s="26"/>
      <c r="Q18" s="26"/>
    </row>
    <row r="19" spans="1:18" ht="14" thickTop="1" thickBot="1">
      <c r="A19" s="113" t="s">
        <v>92</v>
      </c>
      <c r="B19" s="114"/>
      <c r="C19" s="112" t="str">
        <f>'Investigator Data'!B4</f>
        <v xml:space="preserve">20231120_W1_H </v>
      </c>
      <c r="D19" s="509"/>
      <c r="E19" s="510" t="e">
        <f>'ISIRF 15N'!B28</f>
        <v>#DIV/0!</v>
      </c>
      <c r="F19" s="510" t="e">
        <f>'ISIRF 15N'!C28</f>
        <v>#DIV/0!</v>
      </c>
      <c r="G19" s="511" t="e">
        <f>'ISIRF 15N'!D28</f>
        <v>#DIV/0!</v>
      </c>
      <c r="H19" s="390"/>
      <c r="I19" s="510" t="e">
        <f>'ISIRF 15N'!E28</f>
        <v>#DIV/0!</v>
      </c>
      <c r="J19" s="510" t="e">
        <f>'ISIRF 15N'!F28</f>
        <v>#DIV/0!</v>
      </c>
      <c r="K19" s="511" t="e">
        <f>'ISIRF 15N'!G28</f>
        <v>#DIV/0!</v>
      </c>
      <c r="L19" s="512">
        <f>'ISIRF 15N'!H28</f>
        <v>0</v>
      </c>
      <c r="M19" s="51"/>
      <c r="N19" s="51"/>
      <c r="O19" s="51"/>
      <c r="P19" s="26"/>
      <c r="Q19" s="26"/>
    </row>
    <row r="20" spans="1:18" ht="14" thickTop="1" thickBot="1">
      <c r="A20" s="120" t="s">
        <v>93</v>
      </c>
      <c r="B20" s="121"/>
      <c r="C20" s="508" t="str">
        <f>'Investigator Data'!B17</f>
        <v xml:space="preserve">20240407_E2_D </v>
      </c>
      <c r="D20" s="509"/>
      <c r="E20" s="510" t="e">
        <f>'ISIRF 15N'!B29</f>
        <v>#DIV/0!</v>
      </c>
      <c r="F20" s="510" t="e">
        <f>'ISIRF 15N'!C29</f>
        <v>#DIV/0!</v>
      </c>
      <c r="G20" s="511" t="e">
        <f>'ISIRF 15N'!D29</f>
        <v>#DIV/0!</v>
      </c>
      <c r="H20" s="390"/>
      <c r="I20" s="510" t="e">
        <f>'ISIRF 15N'!E29</f>
        <v>#DIV/0!</v>
      </c>
      <c r="J20" s="510" t="e">
        <f>'ISIRF 15N'!F29</f>
        <v>#DIV/0!</v>
      </c>
      <c r="K20" s="511" t="e">
        <f>'ISIRF 15N'!G29</f>
        <v>#DIV/0!</v>
      </c>
      <c r="L20" s="512">
        <f>'ISIRF 15N'!H29</f>
        <v>0</v>
      </c>
      <c r="M20" s="51"/>
      <c r="N20" s="51"/>
      <c r="O20" s="51"/>
      <c r="P20" s="26"/>
      <c r="Q20" s="26"/>
    </row>
    <row r="21" spans="1:18" ht="13.5" thickTop="1" thickBot="1">
      <c r="A21" s="49"/>
      <c r="B21" s="49"/>
      <c r="C21" s="49"/>
      <c r="D21" s="50"/>
      <c r="E21" s="50"/>
      <c r="F21" s="50"/>
      <c r="G21" s="50"/>
      <c r="H21" s="50"/>
      <c r="I21" s="50"/>
      <c r="J21" s="50"/>
      <c r="K21" s="134"/>
      <c r="L21" s="135"/>
      <c r="M21" s="135"/>
      <c r="N21" s="136"/>
      <c r="O21" s="51"/>
      <c r="P21" s="26"/>
      <c r="Q21" s="26"/>
    </row>
    <row r="22" spans="1:18" ht="15.5" thickTop="1">
      <c r="A22" s="111" t="s">
        <v>210</v>
      </c>
      <c r="B22" s="57"/>
      <c r="C22" s="58"/>
      <c r="D22" s="396"/>
      <c r="E22" s="397" t="s">
        <v>218</v>
      </c>
      <c r="F22" s="398"/>
      <c r="G22" s="399"/>
      <c r="H22" s="398"/>
      <c r="I22" s="398" t="s">
        <v>184</v>
      </c>
      <c r="J22" s="398"/>
      <c r="K22" s="399"/>
      <c r="L22" s="396"/>
      <c r="M22" s="64" t="s">
        <v>219</v>
      </c>
      <c r="N22" s="65"/>
      <c r="O22" s="66"/>
      <c r="P22" s="26"/>
      <c r="Q22" s="26"/>
    </row>
    <row r="23" spans="1:18" ht="15.5" thickBot="1">
      <c r="A23" s="67"/>
      <c r="B23" s="68"/>
      <c r="C23" s="69" t="s">
        <v>85</v>
      </c>
      <c r="D23" s="79" t="s">
        <v>14</v>
      </c>
      <c r="E23" s="80" t="s">
        <v>15</v>
      </c>
      <c r="F23" s="80" t="s">
        <v>139</v>
      </c>
      <c r="G23" s="81" t="s">
        <v>5</v>
      </c>
      <c r="H23" s="80" t="s">
        <v>14</v>
      </c>
      <c r="I23" s="80" t="s">
        <v>15</v>
      </c>
      <c r="J23" s="80" t="s">
        <v>139</v>
      </c>
      <c r="K23" s="81" t="s">
        <v>5</v>
      </c>
      <c r="L23" s="79" t="s">
        <v>94</v>
      </c>
      <c r="M23" s="73" t="s">
        <v>222</v>
      </c>
      <c r="N23" s="74"/>
      <c r="O23" s="75" t="str">
        <f>IF(SUM(L25:L29)&lt;2,"",SQRT(SUMPRODUCT(F24:F29,L24:L29)/SUM(L24:L29)))</f>
        <v/>
      </c>
      <c r="P23" s="26"/>
      <c r="Q23" s="26"/>
    </row>
    <row r="24" spans="1:18" ht="14" thickTop="1" thickBot="1">
      <c r="A24" s="76" t="s">
        <v>138</v>
      </c>
      <c r="B24" s="76"/>
      <c r="C24" s="112"/>
      <c r="D24" s="380"/>
      <c r="E24" s="381"/>
      <c r="F24" s="381"/>
      <c r="G24" s="382"/>
      <c r="H24" s="381"/>
      <c r="I24" s="381"/>
      <c r="J24" s="393"/>
      <c r="K24" s="394"/>
      <c r="L24" s="407"/>
      <c r="M24" s="82" t="s">
        <v>221</v>
      </c>
      <c r="N24" s="83"/>
      <c r="O24" s="84" t="str">
        <f>IF(SUM(L25:L29)&lt;2,"",SQRT(SUMPRODUCT(J24:J29,L24:L29)/SUM(L24:L29)))</f>
        <v/>
      </c>
      <c r="P24" s="26"/>
      <c r="Q24" s="26"/>
    </row>
    <row r="25" spans="1:18" ht="13.5" thickTop="1">
      <c r="A25" s="113" t="s">
        <v>86</v>
      </c>
      <c r="B25" s="114"/>
      <c r="C25" s="115"/>
      <c r="D25" s="383"/>
      <c r="E25" s="124"/>
      <c r="F25" s="125"/>
      <c r="G25" s="126"/>
      <c r="H25" s="124"/>
      <c r="I25" s="124"/>
      <c r="J25" s="384"/>
      <c r="K25" s="395"/>
      <c r="L25" s="404"/>
      <c r="M25" s="88" t="s">
        <v>220</v>
      </c>
      <c r="N25" s="89"/>
      <c r="O25" s="90"/>
      <c r="P25" s="26"/>
      <c r="Q25" s="26"/>
    </row>
    <row r="26" spans="1:18" ht="15">
      <c r="A26" s="116" t="s">
        <v>87</v>
      </c>
      <c r="B26" s="117"/>
      <c r="C26" s="118"/>
      <c r="D26" s="380"/>
      <c r="E26" s="129"/>
      <c r="F26" s="384"/>
      <c r="G26" s="385"/>
      <c r="H26" s="129"/>
      <c r="I26" s="129"/>
      <c r="J26" s="130"/>
      <c r="K26" s="131"/>
      <c r="L26" s="405"/>
      <c r="M26" s="73" t="s">
        <v>222</v>
      </c>
      <c r="N26" s="119"/>
      <c r="O26" s="75" t="str">
        <f>IF(COUNT(E24:E25)=0,"",D24-E24)</f>
        <v/>
      </c>
      <c r="P26" s="26"/>
      <c r="Q26" s="26"/>
    </row>
    <row r="27" spans="1:18" ht="13.5" thickBot="1">
      <c r="A27" s="120" t="s">
        <v>88</v>
      </c>
      <c r="B27" s="121"/>
      <c r="C27" s="122"/>
      <c r="D27" s="380"/>
      <c r="E27" s="129"/>
      <c r="F27" s="386"/>
      <c r="G27" s="387"/>
      <c r="H27" s="390"/>
      <c r="I27" s="390"/>
      <c r="J27" s="386"/>
      <c r="K27" s="386"/>
      <c r="L27" s="406"/>
      <c r="M27" s="96" t="s">
        <v>221</v>
      </c>
      <c r="N27" s="123"/>
      <c r="O27" s="98" t="str">
        <f>IF(COUNT(I24,I26:I27)=0,"",AVERAGE(H24-I24,H26-I26,H27-I27))</f>
        <v/>
      </c>
      <c r="P27" s="26"/>
      <c r="Q27" s="26"/>
    </row>
    <row r="28" spans="1:18" ht="13.5" thickTop="1">
      <c r="A28" s="113" t="s">
        <v>92</v>
      </c>
      <c r="B28" s="114"/>
      <c r="C28" s="112"/>
      <c r="D28" s="388"/>
      <c r="E28" s="125"/>
      <c r="F28" s="125"/>
      <c r="G28" s="126"/>
      <c r="H28" s="124"/>
      <c r="I28" s="125"/>
      <c r="J28" s="125"/>
      <c r="K28" s="126"/>
      <c r="L28" s="127"/>
      <c r="M28" s="51"/>
      <c r="N28" s="51"/>
      <c r="O28" s="51"/>
      <c r="P28" s="26"/>
      <c r="Q28" s="26"/>
    </row>
    <row r="29" spans="1:18" ht="13">
      <c r="A29" s="116" t="s">
        <v>93</v>
      </c>
      <c r="B29" s="117"/>
      <c r="C29" s="128"/>
      <c r="D29" s="389"/>
      <c r="E29" s="130"/>
      <c r="F29" s="130"/>
      <c r="G29" s="131"/>
      <c r="H29" s="129"/>
      <c r="I29" s="130"/>
      <c r="J29" s="130"/>
      <c r="K29" s="131"/>
      <c r="L29" s="132"/>
      <c r="M29" s="51"/>
      <c r="N29" s="51"/>
      <c r="O29" s="51"/>
      <c r="P29" s="26"/>
      <c r="Q29" s="26"/>
    </row>
    <row r="30" spans="1:18" ht="13" thickBot="1">
      <c r="A30" s="49"/>
      <c r="B30" s="49"/>
      <c r="C30" s="49"/>
      <c r="D30" s="49"/>
      <c r="E30" s="49"/>
      <c r="F30" s="50"/>
      <c r="G30" s="50"/>
      <c r="H30" s="50"/>
      <c r="I30" s="50"/>
      <c r="J30" s="50"/>
      <c r="K30" s="50"/>
      <c r="L30" s="50"/>
      <c r="M30" s="134"/>
      <c r="N30" s="135"/>
      <c r="O30" s="135"/>
      <c r="P30" s="136"/>
      <c r="Q30" s="51"/>
    </row>
    <row r="31" spans="1:18" ht="13" thickTop="1">
      <c r="A31" s="137" t="s">
        <v>119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9"/>
      <c r="O31" s="139"/>
      <c r="P31" s="65"/>
      <c r="Q31" s="65"/>
      <c r="R31" s="140"/>
    </row>
    <row r="32" spans="1:18" ht="26">
      <c r="A32" s="141" t="s">
        <v>75</v>
      </c>
      <c r="B32" s="142" t="s">
        <v>76</v>
      </c>
      <c r="C32" s="142"/>
      <c r="D32" s="142" t="s">
        <v>0</v>
      </c>
      <c r="E32" s="142" t="s">
        <v>77</v>
      </c>
      <c r="F32" s="143" t="s">
        <v>132</v>
      </c>
      <c r="G32" s="142" t="s">
        <v>78</v>
      </c>
      <c r="H32" s="144" t="s">
        <v>211</v>
      </c>
      <c r="I32" s="145" t="s">
        <v>225</v>
      </c>
      <c r="J32" s="146" t="s">
        <v>68</v>
      </c>
      <c r="K32" s="146" t="s">
        <v>230</v>
      </c>
      <c r="L32" s="144" t="s">
        <v>226</v>
      </c>
      <c r="M32" s="145" t="s">
        <v>227</v>
      </c>
      <c r="N32" s="146" t="s">
        <v>67</v>
      </c>
      <c r="O32" s="146" t="s">
        <v>215</v>
      </c>
      <c r="P32" s="544"/>
      <c r="Q32" s="544" t="s">
        <v>97</v>
      </c>
      <c r="R32" s="147"/>
    </row>
    <row r="33" spans="1:18">
      <c r="A33" s="583">
        <f>'ISIRF RAW'!$B$2</f>
        <v>0</v>
      </c>
      <c r="B33" s="546">
        <f>'ISIRF 15N'!B11</f>
        <v>0</v>
      </c>
      <c r="C33" s="324"/>
      <c r="D33" s="323" t="str">
        <f>'ISIRF 15N'!D11</f>
        <v>ISIRF Ulva</v>
      </c>
      <c r="E33" s="324" t="str">
        <f>'ISIRF 15N'!E11</f>
        <v>QC.STD</v>
      </c>
      <c r="F33" s="325">
        <f>'ISIRF 15N'!F11</f>
        <v>0</v>
      </c>
      <c r="G33" s="326">
        <f>'ISIRF 15N'!G11</f>
        <v>0</v>
      </c>
      <c r="H33" s="325">
        <f>'ISIRF 15N'!H11</f>
        <v>0</v>
      </c>
      <c r="I33" s="475">
        <f>'ISIRF 15N'!I11</f>
        <v>0</v>
      </c>
      <c r="J33" s="326">
        <f>'ISIRF 15N'!J11</f>
        <v>0</v>
      </c>
      <c r="K33" s="326">
        <f>'ISIRF 15N'!K11</f>
        <v>0</v>
      </c>
      <c r="L33" s="547">
        <f>'ISIRF 13C'!H11</f>
        <v>0</v>
      </c>
      <c r="M33" s="477">
        <f>'ISIRF 13C'!I11</f>
        <v>0</v>
      </c>
      <c r="N33" s="326">
        <f>'ISIRF 13C'!J11</f>
        <v>0</v>
      </c>
      <c r="O33" s="548">
        <f>'ISIRF 13C'!K11</f>
        <v>0</v>
      </c>
      <c r="P33" s="329" t="str">
        <f>'ISIRF 15N'!L11&amp;'ISIRF 13C'!L11</f>
        <v/>
      </c>
      <c r="Q33" s="148"/>
      <c r="R33" s="149" t="str">
        <f>IF(COUNTA('ISIRF 15N'!L11)=1,"See ISIRF 15N","")</f>
        <v/>
      </c>
    </row>
    <row r="34" spans="1:18">
      <c r="A34" s="584">
        <f>'ISIRF RAW'!$B$2</f>
        <v>0</v>
      </c>
      <c r="B34" s="545">
        <f>'ISIRF 15N'!B12</f>
        <v>0</v>
      </c>
      <c r="C34" s="322"/>
      <c r="D34" s="330" t="str">
        <f>'ISIRF 15N'!D12</f>
        <v>ISIRF Ulva</v>
      </c>
      <c r="E34" s="322" t="str">
        <f>'ISIRF 15N'!E12</f>
        <v>QC.STD</v>
      </c>
      <c r="F34" s="331">
        <f>'ISIRF 15N'!F12</f>
        <v>0</v>
      </c>
      <c r="G34" s="327">
        <f>'ISIRF 15N'!G12</f>
        <v>0</v>
      </c>
      <c r="H34" s="331">
        <f>'ISIRF 15N'!H12</f>
        <v>0</v>
      </c>
      <c r="I34" s="476">
        <f>'ISIRF 15N'!I12</f>
        <v>0</v>
      </c>
      <c r="J34" s="327">
        <f>'ISIRF 15N'!J12</f>
        <v>0</v>
      </c>
      <c r="K34" s="327">
        <f>'ISIRF 15N'!K12</f>
        <v>0</v>
      </c>
      <c r="L34" s="479">
        <f>'ISIRF 13C'!H12</f>
        <v>0</v>
      </c>
      <c r="M34" s="478">
        <f>'ISIRF 13C'!I12</f>
        <v>0</v>
      </c>
      <c r="N34" s="327">
        <f>'ISIRF 13C'!J12</f>
        <v>0</v>
      </c>
      <c r="O34" s="328">
        <f>'ISIRF 13C'!K12</f>
        <v>0</v>
      </c>
      <c r="P34" s="332" t="str">
        <f>'ISIRF 15N'!L12&amp;'ISIRF 13C'!L12</f>
        <v/>
      </c>
      <c r="Q34" s="150"/>
      <c r="R34" s="151" t="str">
        <f>IF(COUNTA('ISIRF 15N'!L12)=1,"See ISIRF 15N","")</f>
        <v/>
      </c>
    </row>
    <row r="35" spans="1:18">
      <c r="A35" s="584">
        <f>'ISIRF RAW'!$B$2</f>
        <v>0</v>
      </c>
      <c r="B35" s="545">
        <f>'ISIRF 15N'!B13</f>
        <v>0</v>
      </c>
      <c r="C35" s="322"/>
      <c r="D35" s="330" t="str">
        <f>'ISIRF 15N'!D13</f>
        <v>ISIRF Ulva</v>
      </c>
      <c r="E35" s="322" t="str">
        <f>'ISIRF 15N'!E13</f>
        <v>QC.STD</v>
      </c>
      <c r="F35" s="331">
        <f>'ISIRF 15N'!F13</f>
        <v>0</v>
      </c>
      <c r="G35" s="327">
        <f>'ISIRF 15N'!G13</f>
        <v>0</v>
      </c>
      <c r="H35" s="331">
        <f>'ISIRF 15N'!H13</f>
        <v>0</v>
      </c>
      <c r="I35" s="476">
        <f>'ISIRF 15N'!I13</f>
        <v>0</v>
      </c>
      <c r="J35" s="327">
        <f>'ISIRF 15N'!J13</f>
        <v>0</v>
      </c>
      <c r="K35" s="327">
        <f>'ISIRF 15N'!K13</f>
        <v>0</v>
      </c>
      <c r="L35" s="479">
        <f>'ISIRF 13C'!H13</f>
        <v>0</v>
      </c>
      <c r="M35" s="478">
        <f>'ISIRF 13C'!I13</f>
        <v>0</v>
      </c>
      <c r="N35" s="327">
        <f>'ISIRF 13C'!J13</f>
        <v>0</v>
      </c>
      <c r="O35" s="328">
        <f>'ISIRF 13C'!K13</f>
        <v>0</v>
      </c>
      <c r="P35" s="332" t="str">
        <f>'ISIRF 15N'!L13&amp;'ISIRF 13C'!L13</f>
        <v/>
      </c>
      <c r="Q35" s="150"/>
      <c r="R35" s="151" t="str">
        <f>IF(COUNTA('ISIRF 15N'!L13)=1,"See ISIRF 15N","")</f>
        <v/>
      </c>
    </row>
    <row r="36" spans="1:18">
      <c r="A36" s="584">
        <f>'ISIRF RAW'!$B$2</f>
        <v>0</v>
      </c>
      <c r="B36" s="545">
        <f>'ISIRF 15N'!B14</f>
        <v>0</v>
      </c>
      <c r="C36" s="322"/>
      <c r="D36" s="330" t="str">
        <f>'ISIRF 15N'!D14</f>
        <v>ISIRF Ulva</v>
      </c>
      <c r="E36" s="322" t="str">
        <f>'ISIRF 15N'!E14</f>
        <v>QC.STD</v>
      </c>
      <c r="F36" s="331">
        <f>'ISIRF 15N'!F14</f>
        <v>0</v>
      </c>
      <c r="G36" s="327">
        <f>'ISIRF 15N'!G14</f>
        <v>0</v>
      </c>
      <c r="H36" s="331">
        <f>'ISIRF 15N'!H14</f>
        <v>0</v>
      </c>
      <c r="I36" s="476">
        <f>'ISIRF 15N'!I14</f>
        <v>0</v>
      </c>
      <c r="J36" s="327">
        <f>'ISIRF 15N'!J14</f>
        <v>0</v>
      </c>
      <c r="K36" s="327">
        <f>'ISIRF 15N'!K14</f>
        <v>0</v>
      </c>
      <c r="L36" s="479">
        <f>'ISIRF 13C'!H14</f>
        <v>0</v>
      </c>
      <c r="M36" s="478">
        <f>'ISIRF 13C'!I14</f>
        <v>0</v>
      </c>
      <c r="N36" s="327">
        <f>'ISIRF 13C'!J14</f>
        <v>0</v>
      </c>
      <c r="O36" s="328">
        <f>'ISIRF 13C'!K14</f>
        <v>0</v>
      </c>
      <c r="P36" s="332" t="str">
        <f>'ISIRF 15N'!L14&amp;'ISIRF 13C'!L14</f>
        <v/>
      </c>
      <c r="Q36" s="150"/>
      <c r="R36" s="151" t="str">
        <f>IF(COUNTA('ISIRF 15N'!L14)=1,"See ISIRF 15N","")</f>
        <v/>
      </c>
    </row>
    <row r="37" spans="1:18">
      <c r="A37" s="585">
        <f>'ISIRF RAW'!$B$2</f>
        <v>0</v>
      </c>
      <c r="B37" s="549">
        <f>'ISIRF 15N'!B15</f>
        <v>0</v>
      </c>
      <c r="C37" s="550"/>
      <c r="D37" s="551" t="str">
        <f>'ISIRF 15N'!D15</f>
        <v>ISIRF Ulva</v>
      </c>
      <c r="E37" s="550" t="str">
        <f>'ISIRF 15N'!E15</f>
        <v>QC.STD</v>
      </c>
      <c r="F37" s="552">
        <f>'ISIRF 15N'!F15</f>
        <v>0</v>
      </c>
      <c r="G37" s="553">
        <f>'ISIRF 15N'!G15</f>
        <v>0</v>
      </c>
      <c r="H37" s="552">
        <f>'ISIRF 15N'!H15</f>
        <v>0</v>
      </c>
      <c r="I37" s="554">
        <f>'ISIRF 15N'!I15</f>
        <v>0</v>
      </c>
      <c r="J37" s="553">
        <f>'ISIRF 15N'!J15</f>
        <v>0</v>
      </c>
      <c r="K37" s="553">
        <f>'ISIRF 15N'!K15</f>
        <v>0</v>
      </c>
      <c r="L37" s="555">
        <f>'ISIRF 13C'!H15</f>
        <v>0</v>
      </c>
      <c r="M37" s="556">
        <f>'ISIRF 13C'!I15</f>
        <v>0</v>
      </c>
      <c r="N37" s="553">
        <f>'ISIRF 13C'!J15</f>
        <v>0</v>
      </c>
      <c r="O37" s="557">
        <f>'ISIRF 13C'!K15</f>
        <v>0</v>
      </c>
      <c r="P37" s="573" t="str">
        <f>'ISIRF 15N'!L15&amp;'ISIRF 13C'!L15</f>
        <v/>
      </c>
      <c r="Q37" s="558"/>
      <c r="R37" s="559" t="str">
        <f>IF(COUNTA('ISIRF 15N'!L15)=1,"See ISIRF 15N","")</f>
        <v/>
      </c>
    </row>
    <row r="38" spans="1:18">
      <c r="A38" s="583">
        <f>'ISIRF RAW'!$B$2</f>
        <v>0</v>
      </c>
      <c r="B38" s="546">
        <f>'ISIRF 15N'!B16</f>
        <v>0</v>
      </c>
      <c r="C38" s="324"/>
      <c r="D38" s="323" t="str">
        <f>'ISIRF 15N'!D16</f>
        <v>ISIRF Chitin</v>
      </c>
      <c r="E38" s="324" t="str">
        <f>'ISIRF 15N'!E16</f>
        <v>Cal-H.STD</v>
      </c>
      <c r="F38" s="325">
        <f>'ISIRF 15N'!F16</f>
        <v>0</v>
      </c>
      <c r="G38" s="326">
        <f>'ISIRF 15N'!G16</f>
        <v>0</v>
      </c>
      <c r="H38" s="325">
        <f>'ISIRF 15N'!H16</f>
        <v>0</v>
      </c>
      <c r="I38" s="475">
        <f>'ISIRF 15N'!I16</f>
        <v>0</v>
      </c>
      <c r="J38" s="326">
        <f>'ISIRF 15N'!J16</f>
        <v>0</v>
      </c>
      <c r="K38" s="326">
        <f>'ISIRF 15N'!K16</f>
        <v>0</v>
      </c>
      <c r="L38" s="547">
        <f>'ISIRF 13C'!H16</f>
        <v>0</v>
      </c>
      <c r="M38" s="477">
        <f>'ISIRF 13C'!H16</f>
        <v>0</v>
      </c>
      <c r="N38" s="326">
        <f>'ISIRF 13C'!J16</f>
        <v>0</v>
      </c>
      <c r="O38" s="548">
        <f>'ISIRF 13C'!K16</f>
        <v>0</v>
      </c>
      <c r="P38" s="675"/>
      <c r="Q38" s="676"/>
      <c r="R38" s="677"/>
    </row>
    <row r="39" spans="1:18">
      <c r="A39" s="584">
        <f>'ISIRF RAW'!$B$2</f>
        <v>0</v>
      </c>
      <c r="B39" s="545">
        <f>'ISIRF 15N'!B17</f>
        <v>0</v>
      </c>
      <c r="C39" s="322"/>
      <c r="D39" s="330" t="str">
        <f>'ISIRF 15N'!D17</f>
        <v>ISIRF Chitin</v>
      </c>
      <c r="E39" s="322" t="str">
        <f>'ISIRF 15N'!E17</f>
        <v>Cal-H.STD</v>
      </c>
      <c r="F39" s="331">
        <f>'ISIRF 15N'!F17</f>
        <v>0</v>
      </c>
      <c r="G39" s="327">
        <f>'ISIRF 15N'!G17</f>
        <v>0</v>
      </c>
      <c r="H39" s="331">
        <f>'ISIRF 15N'!H17</f>
        <v>0</v>
      </c>
      <c r="I39" s="476">
        <f>'ISIRF 15N'!I17</f>
        <v>0</v>
      </c>
      <c r="J39" s="327">
        <f>'ISIRF 15N'!J17</f>
        <v>0</v>
      </c>
      <c r="K39" s="327">
        <f>'ISIRF 15N'!K17</f>
        <v>0</v>
      </c>
      <c r="L39" s="479">
        <f>'ISIRF 13C'!H17</f>
        <v>0</v>
      </c>
      <c r="M39" s="478">
        <f>'ISIRF 13C'!I17</f>
        <v>0</v>
      </c>
      <c r="N39" s="327">
        <f>'ISIRF 13C'!J17</f>
        <v>0</v>
      </c>
      <c r="O39" s="328">
        <f>'ISIRF 13C'!K17</f>
        <v>0</v>
      </c>
      <c r="P39" s="332"/>
      <c r="Q39" s="150"/>
      <c r="R39" s="151"/>
    </row>
    <row r="40" spans="1:18">
      <c r="A40" s="585">
        <f>'ISIRF RAW'!$B$2</f>
        <v>0</v>
      </c>
      <c r="B40" s="549">
        <f>'ISIRF 15N'!B18</f>
        <v>0</v>
      </c>
      <c r="C40" s="550"/>
      <c r="D40" s="551" t="str">
        <f>'ISIRF 15N'!D18</f>
        <v>ISIRF Chitin</v>
      </c>
      <c r="E40" s="550" t="str">
        <f>'ISIRF 15N'!E18</f>
        <v>Cal-H.STD</v>
      </c>
      <c r="F40" s="552">
        <f>'ISIRF 15N'!F18</f>
        <v>0</v>
      </c>
      <c r="G40" s="553">
        <f>'ISIRF 15N'!G18</f>
        <v>0</v>
      </c>
      <c r="H40" s="552">
        <f>'ISIRF 15N'!H18</f>
        <v>0</v>
      </c>
      <c r="I40" s="554">
        <f>'ISIRF 15N'!I18</f>
        <v>0</v>
      </c>
      <c r="J40" s="553">
        <f>'ISIRF 15N'!J18</f>
        <v>0</v>
      </c>
      <c r="K40" s="553">
        <f>'ISIRF 15N'!K18</f>
        <v>0</v>
      </c>
      <c r="L40" s="555">
        <f>'ISIRF 13C'!H18</f>
        <v>0</v>
      </c>
      <c r="M40" s="556">
        <f>'ISIRF 13C'!I18</f>
        <v>0</v>
      </c>
      <c r="N40" s="553">
        <f>'ISIRF 13C'!J18</f>
        <v>0</v>
      </c>
      <c r="O40" s="560">
        <f>'ISIRF 13C'!K18</f>
        <v>0</v>
      </c>
      <c r="P40" s="561"/>
      <c r="Q40" s="558"/>
      <c r="R40" s="559"/>
    </row>
    <row r="41" spans="1:18">
      <c r="A41" s="583">
        <f>'ISIRF RAW'!$B$2</f>
        <v>0</v>
      </c>
      <c r="B41" s="546">
        <f>'ISIRF 15N'!B19</f>
        <v>0</v>
      </c>
      <c r="C41" s="324"/>
      <c r="D41" s="323" t="str">
        <f>'ISIRF 15N'!D19</f>
        <v>ISIRF Bamboo</v>
      </c>
      <c r="E41" s="324" t="str">
        <f>'ISIRF 15N'!E19</f>
        <v>Cal-L.STD</v>
      </c>
      <c r="F41" s="325">
        <f>'ISIRF 15N'!F19</f>
        <v>0</v>
      </c>
      <c r="G41" s="326">
        <f>'ISIRF 15N'!G19</f>
        <v>0</v>
      </c>
      <c r="H41" s="325">
        <f>'ISIRF 15N'!H19</f>
        <v>0</v>
      </c>
      <c r="I41" s="475">
        <f>'ISIRF 15N'!I19</f>
        <v>0</v>
      </c>
      <c r="J41" s="326">
        <f>'ISIRF 15N'!J19</f>
        <v>0</v>
      </c>
      <c r="K41" s="326">
        <f>'ISIRF 15N'!K19</f>
        <v>0</v>
      </c>
      <c r="L41" s="547">
        <f>'ISIRF 13C'!H19</f>
        <v>0</v>
      </c>
      <c r="M41" s="477">
        <f>'ISIRF 13C'!I19</f>
        <v>0</v>
      </c>
      <c r="N41" s="326">
        <f>'ISIRF 13C'!J19</f>
        <v>0</v>
      </c>
      <c r="O41" s="548">
        <f>'ISIRF 13C'!K19</f>
        <v>0</v>
      </c>
      <c r="P41" s="329"/>
      <c r="Q41" s="148"/>
      <c r="R41" s="149"/>
    </row>
    <row r="42" spans="1:18">
      <c r="A42" s="584">
        <f>'ISIRF RAW'!$B$2</f>
        <v>0</v>
      </c>
      <c r="B42" s="545">
        <f>'ISIRF 15N'!B20</f>
        <v>0</v>
      </c>
      <c r="C42" s="322"/>
      <c r="D42" s="330" t="str">
        <f>'ISIRF 15N'!D20</f>
        <v>ISIRF Bamboo</v>
      </c>
      <c r="E42" s="322" t="str">
        <f>'ISIRF 15N'!E20</f>
        <v>Cal-L.STD</v>
      </c>
      <c r="F42" s="331">
        <f>'ISIRF 15N'!F20</f>
        <v>0</v>
      </c>
      <c r="G42" s="327">
        <f>'ISIRF 15N'!G20</f>
        <v>0</v>
      </c>
      <c r="H42" s="331">
        <f>'ISIRF 15N'!H20</f>
        <v>0</v>
      </c>
      <c r="I42" s="476">
        <f>'ISIRF 15N'!I20</f>
        <v>0</v>
      </c>
      <c r="J42" s="327">
        <f>'ISIRF 15N'!J20</f>
        <v>0</v>
      </c>
      <c r="K42" s="327">
        <f>'ISIRF 15N'!K20</f>
        <v>0</v>
      </c>
      <c r="L42" s="479">
        <f>'ISIRF 13C'!H20</f>
        <v>0</v>
      </c>
      <c r="M42" s="478">
        <f>'ISIRF 13C'!I20</f>
        <v>0</v>
      </c>
      <c r="N42" s="327">
        <f>'ISIRF 13C'!J20</f>
        <v>0</v>
      </c>
      <c r="O42" s="328">
        <f>'ISIRF 13C'!K20</f>
        <v>0</v>
      </c>
      <c r="P42" s="332"/>
      <c r="Q42" s="150"/>
      <c r="R42" s="151"/>
    </row>
    <row r="43" spans="1:18">
      <c r="A43" s="585">
        <f>'ISIRF RAW'!$B$2</f>
        <v>0</v>
      </c>
      <c r="B43" s="549">
        <f>'ISIRF 15N'!B21</f>
        <v>0</v>
      </c>
      <c r="C43" s="550"/>
      <c r="D43" s="551" t="str">
        <f>'ISIRF 15N'!D21</f>
        <v>ISIRF Bamboo</v>
      </c>
      <c r="E43" s="550" t="str">
        <f>'ISIRF 15N'!E21</f>
        <v>Cal-L.STD</v>
      </c>
      <c r="F43" s="552">
        <f>'ISIRF 15N'!F21</f>
        <v>0</v>
      </c>
      <c r="G43" s="553">
        <f>'ISIRF 15N'!G21</f>
        <v>0</v>
      </c>
      <c r="H43" s="552">
        <f>'ISIRF 15N'!H21</f>
        <v>0</v>
      </c>
      <c r="I43" s="554">
        <f>'ISIRF 15N'!I21</f>
        <v>0</v>
      </c>
      <c r="J43" s="553">
        <f>'ISIRF 15N'!J21</f>
        <v>0</v>
      </c>
      <c r="K43" s="553">
        <f>'ISIRF 15N'!K21</f>
        <v>0</v>
      </c>
      <c r="L43" s="555">
        <f>'ISIRF 13C'!H21</f>
        <v>0</v>
      </c>
      <c r="M43" s="556">
        <f>'ISIRF 13C'!I21</f>
        <v>0</v>
      </c>
      <c r="N43" s="553">
        <f>'ISIRF 13C'!J21</f>
        <v>0</v>
      </c>
      <c r="O43" s="560">
        <f>'ISIRF 13C'!K21</f>
        <v>0</v>
      </c>
      <c r="P43" s="573"/>
      <c r="Q43" s="558"/>
      <c r="R43" s="559"/>
    </row>
    <row r="44" spans="1:18">
      <c r="A44" s="583">
        <f>'ISIRF RAW'!$B$2</f>
        <v>0</v>
      </c>
      <c r="B44" s="546">
        <f>'ISIRF 15N'!B22</f>
        <v>0</v>
      </c>
      <c r="C44" s="324"/>
      <c r="D44" s="323" t="str">
        <f>'ISIRF 15N'!D22</f>
        <v>NBS 1575 Pine Needles</v>
      </c>
      <c r="E44" s="324" t="str">
        <f>'ISIRF 15N'!E22</f>
        <v>QA STD</v>
      </c>
      <c r="F44" s="325">
        <f>'ISIRF 15N'!F22</f>
        <v>0</v>
      </c>
      <c r="G44" s="326">
        <f>'ISIRF 15N'!G22</f>
        <v>0</v>
      </c>
      <c r="H44" s="325">
        <f>'ISIRF 15N'!H22</f>
        <v>0</v>
      </c>
      <c r="I44" s="475">
        <f>'ISIRF 15N'!I22</f>
        <v>0</v>
      </c>
      <c r="J44" s="326">
        <f>'ISIRF 15N'!J22</f>
        <v>0</v>
      </c>
      <c r="K44" s="326">
        <f>'ISIRF 15N'!K22</f>
        <v>0</v>
      </c>
      <c r="L44" s="547">
        <f>'ISIRF 13C'!H22</f>
        <v>0</v>
      </c>
      <c r="M44" s="477">
        <f>'ISIRF 13C'!I22</f>
        <v>0</v>
      </c>
      <c r="N44" s="326">
        <f>'ISIRF 13C'!J22</f>
        <v>0</v>
      </c>
      <c r="O44" s="548">
        <f>'ISIRF 13C'!K22</f>
        <v>0</v>
      </c>
      <c r="P44" s="329"/>
      <c r="Q44" s="148"/>
      <c r="R44" s="149"/>
    </row>
    <row r="45" spans="1:18">
      <c r="A45" s="584">
        <f>'ISIRF RAW'!$B$2</f>
        <v>0</v>
      </c>
      <c r="B45" s="545">
        <f>'ISIRF 15N'!B23</f>
        <v>0</v>
      </c>
      <c r="C45" s="322"/>
      <c r="D45" s="330" t="str">
        <f>'ISIRF 15N'!D23</f>
        <v>NBS 1575 Pine Needles</v>
      </c>
      <c r="E45" s="322" t="str">
        <f>'ISIRF 15N'!E23</f>
        <v>QA STD</v>
      </c>
      <c r="F45" s="331">
        <f>'ISIRF 15N'!F23</f>
        <v>0</v>
      </c>
      <c r="G45" s="327">
        <f>'ISIRF 15N'!G23</f>
        <v>0</v>
      </c>
      <c r="H45" s="331">
        <f>'ISIRF 15N'!H23</f>
        <v>0</v>
      </c>
      <c r="I45" s="476">
        <f>'ISIRF 15N'!I23</f>
        <v>0</v>
      </c>
      <c r="J45" s="152">
        <f>'ISIRF 15N'!J23</f>
        <v>0</v>
      </c>
      <c r="K45" s="327">
        <f>'ISIRF 15N'!K23</f>
        <v>0</v>
      </c>
      <c r="L45" s="479">
        <f>'ISIRF 13C'!H23</f>
        <v>0</v>
      </c>
      <c r="M45" s="478">
        <f>'ISIRF 13C'!I23</f>
        <v>0</v>
      </c>
      <c r="N45" s="327">
        <f>'ISIRF 13C'!J23</f>
        <v>0</v>
      </c>
      <c r="O45" s="328">
        <f>'ISIRF 13C'!K23</f>
        <v>0</v>
      </c>
      <c r="P45" s="332"/>
      <c r="Q45" s="150"/>
      <c r="R45" s="151"/>
    </row>
    <row r="46" spans="1:18">
      <c r="A46" s="585">
        <f>'ISIRF RAW'!$B$2</f>
        <v>0</v>
      </c>
      <c r="B46" s="549">
        <f>'ISIRF 15N'!B24</f>
        <v>0</v>
      </c>
      <c r="C46" s="550"/>
      <c r="D46" s="562" t="str">
        <f>'ISIRF 15N'!D24</f>
        <v>NBS 1575 Pine Needles</v>
      </c>
      <c r="E46" s="563" t="str">
        <f>'ISIRF 15N'!E24</f>
        <v>QA STD</v>
      </c>
      <c r="F46" s="564">
        <f>'ISIRF 15N'!F24</f>
        <v>0</v>
      </c>
      <c r="G46" s="557">
        <f>'ISIRF 15N'!G24</f>
        <v>0</v>
      </c>
      <c r="H46" s="565">
        <f>'ISIRF 15N'!H24</f>
        <v>0</v>
      </c>
      <c r="I46" s="566">
        <f>'ISIRF 15N'!I24</f>
        <v>0</v>
      </c>
      <c r="J46" s="557">
        <f>'ISIRF 15N'!J24</f>
        <v>0</v>
      </c>
      <c r="K46" s="557">
        <f>'ISIRF 15N'!K24</f>
        <v>0</v>
      </c>
      <c r="L46" s="567">
        <f>'ISIRF 13C'!H24</f>
        <v>0</v>
      </c>
      <c r="M46" s="568">
        <f>'ISIRF 13C'!I24</f>
        <v>0</v>
      </c>
      <c r="N46" s="569">
        <f>'ISIRF 13C'!J24</f>
        <v>0</v>
      </c>
      <c r="O46" s="557">
        <f>'ISIRF 13C'!K24</f>
        <v>0</v>
      </c>
      <c r="P46" s="561"/>
      <c r="Q46" s="558"/>
      <c r="R46" s="559"/>
    </row>
    <row r="47" spans="1:18">
      <c r="A47" s="583">
        <f>'ISIRF RAW'!$B$2</f>
        <v>0</v>
      </c>
      <c r="B47" s="546">
        <f>'ISIRF RAW'!T12</f>
        <v>0</v>
      </c>
      <c r="C47" s="324"/>
      <c r="D47" s="570" t="str">
        <f>'ISIRF RAW'!A12</f>
        <v xml:space="preserve">R1-20231120_W1_H </v>
      </c>
      <c r="E47" s="571" t="s">
        <v>228</v>
      </c>
      <c r="F47" s="325">
        <f>'ISIRF RAW'!B12</f>
        <v>0</v>
      </c>
      <c r="G47" s="548">
        <f>'ISIRF RAW'!C12</f>
        <v>0</v>
      </c>
      <c r="H47" s="572">
        <f>'ISIRF RAW'!D12</f>
        <v>0</v>
      </c>
      <c r="I47" s="475">
        <f>'ISIRF RAW'!E12</f>
        <v>0</v>
      </c>
      <c r="J47" s="548">
        <f>'ISIRF RAW'!J12</f>
        <v>0</v>
      </c>
      <c r="K47" s="548">
        <f>'ISIRF RAW'!L12</f>
        <v>0</v>
      </c>
      <c r="L47" s="547">
        <f>'ISIRF RAW'!F12</f>
        <v>0</v>
      </c>
      <c r="M47" s="477">
        <f>'ISIRF RAW'!G12</f>
        <v>0</v>
      </c>
      <c r="N47" s="326">
        <f>'ISIRF RAW'!M12</f>
        <v>0</v>
      </c>
      <c r="O47" s="548">
        <f>'ISIRF RAW'!O12</f>
        <v>0</v>
      </c>
      <c r="P47" s="329"/>
      <c r="Q47" s="148"/>
      <c r="R47" s="149"/>
    </row>
    <row r="48" spans="1:18">
      <c r="A48" s="585">
        <f>'ISIRF RAW'!$B$2</f>
        <v>0</v>
      </c>
      <c r="B48" s="549">
        <f>'ISIRF RAW'!T56</f>
        <v>0</v>
      </c>
      <c r="C48" s="550"/>
      <c r="D48" s="562" t="str">
        <f>'ISIRF RAW'!A56</f>
        <v xml:space="preserve">R1-20231120_W1_H </v>
      </c>
      <c r="E48" s="563" t="s">
        <v>228</v>
      </c>
      <c r="F48" s="564">
        <f>'ISIRF RAW'!B56</f>
        <v>0</v>
      </c>
      <c r="G48" s="557">
        <f>'ISIRF RAW'!C56</f>
        <v>0</v>
      </c>
      <c r="H48" s="565">
        <f>'ISIRF RAW'!D56</f>
        <v>0</v>
      </c>
      <c r="I48" s="566">
        <f>'ISIRF RAW'!E56</f>
        <v>0</v>
      </c>
      <c r="J48" s="557">
        <f>'ISIRF RAW'!J56</f>
        <v>0</v>
      </c>
      <c r="K48" s="557">
        <f>'ISIRF RAW'!L56</f>
        <v>0</v>
      </c>
      <c r="L48" s="567">
        <f>'ISIRF RAW'!F56</f>
        <v>0</v>
      </c>
      <c r="M48" s="568">
        <f>'ISIRF RAW'!G56</f>
        <v>0</v>
      </c>
      <c r="N48" s="569">
        <f>'ISIRF RAW'!M56</f>
        <v>0</v>
      </c>
      <c r="O48" s="557">
        <f>'ISIRF RAW'!O56</f>
        <v>0</v>
      </c>
      <c r="P48" s="573"/>
      <c r="Q48" s="558"/>
      <c r="R48" s="559" t="str">
        <f>IF(COUNTA('ISIRF 15N'!L26)=1,"See ISIRF 15N","")</f>
        <v/>
      </c>
    </row>
    <row r="49" spans="1:18">
      <c r="A49" s="583">
        <f>'ISIRF RAW'!$B$2</f>
        <v>0</v>
      </c>
      <c r="B49" s="546">
        <f>'ISIRF RAW'!T26</f>
        <v>0</v>
      </c>
      <c r="C49" s="324"/>
      <c r="D49" s="570" t="str">
        <f>'ISIRF RAW'!A26</f>
        <v xml:space="preserve">R2-20240407_E2_D </v>
      </c>
      <c r="E49" s="571" t="s">
        <v>229</v>
      </c>
      <c r="F49" s="325">
        <f>'ISIRF RAW'!B26</f>
        <v>0</v>
      </c>
      <c r="G49" s="548">
        <f>'ISIRF RAW'!C26</f>
        <v>0</v>
      </c>
      <c r="H49" s="572">
        <f>'ISIRF RAW'!D26</f>
        <v>0</v>
      </c>
      <c r="I49" s="475">
        <f>'ISIRF RAW'!E26</f>
        <v>0</v>
      </c>
      <c r="J49" s="548">
        <f>'ISIRF RAW'!J26</f>
        <v>0</v>
      </c>
      <c r="K49" s="548">
        <f>'ISIRF RAW'!L26</f>
        <v>0</v>
      </c>
      <c r="L49" s="547">
        <f>'ISIRF RAW'!F26</f>
        <v>0</v>
      </c>
      <c r="M49" s="477">
        <f>'ISIRF RAW'!G26</f>
        <v>0</v>
      </c>
      <c r="N49" s="326">
        <f>'ISIRF RAW'!M26</f>
        <v>0</v>
      </c>
      <c r="O49" s="548">
        <f>'ISIRF RAW'!O26</f>
        <v>0</v>
      </c>
      <c r="P49" s="329"/>
      <c r="Q49" s="148"/>
      <c r="R49" s="149"/>
    </row>
    <row r="50" spans="1:18">
      <c r="A50" s="585">
        <f>'ISIRF RAW'!$B$2</f>
        <v>0</v>
      </c>
      <c r="B50" s="549">
        <f>'ISIRF RAW'!T27</f>
        <v>0</v>
      </c>
      <c r="C50" s="550"/>
      <c r="D50" s="562" t="str">
        <f>'ISIRF RAW'!A27</f>
        <v xml:space="preserve">R2-20240407_E2_D </v>
      </c>
      <c r="E50" s="563" t="s">
        <v>229</v>
      </c>
      <c r="F50" s="564">
        <f>'ISIRF RAW'!B27</f>
        <v>0</v>
      </c>
      <c r="G50" s="557">
        <f>'ISIRF RAW'!C27</f>
        <v>0</v>
      </c>
      <c r="H50" s="565">
        <f>'ISIRF RAW'!D27</f>
        <v>0</v>
      </c>
      <c r="I50" s="566">
        <f>'ISIRF RAW'!E27</f>
        <v>0</v>
      </c>
      <c r="J50" s="557">
        <f>'ISIRF RAW'!J27</f>
        <v>0</v>
      </c>
      <c r="K50" s="557">
        <f>'ISIRF RAW'!L27</f>
        <v>0</v>
      </c>
      <c r="L50" s="567">
        <f>'ISIRF RAW'!F27</f>
        <v>0</v>
      </c>
      <c r="M50" s="568">
        <f>'ISIRF RAW'!G27</f>
        <v>0</v>
      </c>
      <c r="N50" s="569">
        <f>'ISIRF RAW'!M27</f>
        <v>0</v>
      </c>
      <c r="O50" s="557">
        <f>'ISIRF RAW'!O27</f>
        <v>0</v>
      </c>
      <c r="P50" s="573"/>
      <c r="Q50" s="558"/>
      <c r="R50" s="559" t="str">
        <f>IF(COUNTA('ISIRF 15N'!L27)=1,"See ISIRF 15N","")</f>
        <v/>
      </c>
    </row>
  </sheetData>
  <mergeCells count="1">
    <mergeCell ref="P38:R38"/>
  </mergeCells>
  <phoneticPr fontId="0" type="noConversion"/>
  <conditionalFormatting sqref="G15:G18 G20">
    <cfRule type="cellIs" dxfId="24" priority="11" operator="greaterThan">
      <formula>0.3</formula>
    </cfRule>
  </conditionalFormatting>
  <conditionalFormatting sqref="O14:O15">
    <cfRule type="cellIs" dxfId="23" priority="10" operator="greaterThan">
      <formula>0.3</formula>
    </cfRule>
  </conditionalFormatting>
  <conditionalFormatting sqref="O17">
    <cfRule type="cellIs" dxfId="22" priority="9" operator="greaterThan">
      <formula>"abs(0.6)"</formula>
    </cfRule>
  </conditionalFormatting>
  <conditionalFormatting sqref="O18">
    <cfRule type="cellIs" dxfId="21" priority="8" operator="greaterThan">
      <formula>0.5</formula>
    </cfRule>
  </conditionalFormatting>
  <conditionalFormatting sqref="G6:G9 G11">
    <cfRule type="cellIs" dxfId="20" priority="7" operator="greaterThan">
      <formula>0.3</formula>
    </cfRule>
  </conditionalFormatting>
  <conditionalFormatting sqref="O5">
    <cfRule type="cellIs" dxfId="19" priority="6" operator="greaterThan">
      <formula>0.3</formula>
    </cfRule>
  </conditionalFormatting>
  <conditionalFormatting sqref="O6">
    <cfRule type="cellIs" dxfId="18" priority="5" operator="greaterThan">
      <formula>1</formula>
    </cfRule>
  </conditionalFormatting>
  <conditionalFormatting sqref="O8">
    <cfRule type="cellIs" dxfId="17" priority="4" operator="greaterThan">
      <formula>"abs(0.6)"</formula>
    </cfRule>
  </conditionalFormatting>
  <conditionalFormatting sqref="O9">
    <cfRule type="cellIs" dxfId="16" priority="3" operator="greaterThan">
      <formula>0.5</formula>
    </cfRule>
  </conditionalFormatting>
  <conditionalFormatting sqref="G19">
    <cfRule type="cellIs" dxfId="15" priority="2" operator="greaterThan">
      <formula>0.3</formula>
    </cfRule>
  </conditionalFormatting>
  <conditionalFormatting sqref="G10">
    <cfRule type="cellIs" dxfId="14" priority="1" operator="greaterThan">
      <formula>0.3</formula>
    </cfRule>
  </conditionalFormatting>
  <pageMargins left="0.75" right="0.75" top="1" bottom="1" header="0.5" footer="0.5"/>
  <pageSetup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7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14" sqref="G14"/>
    </sheetView>
  </sheetViews>
  <sheetFormatPr defaultColWidth="9.1796875" defaultRowHeight="12.5"/>
  <cols>
    <col min="1" max="1" width="28.26953125" style="39" customWidth="1"/>
    <col min="2" max="2" width="14" style="2" customWidth="1"/>
    <col min="3" max="3" width="8.26953125" style="292" customWidth="1"/>
    <col min="4" max="4" width="7.81640625" style="2" customWidth="1"/>
    <col min="5" max="5" width="12.26953125" style="292" customWidth="1"/>
    <col min="6" max="6" width="7.54296875" style="2" customWidth="1"/>
    <col min="7" max="7" width="10.54296875" style="292" customWidth="1"/>
    <col min="8" max="9" width="7.54296875" style="292" customWidth="1"/>
    <col min="10" max="10" width="6.26953125" style="43" customWidth="1"/>
    <col min="11" max="11" width="6.54296875" style="43" bestFit="1" customWidth="1"/>
    <col min="12" max="12" width="9.7265625" style="43" customWidth="1"/>
    <col min="13" max="13" width="6.7265625" style="297" customWidth="1"/>
    <col min="14" max="14" width="7.81640625" style="298" customWidth="1"/>
    <col min="15" max="15" width="10.54296875" style="184" bestFit="1" customWidth="1"/>
    <col min="16" max="16" width="6.7265625" style="297" customWidth="1"/>
    <col min="17" max="17" width="7.81640625" style="298" customWidth="1"/>
    <col min="18" max="18" width="10.54296875" style="184" bestFit="1" customWidth="1"/>
    <col min="19" max="19" width="12.26953125" style="2" bestFit="1" customWidth="1"/>
    <col min="20" max="20" width="38.453125" bestFit="1" customWidth="1"/>
    <col min="21" max="16384" width="9.1796875" style="2"/>
  </cols>
  <sheetData>
    <row r="1" spans="1:21" ht="13.5" thickTop="1">
      <c r="A1" s="164" t="s">
        <v>35</v>
      </c>
      <c r="B1" s="282"/>
    </row>
    <row r="2" spans="1:21" ht="13" thickBot="1">
      <c r="A2" s="167" t="s">
        <v>8</v>
      </c>
      <c r="B2" s="580"/>
    </row>
    <row r="3" spans="1:21" ht="13.5" thickBot="1">
      <c r="A3" s="167" t="s">
        <v>30</v>
      </c>
      <c r="B3" s="581"/>
      <c r="C3" s="370"/>
      <c r="D3" s="293" t="s">
        <v>10</v>
      </c>
      <c r="E3" s="20" t="str">
        <f>COVER!C2</f>
        <v>IC15N-240517-10Kansas_ROAR_3</v>
      </c>
      <c r="F3" s="296"/>
      <c r="G3" s="21"/>
      <c r="H3" s="447"/>
      <c r="I3" s="447"/>
      <c r="J3" s="292"/>
      <c r="M3" s="43"/>
      <c r="N3" s="297"/>
      <c r="O3" s="298"/>
      <c r="P3" s="43"/>
      <c r="Q3" s="297"/>
      <c r="R3" s="298"/>
      <c r="S3" s="184"/>
      <c r="T3" s="2"/>
      <c r="U3"/>
    </row>
    <row r="4" spans="1:21" ht="15" thickBot="1">
      <c r="A4" s="171" t="s">
        <v>7</v>
      </c>
      <c r="B4" s="582"/>
    </row>
    <row r="5" spans="1:21" s="487" customFormat="1" ht="44.25" customHeight="1" thickTop="1">
      <c r="A5" s="482" t="s">
        <v>128</v>
      </c>
      <c r="B5" s="483" t="s">
        <v>118</v>
      </c>
      <c r="C5" s="484" t="s">
        <v>109</v>
      </c>
      <c r="D5" s="485" t="s">
        <v>185</v>
      </c>
      <c r="E5" s="484" t="s">
        <v>110</v>
      </c>
      <c r="F5" s="485" t="s">
        <v>186</v>
      </c>
      <c r="G5" s="484" t="s">
        <v>111</v>
      </c>
      <c r="H5" s="484" t="s">
        <v>203</v>
      </c>
      <c r="I5" s="484" t="s">
        <v>204</v>
      </c>
      <c r="J5" s="299" t="s">
        <v>115</v>
      </c>
      <c r="K5" s="299" t="s">
        <v>116</v>
      </c>
      <c r="L5" s="44" t="s">
        <v>117</v>
      </c>
      <c r="M5" s="299" t="s">
        <v>112</v>
      </c>
      <c r="N5" s="299" t="s">
        <v>113</v>
      </c>
      <c r="O5" s="40" t="s">
        <v>114</v>
      </c>
      <c r="P5" s="299" t="s">
        <v>205</v>
      </c>
      <c r="Q5" s="299" t="s">
        <v>206</v>
      </c>
      <c r="R5" s="40" t="s">
        <v>207</v>
      </c>
      <c r="S5" s="486" t="s">
        <v>9</v>
      </c>
      <c r="T5" s="480" t="s">
        <v>212</v>
      </c>
    </row>
    <row r="6" spans="1:21">
      <c r="A6" s="287" t="str">
        <f>'Weigh Sheet'!C17</f>
        <v>blank</v>
      </c>
      <c r="B6" s="288"/>
      <c r="C6" s="294"/>
      <c r="D6" s="294"/>
      <c r="E6" s="469"/>
      <c r="F6" s="294"/>
      <c r="G6" s="469"/>
      <c r="H6" s="294"/>
      <c r="I6" s="294"/>
      <c r="J6" s="289"/>
      <c r="K6" s="289"/>
      <c r="L6" s="290"/>
      <c r="M6" s="289"/>
      <c r="N6" s="289"/>
      <c r="O6" s="290"/>
      <c r="P6" s="289"/>
      <c r="Q6" s="289"/>
      <c r="R6" s="290"/>
      <c r="S6" s="507"/>
      <c r="T6" s="481"/>
    </row>
    <row r="7" spans="1:21">
      <c r="A7" s="287" t="str">
        <f>'Weigh Sheet'!C18</f>
        <v>blank</v>
      </c>
      <c r="B7" s="288"/>
      <c r="C7" s="294"/>
      <c r="D7" s="295"/>
      <c r="E7" s="469"/>
      <c r="F7" s="294"/>
      <c r="G7" s="469"/>
      <c r="H7" s="294"/>
      <c r="I7" s="294"/>
      <c r="J7" s="289"/>
      <c r="K7" s="289"/>
      <c r="L7" s="290"/>
      <c r="M7" s="289"/>
      <c r="N7" s="289"/>
      <c r="O7" s="290"/>
      <c r="P7" s="289"/>
      <c r="Q7" s="289"/>
      <c r="R7" s="290"/>
      <c r="S7" s="507"/>
      <c r="T7" s="481"/>
    </row>
    <row r="8" spans="1:21">
      <c r="A8" s="287" t="str">
        <f>'Weigh Sheet'!C19</f>
        <v>ISIRF Ulva</v>
      </c>
      <c r="B8" s="288"/>
      <c r="C8" s="294"/>
      <c r="D8" s="295"/>
      <c r="E8" s="469"/>
      <c r="F8" s="294"/>
      <c r="G8" s="469"/>
      <c r="H8" s="294"/>
      <c r="I8" s="294"/>
      <c r="J8" s="289"/>
      <c r="K8" s="289"/>
      <c r="L8" s="290"/>
      <c r="M8" s="289"/>
      <c r="N8" s="289"/>
      <c r="O8" s="290"/>
      <c r="P8" s="289"/>
      <c r="Q8" s="289"/>
      <c r="R8" s="290"/>
      <c r="S8" s="507"/>
      <c r="T8" s="481"/>
    </row>
    <row r="9" spans="1:21">
      <c r="A9" s="287" t="str">
        <f>'Weigh Sheet'!C20</f>
        <v>ISIRF Chitin</v>
      </c>
      <c r="B9" s="288"/>
      <c r="C9" s="294"/>
      <c r="D9" s="295"/>
      <c r="E9" s="469"/>
      <c r="F9" s="294"/>
      <c r="G9" s="469"/>
      <c r="H9" s="294"/>
      <c r="I9" s="294"/>
      <c r="J9" s="291"/>
      <c r="K9" s="291"/>
      <c r="L9" s="290"/>
      <c r="M9" s="289"/>
      <c r="N9" s="291"/>
      <c r="O9" s="290"/>
      <c r="P9" s="289"/>
      <c r="Q9" s="291"/>
      <c r="R9" s="290"/>
      <c r="S9" s="507"/>
      <c r="T9" s="481"/>
    </row>
    <row r="10" spans="1:21">
      <c r="A10" s="287" t="str">
        <f>'Weigh Sheet'!C21</f>
        <v>ISIRF Bamboo</v>
      </c>
      <c r="B10" s="288"/>
      <c r="C10" s="295"/>
      <c r="D10" s="295"/>
      <c r="E10" s="469"/>
      <c r="F10" s="294"/>
      <c r="G10" s="469"/>
      <c r="H10" s="294"/>
      <c r="I10" s="294"/>
      <c r="J10" s="291"/>
      <c r="K10" s="291"/>
      <c r="L10" s="290"/>
      <c r="M10" s="289"/>
      <c r="N10" s="291"/>
      <c r="O10" s="290"/>
      <c r="P10" s="289"/>
      <c r="Q10" s="291"/>
      <c r="R10" s="290"/>
      <c r="S10" s="507"/>
      <c r="T10" s="481"/>
    </row>
    <row r="11" spans="1:21">
      <c r="A11" s="287" t="str">
        <f>'Weigh Sheet'!C22</f>
        <v>NBS 1575 Pine Needles</v>
      </c>
      <c r="B11" s="288"/>
      <c r="C11" s="295"/>
      <c r="D11" s="295"/>
      <c r="E11" s="469"/>
      <c r="F11" s="294"/>
      <c r="G11" s="469"/>
      <c r="H11" s="294"/>
      <c r="I11" s="294"/>
      <c r="J11" s="291"/>
      <c r="K11" s="291"/>
      <c r="L11" s="290"/>
      <c r="M11" s="289"/>
      <c r="N11" s="291"/>
      <c r="O11" s="290"/>
      <c r="P11" s="289"/>
      <c r="Q11" s="291"/>
      <c r="R11" s="290"/>
      <c r="S11" s="507"/>
      <c r="T11" s="481"/>
    </row>
    <row r="12" spans="1:21">
      <c r="A12" s="287" t="str">
        <f>'Weigh Sheet'!C23</f>
        <v xml:space="preserve">R1-20231120_W1_H </v>
      </c>
      <c r="B12" s="288"/>
      <c r="C12" s="295"/>
      <c r="D12" s="295"/>
      <c r="E12" s="469"/>
      <c r="F12" s="294"/>
      <c r="G12" s="469"/>
      <c r="H12" s="294"/>
      <c r="I12" s="294"/>
      <c r="J12" s="291"/>
      <c r="K12" s="291"/>
      <c r="L12" s="290"/>
      <c r="M12" s="289"/>
      <c r="N12" s="291"/>
      <c r="O12" s="290"/>
      <c r="P12" s="289"/>
      <c r="Q12" s="291"/>
      <c r="R12" s="290"/>
      <c r="S12" s="507"/>
      <c r="T12" s="481"/>
    </row>
    <row r="13" spans="1:21">
      <c r="A13" s="287" t="str">
        <f>'Weigh Sheet'!C24</f>
        <v xml:space="preserve">20240407_E1_A </v>
      </c>
      <c r="B13" s="288"/>
      <c r="C13" s="295"/>
      <c r="D13" s="295"/>
      <c r="E13" s="469"/>
      <c r="F13" s="294"/>
      <c r="G13" s="469"/>
      <c r="H13" s="294"/>
      <c r="I13" s="294"/>
      <c r="J13" s="291"/>
      <c r="K13" s="291"/>
      <c r="L13" s="290"/>
      <c r="M13" s="289"/>
      <c r="N13" s="291"/>
      <c r="O13" s="290"/>
      <c r="P13" s="289"/>
      <c r="Q13" s="291"/>
      <c r="R13" s="290"/>
      <c r="S13" s="507"/>
      <c r="T13" s="481"/>
    </row>
    <row r="14" spans="1:21">
      <c r="A14" s="287" t="str">
        <f>'Weigh Sheet'!C25</f>
        <v xml:space="preserve">20240407_E1_B </v>
      </c>
      <c r="B14" s="288"/>
      <c r="C14" s="295"/>
      <c r="D14" s="295"/>
      <c r="E14" s="469"/>
      <c r="F14" s="294"/>
      <c r="G14" s="469"/>
      <c r="H14" s="294"/>
      <c r="I14" s="294"/>
      <c r="J14" s="291"/>
      <c r="K14" s="291"/>
      <c r="L14" s="290"/>
      <c r="M14" s="289"/>
      <c r="N14" s="291"/>
      <c r="O14" s="290"/>
      <c r="P14" s="289"/>
      <c r="Q14" s="291"/>
      <c r="R14" s="290"/>
      <c r="S14" s="507"/>
      <c r="T14" s="481"/>
    </row>
    <row r="15" spans="1:21">
      <c r="A15" s="287" t="str">
        <f>'Weigh Sheet'!C26</f>
        <v xml:space="preserve">20240407_E1_C </v>
      </c>
      <c r="B15" s="288"/>
      <c r="C15" s="295"/>
      <c r="D15" s="295"/>
      <c r="E15" s="469"/>
      <c r="F15" s="294"/>
      <c r="G15" s="469"/>
      <c r="H15" s="294"/>
      <c r="I15" s="294"/>
      <c r="J15" s="291"/>
      <c r="K15" s="291"/>
      <c r="L15" s="290"/>
      <c r="M15" s="289"/>
      <c r="N15" s="291"/>
      <c r="O15" s="290"/>
      <c r="P15" s="289"/>
      <c r="Q15" s="291"/>
      <c r="R15" s="290"/>
      <c r="S15" s="507"/>
      <c r="T15" s="481"/>
    </row>
    <row r="16" spans="1:21">
      <c r="A16" s="287" t="str">
        <f>'Weigh Sheet'!C27</f>
        <v xml:space="preserve">20240407_E1_D </v>
      </c>
      <c r="B16" s="288"/>
      <c r="C16" s="295"/>
      <c r="D16" s="295"/>
      <c r="E16" s="469"/>
      <c r="F16" s="294"/>
      <c r="G16" s="469"/>
      <c r="H16" s="294"/>
      <c r="I16" s="294"/>
      <c r="J16" s="291"/>
      <c r="K16" s="291"/>
      <c r="L16" s="290"/>
      <c r="M16" s="289"/>
      <c r="N16" s="291"/>
      <c r="O16" s="290"/>
      <c r="P16" s="289"/>
      <c r="Q16" s="291"/>
      <c r="R16" s="290"/>
      <c r="S16" s="507"/>
      <c r="T16" s="481"/>
    </row>
    <row r="17" spans="1:20">
      <c r="A17" s="287" t="str">
        <f>'Weigh Sheet'!C28</f>
        <v xml:space="preserve">20240407_E1_E </v>
      </c>
      <c r="B17" s="288"/>
      <c r="C17" s="295"/>
      <c r="D17" s="295"/>
      <c r="E17" s="469"/>
      <c r="F17" s="294"/>
      <c r="G17" s="469"/>
      <c r="H17" s="294"/>
      <c r="I17" s="294"/>
      <c r="J17" s="291"/>
      <c r="K17" s="291"/>
      <c r="L17" s="290"/>
      <c r="M17" s="289"/>
      <c r="N17" s="291"/>
      <c r="O17" s="290"/>
      <c r="P17" s="289"/>
      <c r="Q17" s="291"/>
      <c r="R17" s="290"/>
      <c r="S17" s="507"/>
      <c r="T17" s="481"/>
    </row>
    <row r="18" spans="1:20">
      <c r="A18" s="287" t="str">
        <f>'Weigh Sheet'!C29</f>
        <v xml:space="preserve">20240407_E1_F </v>
      </c>
      <c r="B18" s="288"/>
      <c r="C18" s="295"/>
      <c r="D18" s="295"/>
      <c r="E18" s="469"/>
      <c r="F18" s="294"/>
      <c r="G18" s="469"/>
      <c r="H18" s="294"/>
      <c r="I18" s="294"/>
      <c r="J18" s="291"/>
      <c r="K18" s="291"/>
      <c r="L18" s="290"/>
      <c r="M18" s="289"/>
      <c r="N18" s="291"/>
      <c r="O18" s="290"/>
      <c r="P18" s="289"/>
      <c r="Q18" s="291"/>
      <c r="R18" s="290"/>
      <c r="S18" s="507"/>
      <c r="T18" s="481"/>
    </row>
    <row r="19" spans="1:20">
      <c r="A19" s="287" t="str">
        <f>'Weigh Sheet'!C30</f>
        <v xml:space="preserve">20240407_E1_G </v>
      </c>
      <c r="B19" s="288"/>
      <c r="C19" s="295"/>
      <c r="D19" s="295"/>
      <c r="E19" s="469"/>
      <c r="F19" s="294"/>
      <c r="G19" s="469"/>
      <c r="H19" s="294"/>
      <c r="I19" s="294"/>
      <c r="J19" s="291"/>
      <c r="K19" s="291"/>
      <c r="L19" s="290"/>
      <c r="M19" s="289"/>
      <c r="N19" s="291"/>
      <c r="O19" s="290"/>
      <c r="P19" s="289"/>
      <c r="Q19" s="291"/>
      <c r="R19" s="290"/>
      <c r="S19" s="507"/>
      <c r="T19" s="481"/>
    </row>
    <row r="20" spans="1:20">
      <c r="A20" s="287" t="str">
        <f>'Weigh Sheet'!C31</f>
        <v xml:space="preserve">20240407_E1_H </v>
      </c>
      <c r="B20" s="288"/>
      <c r="C20" s="295"/>
      <c r="D20" s="295"/>
      <c r="E20" s="469"/>
      <c r="F20" s="294"/>
      <c r="G20" s="469"/>
      <c r="H20" s="294"/>
      <c r="I20" s="294"/>
      <c r="J20" s="291"/>
      <c r="K20" s="291"/>
      <c r="L20" s="290"/>
      <c r="M20" s="289"/>
      <c r="N20" s="291"/>
      <c r="O20" s="290"/>
      <c r="P20" s="289"/>
      <c r="Q20" s="291"/>
      <c r="R20" s="290"/>
      <c r="S20" s="507"/>
      <c r="T20" s="481"/>
    </row>
    <row r="21" spans="1:20">
      <c r="A21" s="287" t="str">
        <f>'Weigh Sheet'!C32</f>
        <v>ISIRF Ulva</v>
      </c>
      <c r="B21" s="288"/>
      <c r="C21" s="294"/>
      <c r="D21" s="295"/>
      <c r="E21" s="469"/>
      <c r="F21" s="294"/>
      <c r="G21" s="469"/>
      <c r="H21" s="294"/>
      <c r="I21" s="294"/>
      <c r="J21" s="291"/>
      <c r="K21" s="291"/>
      <c r="L21" s="290"/>
      <c r="M21" s="289"/>
      <c r="N21" s="291"/>
      <c r="O21" s="290"/>
      <c r="P21" s="289"/>
      <c r="Q21" s="291"/>
      <c r="R21" s="290"/>
      <c r="S21" s="507"/>
      <c r="T21" s="481"/>
    </row>
    <row r="22" spans="1:20">
      <c r="A22" s="287" t="str">
        <f>'Weigh Sheet'!C33</f>
        <v xml:space="preserve">20240407_E1_I </v>
      </c>
      <c r="B22" s="288"/>
      <c r="C22" s="295"/>
      <c r="D22" s="295"/>
      <c r="E22" s="469"/>
      <c r="F22" s="294"/>
      <c r="G22" s="469"/>
      <c r="H22" s="294"/>
      <c r="I22" s="294"/>
      <c r="J22" s="291"/>
      <c r="K22" s="291"/>
      <c r="L22" s="290"/>
      <c r="M22" s="289"/>
      <c r="N22" s="291"/>
      <c r="O22" s="290"/>
      <c r="P22" s="289"/>
      <c r="Q22" s="291"/>
      <c r="R22" s="290"/>
      <c r="S22" s="507"/>
      <c r="T22" s="481"/>
    </row>
    <row r="23" spans="1:20">
      <c r="A23" s="287" t="str">
        <f>'Weigh Sheet'!C34</f>
        <v>20240407_E2_A</v>
      </c>
      <c r="B23" s="288"/>
      <c r="C23" s="295"/>
      <c r="D23" s="295"/>
      <c r="E23" s="469"/>
      <c r="F23" s="294"/>
      <c r="G23" s="469"/>
      <c r="H23" s="294"/>
      <c r="I23" s="294"/>
      <c r="J23" s="291"/>
      <c r="K23" s="291"/>
      <c r="L23" s="290"/>
      <c r="M23" s="289"/>
      <c r="N23" s="291"/>
      <c r="O23" s="290"/>
      <c r="P23" s="289"/>
      <c r="Q23" s="291"/>
      <c r="R23" s="290"/>
      <c r="S23" s="507"/>
      <c r="T23" s="481"/>
    </row>
    <row r="24" spans="1:20">
      <c r="A24" s="287" t="str">
        <f>'Weigh Sheet'!C35</f>
        <v xml:space="preserve">20240407_E2_B </v>
      </c>
      <c r="B24" s="288"/>
      <c r="C24" s="295"/>
      <c r="D24" s="295"/>
      <c r="E24" s="469"/>
      <c r="F24" s="294"/>
      <c r="G24" s="469"/>
      <c r="H24" s="294"/>
      <c r="I24" s="294"/>
      <c r="J24" s="291"/>
      <c r="K24" s="291"/>
      <c r="L24" s="290"/>
      <c r="M24" s="289"/>
      <c r="N24" s="291"/>
      <c r="O24" s="290"/>
      <c r="P24" s="289"/>
      <c r="Q24" s="291"/>
      <c r="R24" s="290"/>
      <c r="S24" s="507"/>
      <c r="T24" s="481"/>
    </row>
    <row r="25" spans="1:20">
      <c r="A25" s="287" t="str">
        <f>'Weigh Sheet'!C36</f>
        <v xml:space="preserve">20240407_E2_C </v>
      </c>
      <c r="B25" s="288"/>
      <c r="C25" s="295"/>
      <c r="D25" s="295"/>
      <c r="E25" s="469"/>
      <c r="F25" s="294"/>
      <c r="G25" s="469"/>
      <c r="H25" s="294"/>
      <c r="I25" s="294"/>
      <c r="J25" s="291"/>
      <c r="K25" s="291"/>
      <c r="L25" s="290"/>
      <c r="M25" s="289"/>
      <c r="N25" s="291"/>
      <c r="O25" s="290"/>
      <c r="P25" s="289"/>
      <c r="Q25" s="291"/>
      <c r="R25" s="290"/>
      <c r="S25" s="507"/>
      <c r="T25" s="481"/>
    </row>
    <row r="26" spans="1:20">
      <c r="A26" s="287" t="str">
        <f>'Weigh Sheet'!C37</f>
        <v xml:space="preserve">R2-20240407_E2_D </v>
      </c>
      <c r="B26" s="288"/>
      <c r="C26" s="295"/>
      <c r="D26" s="295"/>
      <c r="E26" s="469"/>
      <c r="F26" s="294"/>
      <c r="G26" s="469"/>
      <c r="H26" s="294"/>
      <c r="I26" s="294"/>
      <c r="J26" s="291"/>
      <c r="K26" s="291"/>
      <c r="L26" s="290"/>
      <c r="M26" s="289"/>
      <c r="N26" s="291"/>
      <c r="O26" s="290"/>
      <c r="P26" s="289"/>
      <c r="Q26" s="291"/>
      <c r="R26" s="290"/>
      <c r="S26" s="507"/>
      <c r="T26" s="481"/>
    </row>
    <row r="27" spans="1:20">
      <c r="A27" s="287" t="str">
        <f>'Weigh Sheet'!C38</f>
        <v xml:space="preserve">R2-20240407_E2_D </v>
      </c>
      <c r="B27" s="288"/>
      <c r="C27" s="295"/>
      <c r="D27" s="295"/>
      <c r="E27" s="469"/>
      <c r="F27" s="294"/>
      <c r="G27" s="469"/>
      <c r="H27" s="294"/>
      <c r="I27" s="294"/>
      <c r="J27" s="291"/>
      <c r="K27" s="291"/>
      <c r="L27" s="290"/>
      <c r="M27" s="289"/>
      <c r="N27" s="291"/>
      <c r="O27" s="290"/>
      <c r="P27" s="289"/>
      <c r="Q27" s="291"/>
      <c r="R27" s="290"/>
      <c r="S27" s="507"/>
      <c r="T27" s="481"/>
    </row>
    <row r="28" spans="1:20">
      <c r="A28" s="287" t="str">
        <f>'Weigh Sheet'!C39</f>
        <v xml:space="preserve">20240407_E2_E </v>
      </c>
      <c r="B28" s="288"/>
      <c r="C28" s="295"/>
      <c r="D28" s="295"/>
      <c r="E28" s="469"/>
      <c r="F28" s="294"/>
      <c r="G28" s="469"/>
      <c r="H28" s="294"/>
      <c r="I28" s="294"/>
      <c r="J28" s="291"/>
      <c r="K28" s="291"/>
      <c r="L28" s="290"/>
      <c r="M28" s="289"/>
      <c r="N28" s="289"/>
      <c r="O28" s="290"/>
      <c r="P28" s="289"/>
      <c r="Q28" s="289"/>
      <c r="R28" s="290"/>
      <c r="S28" s="507"/>
      <c r="T28" s="481"/>
    </row>
    <row r="29" spans="1:20">
      <c r="A29" s="287" t="str">
        <f>'Weigh Sheet'!C40</f>
        <v xml:space="preserve">20240407_E2_F </v>
      </c>
      <c r="B29" s="288"/>
      <c r="C29" s="295"/>
      <c r="D29" s="295"/>
      <c r="E29" s="469"/>
      <c r="F29" s="294"/>
      <c r="G29" s="469"/>
      <c r="H29" s="294"/>
      <c r="I29" s="294"/>
      <c r="J29" s="291"/>
      <c r="K29" s="291"/>
      <c r="L29" s="290"/>
      <c r="M29" s="289"/>
      <c r="N29" s="291"/>
      <c r="O29" s="290"/>
      <c r="P29" s="289"/>
      <c r="Q29" s="291"/>
      <c r="R29" s="290"/>
      <c r="S29" s="507"/>
      <c r="T29" s="481"/>
    </row>
    <row r="30" spans="1:20">
      <c r="A30" s="287" t="str">
        <f>'Weigh Sheet'!C41</f>
        <v xml:space="preserve">20240407_E2_G </v>
      </c>
      <c r="B30" s="288"/>
      <c r="C30" s="295"/>
      <c r="D30" s="295"/>
      <c r="E30" s="469"/>
      <c r="F30" s="294"/>
      <c r="G30" s="469"/>
      <c r="H30" s="294"/>
      <c r="I30" s="294"/>
      <c r="J30" s="291"/>
      <c r="K30" s="291"/>
      <c r="L30" s="290"/>
      <c r="M30" s="289"/>
      <c r="N30" s="291"/>
      <c r="O30" s="290"/>
      <c r="P30" s="289"/>
      <c r="Q30" s="291"/>
      <c r="R30" s="290"/>
      <c r="S30" s="507"/>
      <c r="T30" s="481"/>
    </row>
    <row r="31" spans="1:20">
      <c r="A31" s="287" t="str">
        <f>'Weigh Sheet'!C42</f>
        <v xml:space="preserve">20240407_E3_A </v>
      </c>
      <c r="B31" s="288"/>
      <c r="C31" s="295"/>
      <c r="D31" s="295"/>
      <c r="E31" s="469"/>
      <c r="F31" s="294"/>
      <c r="G31" s="469"/>
      <c r="H31" s="294"/>
      <c r="I31" s="294"/>
      <c r="J31" s="291"/>
      <c r="K31" s="291"/>
      <c r="L31" s="290"/>
      <c r="M31" s="289"/>
      <c r="N31" s="291"/>
      <c r="O31" s="290"/>
      <c r="P31" s="289"/>
      <c r="Q31" s="291"/>
      <c r="R31" s="290"/>
      <c r="S31" s="507"/>
      <c r="T31" s="481"/>
    </row>
    <row r="32" spans="1:20">
      <c r="A32" s="287" t="str">
        <f>'Weigh Sheet'!C43</f>
        <v>blank</v>
      </c>
      <c r="B32" s="288"/>
      <c r="C32" s="295"/>
      <c r="D32" s="295"/>
      <c r="E32" s="469"/>
      <c r="F32" s="294"/>
      <c r="G32" s="469"/>
      <c r="H32" s="294"/>
      <c r="I32" s="294"/>
      <c r="J32" s="291"/>
      <c r="K32" s="291"/>
      <c r="L32" s="290"/>
      <c r="M32" s="289"/>
      <c r="N32" s="291"/>
      <c r="O32" s="290"/>
      <c r="P32" s="289"/>
      <c r="Q32" s="291"/>
      <c r="R32" s="290"/>
      <c r="S32" s="507"/>
      <c r="T32" s="481"/>
    </row>
    <row r="33" spans="1:37">
      <c r="A33" s="287" t="str">
        <f>'Weigh Sheet'!C44</f>
        <v>ISIRF Ulva</v>
      </c>
      <c r="B33" s="288"/>
      <c r="C33" s="294"/>
      <c r="D33" s="295"/>
      <c r="E33" s="469"/>
      <c r="F33" s="294"/>
      <c r="G33" s="469"/>
      <c r="H33" s="294"/>
      <c r="I33" s="294"/>
      <c r="J33" s="291"/>
      <c r="K33" s="291"/>
      <c r="L33" s="290"/>
      <c r="M33" s="289"/>
      <c r="N33" s="291"/>
      <c r="O33" s="290"/>
      <c r="P33" s="289"/>
      <c r="Q33" s="291"/>
      <c r="R33" s="290"/>
      <c r="S33" s="507"/>
      <c r="T33" s="481"/>
    </row>
    <row r="34" spans="1:37">
      <c r="A34" s="287" t="str">
        <f>'Weigh Sheet'!C45</f>
        <v>ISIRF Chitin</v>
      </c>
      <c r="B34" s="288"/>
      <c r="C34" s="295"/>
      <c r="D34" s="295"/>
      <c r="E34" s="469"/>
      <c r="F34" s="294"/>
      <c r="G34" s="469"/>
      <c r="H34" s="294"/>
      <c r="I34" s="294"/>
      <c r="J34" s="291"/>
      <c r="K34" s="291"/>
      <c r="L34" s="290"/>
      <c r="M34" s="289"/>
      <c r="N34" s="291"/>
      <c r="O34" s="290"/>
      <c r="P34" s="289"/>
      <c r="Q34" s="291"/>
      <c r="R34" s="290"/>
      <c r="S34" s="507"/>
      <c r="T34" s="481"/>
    </row>
    <row r="35" spans="1:37">
      <c r="A35" s="287" t="str">
        <f>'Weigh Sheet'!C46</f>
        <v>ISIRF Bamboo</v>
      </c>
      <c r="B35" s="288"/>
      <c r="C35" s="295"/>
      <c r="D35" s="295"/>
      <c r="E35" s="469"/>
      <c r="F35" s="294"/>
      <c r="G35" s="469"/>
      <c r="H35" s="294"/>
      <c r="I35" s="294"/>
      <c r="J35" s="291"/>
      <c r="K35" s="291"/>
      <c r="L35" s="290"/>
      <c r="M35" s="289"/>
      <c r="N35" s="291"/>
      <c r="O35" s="290"/>
      <c r="P35" s="289"/>
      <c r="Q35" s="291"/>
      <c r="R35" s="290"/>
      <c r="S35" s="507"/>
      <c r="T35" s="481"/>
    </row>
    <row r="36" spans="1:37">
      <c r="A36" s="287" t="str">
        <f>'Weigh Sheet'!C47</f>
        <v>NBS 1575 Pine Needles</v>
      </c>
      <c r="B36" s="288"/>
      <c r="C36" s="295"/>
      <c r="D36" s="295"/>
      <c r="E36" s="469"/>
      <c r="F36" s="294"/>
      <c r="G36" s="469"/>
      <c r="H36" s="294"/>
      <c r="I36" s="294"/>
      <c r="J36" s="291"/>
      <c r="K36" s="291"/>
      <c r="L36" s="290"/>
      <c r="M36" s="289"/>
      <c r="N36" s="291"/>
      <c r="O36" s="290"/>
      <c r="P36" s="289"/>
      <c r="Q36" s="291"/>
      <c r="R36" s="290"/>
      <c r="S36" s="507"/>
      <c r="T36" s="481"/>
    </row>
    <row r="37" spans="1:37">
      <c r="A37" s="287" t="str">
        <f>'Weigh Sheet'!C48</f>
        <v>20240407_E3_A_Dup</v>
      </c>
      <c r="B37" s="288"/>
      <c r="C37" s="295"/>
      <c r="D37" s="295"/>
      <c r="E37" s="469"/>
      <c r="F37" s="294"/>
      <c r="G37" s="469"/>
      <c r="H37" s="294"/>
      <c r="I37" s="294"/>
      <c r="J37" s="291"/>
      <c r="K37" s="291"/>
      <c r="L37" s="290"/>
      <c r="M37" s="289"/>
      <c r="N37" s="291"/>
      <c r="O37" s="290"/>
      <c r="P37" s="289"/>
      <c r="Q37" s="291"/>
      <c r="R37" s="290"/>
      <c r="S37" s="507"/>
      <c r="T37" s="481"/>
    </row>
    <row r="38" spans="1:37">
      <c r="A38" s="287" t="str">
        <f>'Weigh Sheet'!C49</f>
        <v xml:space="preserve">20240407_E3_B </v>
      </c>
      <c r="B38" s="288"/>
      <c r="C38" s="295"/>
      <c r="D38" s="295"/>
      <c r="E38" s="469"/>
      <c r="F38" s="294"/>
      <c r="G38" s="469"/>
      <c r="H38" s="294"/>
      <c r="I38" s="294"/>
      <c r="J38" s="291"/>
      <c r="K38" s="291"/>
      <c r="L38" s="290"/>
      <c r="M38" s="289"/>
      <c r="N38" s="291"/>
      <c r="O38" s="290"/>
      <c r="P38" s="289"/>
      <c r="Q38" s="291"/>
      <c r="R38" s="290"/>
      <c r="S38" s="507"/>
      <c r="T38" s="481"/>
    </row>
    <row r="39" spans="1:37">
      <c r="A39" s="287" t="str">
        <f>'Weigh Sheet'!C50</f>
        <v xml:space="preserve">20240407_E3_C </v>
      </c>
      <c r="B39" s="288"/>
      <c r="C39" s="295"/>
      <c r="D39" s="295"/>
      <c r="E39" s="469"/>
      <c r="F39" s="294"/>
      <c r="G39" s="469"/>
      <c r="H39" s="294"/>
      <c r="I39" s="294"/>
      <c r="J39" s="291"/>
      <c r="K39" s="291"/>
      <c r="L39" s="290"/>
      <c r="M39" s="289"/>
      <c r="N39" s="291"/>
      <c r="O39" s="290"/>
      <c r="P39" s="289"/>
      <c r="Q39" s="291"/>
      <c r="R39" s="290"/>
      <c r="S39" s="507"/>
      <c r="T39" s="481"/>
    </row>
    <row r="40" spans="1:37">
      <c r="A40" s="287" t="str">
        <f>'Weigh Sheet'!C51</f>
        <v xml:space="preserve">20240407_E3_D </v>
      </c>
      <c r="B40" s="288"/>
      <c r="C40" s="295"/>
      <c r="D40" s="295"/>
      <c r="E40" s="469"/>
      <c r="F40" s="294"/>
      <c r="G40" s="469"/>
      <c r="H40" s="294"/>
      <c r="I40" s="294"/>
      <c r="J40" s="291"/>
      <c r="K40" s="291"/>
      <c r="L40" s="290"/>
      <c r="M40" s="289"/>
      <c r="N40" s="291"/>
      <c r="O40" s="290"/>
      <c r="P40" s="289"/>
      <c r="Q40" s="291"/>
      <c r="R40" s="290"/>
      <c r="S40" s="507"/>
      <c r="T40" s="481"/>
    </row>
    <row r="41" spans="1:37">
      <c r="A41" s="287" t="str">
        <f>'Weigh Sheet'!C52</f>
        <v xml:space="preserve">20240407_E3_E </v>
      </c>
      <c r="B41" s="288"/>
      <c r="C41" s="295"/>
      <c r="D41" s="295"/>
      <c r="E41" s="469"/>
      <c r="F41" s="294"/>
      <c r="G41" s="469"/>
      <c r="H41" s="294"/>
      <c r="I41" s="294"/>
      <c r="J41" s="291"/>
      <c r="K41" s="291"/>
      <c r="L41" s="290"/>
      <c r="M41" s="289"/>
      <c r="N41" s="291"/>
      <c r="O41" s="290"/>
      <c r="P41" s="289"/>
      <c r="Q41" s="291"/>
      <c r="R41" s="290"/>
      <c r="S41" s="507"/>
      <c r="T41" s="481"/>
    </row>
    <row r="42" spans="1:37">
      <c r="A42" s="287" t="str">
        <f>'Weigh Sheet'!C53</f>
        <v xml:space="preserve">20240407_E3_F </v>
      </c>
      <c r="B42" s="288"/>
      <c r="C42" s="295"/>
      <c r="D42" s="295"/>
      <c r="E42" s="469"/>
      <c r="F42" s="294"/>
      <c r="G42" s="469"/>
      <c r="H42" s="294"/>
      <c r="I42" s="294"/>
      <c r="J42" s="291"/>
      <c r="K42" s="291"/>
      <c r="L42" s="290"/>
      <c r="M42" s="289"/>
      <c r="N42" s="291"/>
      <c r="O42" s="290"/>
      <c r="P42" s="289"/>
      <c r="Q42" s="291"/>
      <c r="R42" s="290"/>
      <c r="S42" s="507"/>
      <c r="T42" s="481"/>
    </row>
    <row r="43" spans="1:37">
      <c r="A43" s="287" t="str">
        <f>'Weigh Sheet'!C54</f>
        <v xml:space="preserve">20240407_E3_G </v>
      </c>
      <c r="B43" s="288"/>
      <c r="C43" s="295"/>
      <c r="D43" s="295"/>
      <c r="E43" s="469"/>
      <c r="F43" s="294"/>
      <c r="G43" s="469"/>
      <c r="H43" s="294"/>
      <c r="I43" s="294"/>
      <c r="J43" s="291"/>
      <c r="K43" s="291"/>
      <c r="L43" s="290"/>
      <c r="M43" s="289"/>
      <c r="N43" s="291"/>
      <c r="O43" s="290"/>
      <c r="P43" s="289"/>
      <c r="Q43" s="291"/>
      <c r="R43" s="290"/>
      <c r="S43" s="507"/>
      <c r="T43" s="481"/>
    </row>
    <row r="44" spans="1:37">
      <c r="A44" s="287" t="str">
        <f>'Weigh Sheet'!C55</f>
        <v xml:space="preserve">20240407_E3_H </v>
      </c>
      <c r="B44" s="288"/>
      <c r="C44" s="295"/>
      <c r="D44" s="295"/>
      <c r="E44" s="469"/>
      <c r="F44" s="294"/>
      <c r="G44" s="469"/>
      <c r="H44" s="294"/>
      <c r="I44" s="294"/>
      <c r="J44" s="291"/>
      <c r="K44" s="291"/>
      <c r="L44" s="290"/>
      <c r="M44" s="289"/>
      <c r="N44" s="291"/>
      <c r="O44" s="290"/>
      <c r="P44" s="289"/>
      <c r="Q44" s="291"/>
      <c r="R44" s="290"/>
      <c r="S44" s="507"/>
      <c r="T44" s="481"/>
    </row>
    <row r="45" spans="1:37">
      <c r="A45" s="287" t="str">
        <f>'Weigh Sheet'!C56</f>
        <v xml:space="preserve">20240407_E3_I </v>
      </c>
      <c r="B45" s="288"/>
      <c r="C45" s="294"/>
      <c r="D45" s="295"/>
      <c r="E45" s="469"/>
      <c r="F45" s="294"/>
      <c r="G45" s="469"/>
      <c r="H45" s="294"/>
      <c r="I45" s="294"/>
      <c r="J45" s="291"/>
      <c r="K45" s="291"/>
      <c r="L45" s="290"/>
      <c r="M45" s="289"/>
      <c r="N45" s="291"/>
      <c r="O45" s="290"/>
      <c r="P45" s="289"/>
      <c r="Q45" s="291"/>
      <c r="R45" s="290"/>
      <c r="S45" s="507"/>
      <c r="T45" s="481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 ht="13">
      <c r="A46" s="287" t="str">
        <f>'Weigh Sheet'!C57</f>
        <v>ISIRF Ulva</v>
      </c>
      <c r="B46" s="288"/>
      <c r="C46" s="295"/>
      <c r="D46" s="295"/>
      <c r="E46" s="469"/>
      <c r="F46" s="294"/>
      <c r="G46" s="469"/>
      <c r="H46" s="294"/>
      <c r="I46" s="294"/>
      <c r="J46" s="291"/>
      <c r="K46" s="291"/>
      <c r="L46" s="290"/>
      <c r="M46" s="289"/>
      <c r="N46" s="291"/>
      <c r="O46" s="290"/>
      <c r="P46" s="289"/>
      <c r="Q46" s="291"/>
      <c r="R46" s="290"/>
      <c r="S46" s="507"/>
      <c r="T46" s="48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 ht="13">
      <c r="A47" s="287" t="str">
        <f>'Weigh Sheet'!C58</f>
        <v xml:space="preserve">20240407_S2_A </v>
      </c>
      <c r="B47" s="288"/>
      <c r="C47" s="295"/>
      <c r="D47" s="295"/>
      <c r="E47" s="469"/>
      <c r="F47" s="294"/>
      <c r="G47" s="469"/>
      <c r="H47" s="294"/>
      <c r="I47" s="294"/>
      <c r="J47" s="291"/>
      <c r="K47" s="291"/>
      <c r="L47" s="290"/>
      <c r="M47" s="289"/>
      <c r="N47" s="291"/>
      <c r="O47" s="290"/>
      <c r="P47" s="289"/>
      <c r="Q47" s="291"/>
      <c r="R47" s="290"/>
      <c r="S47" s="507"/>
      <c r="T47" s="48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>
      <c r="A48" s="287" t="str">
        <f>'Weigh Sheet'!C59</f>
        <v xml:space="preserve">20240407_S2_B </v>
      </c>
      <c r="B48" s="288"/>
      <c r="C48" s="295"/>
      <c r="D48" s="295"/>
      <c r="E48" s="469"/>
      <c r="F48" s="294"/>
      <c r="G48" s="469"/>
      <c r="H48" s="294"/>
      <c r="I48" s="294"/>
      <c r="J48" s="291"/>
      <c r="K48" s="291"/>
      <c r="L48" s="290"/>
      <c r="M48" s="289"/>
      <c r="N48" s="291"/>
      <c r="O48" s="290"/>
      <c r="P48" s="289"/>
      <c r="Q48" s="291"/>
      <c r="R48" s="290"/>
      <c r="S48" s="507"/>
      <c r="T48" s="481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>
      <c r="A49" s="287" t="str">
        <f>'Weigh Sheet'!C60</f>
        <v xml:space="preserve">20240407_S2_C </v>
      </c>
      <c r="B49" s="288"/>
      <c r="C49" s="295"/>
      <c r="D49" s="295"/>
      <c r="E49" s="469"/>
      <c r="F49" s="294"/>
      <c r="G49" s="469"/>
      <c r="H49" s="294"/>
      <c r="I49" s="294"/>
      <c r="J49" s="291"/>
      <c r="K49" s="291"/>
      <c r="L49" s="290"/>
      <c r="M49" s="289"/>
      <c r="N49" s="291"/>
      <c r="O49" s="290"/>
      <c r="P49" s="289"/>
      <c r="Q49" s="291"/>
      <c r="R49" s="290"/>
      <c r="S49" s="507"/>
      <c r="T49" s="481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3">
      <c r="A50" s="287" t="str">
        <f>'Weigh Sheet'!C61</f>
        <v xml:space="preserve">20240407_S2_D </v>
      </c>
      <c r="B50" s="288"/>
      <c r="C50" s="295"/>
      <c r="D50" s="295"/>
      <c r="E50" s="469"/>
      <c r="F50" s="294"/>
      <c r="G50" s="469"/>
      <c r="H50" s="294"/>
      <c r="I50" s="294"/>
      <c r="J50" s="291"/>
      <c r="K50" s="291"/>
      <c r="L50" s="290"/>
      <c r="M50" s="289"/>
      <c r="N50" s="291"/>
      <c r="O50" s="290"/>
      <c r="P50" s="289"/>
      <c r="Q50" s="291"/>
      <c r="R50" s="290"/>
      <c r="S50" s="507"/>
      <c r="T50" s="48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>
      <c r="A51" s="287" t="str">
        <f>'Weigh Sheet'!C62</f>
        <v xml:space="preserve">20240407_S2_E </v>
      </c>
      <c r="B51" s="288"/>
      <c r="C51" s="295"/>
      <c r="D51" s="295"/>
      <c r="E51" s="469"/>
      <c r="F51" s="294"/>
      <c r="G51" s="469"/>
      <c r="H51" s="294"/>
      <c r="I51" s="294"/>
      <c r="J51" s="291"/>
      <c r="K51" s="291"/>
      <c r="L51" s="290"/>
      <c r="M51" s="289"/>
      <c r="N51" s="291"/>
      <c r="O51" s="290"/>
      <c r="P51" s="289"/>
      <c r="Q51" s="291"/>
      <c r="R51" s="290"/>
      <c r="S51" s="507"/>
      <c r="T51" s="48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>
      <c r="A52" s="287" t="str">
        <f>'Weigh Sheet'!C63</f>
        <v xml:space="preserve">20240407_S2_F </v>
      </c>
      <c r="B52" s="288"/>
      <c r="C52" s="295"/>
      <c r="D52" s="295"/>
      <c r="E52" s="469"/>
      <c r="F52" s="294"/>
      <c r="G52" s="469"/>
      <c r="H52" s="294"/>
      <c r="I52" s="294"/>
      <c r="J52" s="291"/>
      <c r="K52" s="291"/>
      <c r="L52" s="290"/>
      <c r="M52" s="289"/>
      <c r="N52" s="291"/>
      <c r="O52" s="290"/>
      <c r="P52" s="289"/>
      <c r="Q52" s="291"/>
      <c r="R52" s="290"/>
      <c r="S52" s="507"/>
      <c r="T52" s="48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>
      <c r="A53" s="287" t="str">
        <f>'Weigh Sheet'!C64</f>
        <v xml:space="preserve">20240407_S2_G </v>
      </c>
      <c r="B53" s="288"/>
      <c r="C53" s="295"/>
      <c r="D53" s="295"/>
      <c r="E53" s="469"/>
      <c r="F53" s="294"/>
      <c r="G53" s="469"/>
      <c r="H53" s="294"/>
      <c r="I53" s="294"/>
      <c r="J53" s="291"/>
      <c r="K53" s="291"/>
      <c r="L53" s="290"/>
      <c r="M53" s="289"/>
      <c r="N53" s="291"/>
      <c r="O53" s="290"/>
      <c r="P53" s="289"/>
      <c r="Q53" s="291"/>
      <c r="R53" s="290"/>
      <c r="S53" s="507"/>
      <c r="T53" s="48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>
      <c r="A54" s="287" t="str">
        <f>'Weigh Sheet'!C65</f>
        <v>20240407_S2_H</v>
      </c>
      <c r="B54" s="288"/>
      <c r="C54" s="295"/>
      <c r="D54" s="295"/>
      <c r="E54" s="469"/>
      <c r="F54" s="294"/>
      <c r="G54" s="469"/>
      <c r="H54" s="294"/>
      <c r="I54" s="294"/>
      <c r="J54" s="291"/>
      <c r="K54" s="291"/>
      <c r="L54" s="290"/>
      <c r="M54" s="289"/>
      <c r="N54" s="291"/>
      <c r="O54" s="290"/>
      <c r="P54" s="289"/>
      <c r="Q54" s="291"/>
      <c r="R54" s="290"/>
      <c r="S54" s="507"/>
      <c r="T54" s="48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>
      <c r="A55" s="287" t="str">
        <f>'Weigh Sheet'!C66</f>
        <v xml:space="preserve">20240407_S2_I </v>
      </c>
      <c r="B55" s="288"/>
      <c r="C55" s="295"/>
      <c r="D55" s="295"/>
      <c r="E55" s="469"/>
      <c r="F55" s="294"/>
      <c r="G55" s="469"/>
      <c r="H55" s="294"/>
      <c r="I55" s="294"/>
      <c r="J55" s="291"/>
      <c r="K55" s="291"/>
      <c r="L55" s="290"/>
      <c r="M55" s="289"/>
      <c r="N55" s="291"/>
      <c r="O55" s="290"/>
      <c r="P55" s="289"/>
      <c r="Q55" s="291"/>
      <c r="R55" s="290"/>
      <c r="S55" s="507"/>
      <c r="T55" s="48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>
      <c r="A56" s="287" t="str">
        <f>'Weigh Sheet'!C67</f>
        <v xml:space="preserve">R1-20231120_W1_H </v>
      </c>
      <c r="B56" s="288"/>
      <c r="C56" s="295"/>
      <c r="D56" s="295"/>
      <c r="E56" s="469"/>
      <c r="F56" s="294"/>
      <c r="G56" s="469"/>
      <c r="H56" s="294"/>
      <c r="I56" s="294"/>
      <c r="J56" s="291"/>
      <c r="K56" s="291"/>
      <c r="L56" s="290"/>
      <c r="M56" s="289"/>
      <c r="N56" s="291"/>
      <c r="O56" s="290"/>
      <c r="P56" s="289"/>
      <c r="Q56" s="291"/>
      <c r="R56" s="290"/>
      <c r="S56" s="507"/>
      <c r="T56" s="48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>
      <c r="A57" s="287" t="str">
        <f>'Weigh Sheet'!C68</f>
        <v>blank</v>
      </c>
      <c r="B57" s="288"/>
      <c r="C57" s="295"/>
      <c r="D57" s="295"/>
      <c r="E57" s="469"/>
      <c r="F57" s="294"/>
      <c r="G57" s="469"/>
      <c r="H57" s="294"/>
      <c r="I57" s="294"/>
      <c r="J57" s="291"/>
      <c r="K57" s="291"/>
      <c r="L57" s="290"/>
      <c r="M57" s="289"/>
      <c r="N57" s="291"/>
      <c r="O57" s="290"/>
      <c r="P57" s="289"/>
      <c r="Q57" s="291"/>
      <c r="R57" s="290"/>
      <c r="S57" s="507"/>
      <c r="T57" s="48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>
      <c r="A58" s="287" t="str">
        <f>'Weigh Sheet'!C69</f>
        <v>ISIRF Ulva</v>
      </c>
      <c r="B58" s="288"/>
      <c r="C58" s="295"/>
      <c r="D58" s="295"/>
      <c r="E58" s="469"/>
      <c r="F58" s="294"/>
      <c r="G58" s="469"/>
      <c r="H58" s="294"/>
      <c r="I58" s="294"/>
      <c r="J58" s="291"/>
      <c r="K58" s="291"/>
      <c r="L58" s="290"/>
      <c r="M58" s="289"/>
      <c r="N58" s="291"/>
      <c r="O58" s="290"/>
      <c r="P58" s="289"/>
      <c r="Q58" s="291"/>
      <c r="R58" s="290"/>
      <c r="S58" s="507"/>
      <c r="T58" s="48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>
      <c r="A59" s="287" t="str">
        <f>'Weigh Sheet'!C70</f>
        <v>ISIRF Chitin</v>
      </c>
      <c r="B59" s="288"/>
      <c r="C59" s="295"/>
      <c r="D59" s="295"/>
      <c r="E59" s="469"/>
      <c r="F59" s="294"/>
      <c r="G59" s="469"/>
      <c r="H59" s="294"/>
      <c r="I59" s="294"/>
      <c r="J59" s="291"/>
      <c r="K59" s="291"/>
      <c r="L59" s="290"/>
      <c r="M59" s="289"/>
      <c r="N59" s="291"/>
      <c r="O59" s="290"/>
      <c r="P59" s="289"/>
      <c r="Q59" s="291"/>
      <c r="R59" s="290"/>
      <c r="S59" s="507"/>
      <c r="T59" s="48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>
      <c r="A60" s="287" t="str">
        <f>'Weigh Sheet'!C71</f>
        <v>ISIRF Bamboo</v>
      </c>
      <c r="B60" s="288"/>
      <c r="C60" s="295"/>
      <c r="D60" s="295"/>
      <c r="E60" s="469"/>
      <c r="F60" s="294"/>
      <c r="G60" s="469"/>
      <c r="H60" s="294"/>
      <c r="I60" s="294"/>
      <c r="J60" s="291"/>
      <c r="K60" s="291"/>
      <c r="L60" s="290"/>
      <c r="M60" s="289"/>
      <c r="N60" s="291"/>
      <c r="O60" s="290"/>
      <c r="P60" s="289"/>
      <c r="Q60" s="291"/>
      <c r="R60" s="290"/>
      <c r="S60" s="507"/>
      <c r="T60" s="48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3" thickBot="1">
      <c r="A61" s="287" t="str">
        <f>'Weigh Sheet'!C72</f>
        <v>NBS 1575 Pine Needles</v>
      </c>
      <c r="B61" s="288"/>
      <c r="C61" s="295"/>
      <c r="D61" s="295"/>
      <c r="E61" s="469"/>
      <c r="F61" s="294"/>
      <c r="G61" s="469"/>
      <c r="H61" s="294"/>
      <c r="I61" s="294"/>
      <c r="J61" s="291"/>
      <c r="K61" s="291"/>
      <c r="L61" s="290"/>
      <c r="M61" s="289"/>
      <c r="N61" s="291"/>
      <c r="O61" s="290"/>
      <c r="P61" s="289"/>
      <c r="Q61" s="291"/>
      <c r="R61" s="290"/>
      <c r="S61" s="507"/>
      <c r="T61" s="48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19" customFormat="1" ht="25.5" thickTop="1">
      <c r="A62" s="359" t="s">
        <v>0</v>
      </c>
      <c r="B62" s="360" t="s">
        <v>136</v>
      </c>
      <c r="C62" s="361" t="s">
        <v>157</v>
      </c>
      <c r="D62" s="361" t="s">
        <v>68</v>
      </c>
      <c r="E62" s="362" t="s">
        <v>135</v>
      </c>
      <c r="F62" s="363" t="s">
        <v>67</v>
      </c>
      <c r="G62" s="362" t="s">
        <v>208</v>
      </c>
      <c r="H62" s="363" t="s">
        <v>184</v>
      </c>
      <c r="I62" s="358" t="s">
        <v>158</v>
      </c>
      <c r="J62" s="355" t="s">
        <v>160</v>
      </c>
      <c r="K62" s="356" t="s">
        <v>159</v>
      </c>
      <c r="L62" s="357" t="s">
        <v>160</v>
      </c>
      <c r="M62" s="362" t="s">
        <v>209</v>
      </c>
      <c r="N62" s="357" t="s">
        <v>160</v>
      </c>
      <c r="O62" s="338"/>
      <c r="P62" s="339"/>
      <c r="Q62" s="340"/>
      <c r="S62" s="341"/>
    </row>
    <row r="63" spans="1:37" ht="13" thickBot="1">
      <c r="A63" s="364"/>
      <c r="B63" s="308"/>
      <c r="C63" s="308"/>
      <c r="D63" s="308"/>
      <c r="E63" s="318"/>
      <c r="F63" s="365"/>
      <c r="G63" s="318"/>
      <c r="H63" s="365"/>
      <c r="I63" s="371"/>
      <c r="J63" s="372"/>
      <c r="K63" s="372"/>
      <c r="L63" s="373"/>
      <c r="M63" s="372"/>
      <c r="N63" s="373"/>
      <c r="O63" s="297"/>
      <c r="P63" s="298"/>
      <c r="Q63" s="184"/>
      <c r="R63" s="2"/>
      <c r="S63"/>
      <c r="T63" s="2"/>
    </row>
    <row r="64" spans="1:37" ht="13" thickTop="1">
      <c r="A64" s="364"/>
      <c r="B64" s="308"/>
      <c r="C64" s="308"/>
      <c r="D64" s="308"/>
      <c r="E64" s="318"/>
      <c r="F64" s="365"/>
      <c r="G64" s="318"/>
      <c r="H64" s="365"/>
      <c r="N64" s="43"/>
      <c r="O64" s="43"/>
    </row>
    <row r="65" spans="1:15">
      <c r="A65" s="364"/>
      <c r="B65" s="308"/>
      <c r="C65" s="308"/>
      <c r="D65" s="308"/>
      <c r="E65" s="318"/>
      <c r="F65" s="365"/>
      <c r="G65" s="318"/>
      <c r="H65" s="365"/>
      <c r="N65" s="43"/>
      <c r="O65" s="43"/>
    </row>
    <row r="66" spans="1:15" ht="13" thickBot="1">
      <c r="A66" s="366"/>
      <c r="B66" s="367"/>
      <c r="C66" s="367"/>
      <c r="D66" s="367"/>
      <c r="E66" s="368"/>
      <c r="F66" s="369"/>
      <c r="G66" s="368"/>
      <c r="H66" s="369"/>
      <c r="N66" s="43"/>
      <c r="O66" s="43"/>
    </row>
    <row r="67" spans="1:15" ht="13" thickTop="1"/>
    <row r="68" spans="1:15">
      <c r="B68" s="33"/>
      <c r="C68" s="350"/>
      <c r="D68" s="33"/>
      <c r="E68" s="350"/>
      <c r="F68" s="33"/>
      <c r="G68" s="350"/>
      <c r="H68" s="350"/>
      <c r="I68" s="350"/>
      <c r="J68" s="351"/>
    </row>
    <row r="69" spans="1:15">
      <c r="B69" s="33"/>
      <c r="C69" s="352"/>
      <c r="D69" s="352"/>
      <c r="E69" s="353"/>
      <c r="F69" s="354"/>
      <c r="G69" s="350"/>
      <c r="H69" s="350"/>
      <c r="I69" s="350"/>
      <c r="J69" s="351"/>
    </row>
    <row r="70" spans="1:15">
      <c r="B70" s="33"/>
      <c r="C70" s="350"/>
      <c r="D70" s="33"/>
      <c r="E70" s="350"/>
      <c r="F70" s="33"/>
      <c r="G70" s="350"/>
      <c r="H70" s="350"/>
      <c r="I70" s="350"/>
      <c r="J70" s="351"/>
    </row>
    <row r="71" spans="1:15">
      <c r="B71" s="33"/>
      <c r="C71" s="350"/>
      <c r="D71" s="33"/>
      <c r="E71" s="350"/>
      <c r="F71" s="33"/>
      <c r="G71" s="350"/>
      <c r="H71" s="350"/>
      <c r="I71" s="350"/>
      <c r="J71" s="351"/>
    </row>
  </sheetData>
  <protectedRanges>
    <protectedRange password="94AB" sqref="M6:N61 S6:S61 B6:K61 P6:Q61" name="Bills stuff"/>
    <protectedRange password="94AB" sqref="A63:B66" name="Standards"/>
    <protectedRange password="94AB" sqref="C63:D66" name="ISIRF 13C Page"/>
    <protectedRange password="94AB" sqref="E63:H66" name="Standards_1"/>
  </protectedRanges>
  <phoneticPr fontId="0" type="noConversion"/>
  <conditionalFormatting sqref="D6:D61">
    <cfRule type="cellIs" dxfId="13" priority="2" operator="notBetween">
      <formula>1</formula>
      <formula>40</formula>
    </cfRule>
  </conditionalFormatting>
  <conditionalFormatting sqref="F6:F61">
    <cfRule type="cellIs" dxfId="12" priority="1" operator="notBetween">
      <formula>1</formula>
      <formula>40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89"/>
  <sheetViews>
    <sheetView workbookViewId="0">
      <selection activeCell="J29" sqref="J29"/>
    </sheetView>
  </sheetViews>
  <sheetFormatPr defaultColWidth="9.1796875" defaultRowHeight="11.5"/>
  <cols>
    <col min="1" max="1" width="17.453125" style="31" customWidth="1"/>
    <col min="2" max="2" width="16" style="31" customWidth="1"/>
    <col min="3" max="3" width="21.26953125" style="31" customWidth="1"/>
    <col min="4" max="4" width="18.54296875" style="31" bestFit="1" customWidth="1"/>
    <col min="5" max="5" width="9.453125" style="31" bestFit="1" customWidth="1"/>
    <col min="6" max="6" width="5.54296875" style="31" bestFit="1" customWidth="1"/>
    <col min="7" max="7" width="7.81640625" style="31" bestFit="1" customWidth="1"/>
    <col min="8" max="8" width="8" style="31" bestFit="1" customWidth="1"/>
    <col min="9" max="9" width="9.54296875" style="31" bestFit="1" customWidth="1"/>
    <col min="10" max="10" width="5.81640625" style="31" customWidth="1"/>
    <col min="11" max="11" width="5.453125" style="31" bestFit="1" customWidth="1"/>
    <col min="12" max="12" width="8.81640625" style="31" customWidth="1"/>
    <col min="13" max="13" width="10.7265625" style="31" customWidth="1"/>
    <col min="14" max="14" width="8" style="31" customWidth="1"/>
    <col min="15" max="16384" width="9.1796875" style="31"/>
  </cols>
  <sheetData>
    <row r="1" spans="1:19" ht="12" thickBot="1">
      <c r="A1" s="185" t="s">
        <v>10</v>
      </c>
      <c r="B1" s="186" t="str">
        <f>COVER!C2</f>
        <v>IC15N-240517-10Kansas_ROAR_3</v>
      </c>
      <c r="C1" s="187"/>
      <c r="D1" s="188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19" ht="12" thickBot="1">
      <c r="A2" s="190"/>
      <c r="B2" s="191"/>
      <c r="C2" s="192"/>
      <c r="D2" s="192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</row>
    <row r="3" spans="1:19" ht="13.5">
      <c r="A3" s="305" t="s">
        <v>0</v>
      </c>
      <c r="B3" s="306" t="s">
        <v>136</v>
      </c>
      <c r="C3" s="306" t="s">
        <v>213</v>
      </c>
      <c r="D3" s="307" t="s">
        <v>68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</row>
    <row r="4" spans="1:19">
      <c r="A4" s="312" t="str">
        <f>'Weigh Sheet'!C9</f>
        <v>ISIRF Ulva</v>
      </c>
      <c r="B4" s="308" t="s">
        <v>137</v>
      </c>
      <c r="C4" s="308">
        <f>'ISIRF RAW'!C63</f>
        <v>0</v>
      </c>
      <c r="D4" s="309">
        <f>'ISIRF RAW'!D63</f>
        <v>0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9">
      <c r="A5" s="312" t="str">
        <f>'Weigh Sheet'!C10</f>
        <v>ISIRF Chitin</v>
      </c>
      <c r="B5" s="308" t="s">
        <v>129</v>
      </c>
      <c r="C5" s="308">
        <f>'ISIRF RAW'!C64</f>
        <v>0</v>
      </c>
      <c r="D5" s="309">
        <f>'ISIRF RAW'!D64</f>
        <v>0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9">
      <c r="A6" s="312" t="str">
        <f>'Weigh Sheet'!C11</f>
        <v>ISIRF Bamboo</v>
      </c>
      <c r="B6" s="308" t="s">
        <v>130</v>
      </c>
      <c r="C6" s="308">
        <f>'ISIRF RAW'!C65</f>
        <v>0</v>
      </c>
      <c r="D6" s="309">
        <f>'ISIRF RAW'!D65</f>
        <v>0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</row>
    <row r="7" spans="1:19" ht="12" thickBot="1">
      <c r="A7" s="313" t="str">
        <f>'Weigh Sheet'!C12</f>
        <v>NBS 1575 Pine Needles</v>
      </c>
      <c r="B7" s="310" t="s">
        <v>214</v>
      </c>
      <c r="C7" s="310">
        <f>'ISIRF RAW'!C66</f>
        <v>0</v>
      </c>
      <c r="D7" s="311">
        <f>'ISIRF RAW'!D66</f>
        <v>0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9" ht="12" thickBot="1">
      <c r="A8" s="193"/>
      <c r="B8" s="193"/>
      <c r="C8" s="193"/>
      <c r="D8" s="193"/>
      <c r="E8" s="193"/>
      <c r="F8" s="193"/>
      <c r="G8" s="193"/>
      <c r="H8" s="193"/>
      <c r="I8" s="193"/>
      <c r="J8" s="194"/>
      <c r="K8" s="193"/>
      <c r="L8" s="194"/>
      <c r="M8" s="194"/>
      <c r="N8" s="194"/>
      <c r="O8" s="194"/>
      <c r="P8" s="194"/>
      <c r="Q8" s="30"/>
      <c r="R8" s="30"/>
      <c r="S8" s="30"/>
    </row>
    <row r="9" spans="1:19" ht="12" customHeight="1">
      <c r="A9" s="195" t="s">
        <v>80</v>
      </c>
      <c r="B9" s="488"/>
      <c r="C9" s="489"/>
      <c r="D9" s="195"/>
      <c r="E9" s="195"/>
      <c r="F9" s="195"/>
      <c r="G9" s="195"/>
      <c r="H9" s="195"/>
      <c r="I9" s="195"/>
      <c r="J9" s="196"/>
      <c r="K9" s="196"/>
      <c r="L9" s="197"/>
      <c r="M9" s="189"/>
      <c r="N9" s="240"/>
      <c r="O9" s="333"/>
      <c r="P9" s="333"/>
      <c r="Q9" s="242"/>
    </row>
    <row r="10" spans="1:19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211</v>
      </c>
      <c r="I10" s="201" t="s">
        <v>140</v>
      </c>
      <c r="J10" s="202" t="s">
        <v>68</v>
      </c>
      <c r="K10" s="203" t="s">
        <v>213</v>
      </c>
      <c r="L10" s="204" t="s">
        <v>97</v>
      </c>
      <c r="M10" s="189"/>
      <c r="N10" s="258"/>
      <c r="O10" s="333"/>
      <c r="P10" s="333"/>
      <c r="Q10" s="242"/>
    </row>
    <row r="11" spans="1:19" ht="12" customHeight="1">
      <c r="A11" s="502">
        <f>'ISIRF RAW'!S8</f>
        <v>0</v>
      </c>
      <c r="B11" s="492">
        <f>'ISIRF RAW'!T8</f>
        <v>0</v>
      </c>
      <c r="C11" s="493"/>
      <c r="D11" s="448" t="str">
        <f>'ISIRF RAW'!A8</f>
        <v>ISIRF Ulva</v>
      </c>
      <c r="E11" s="449" t="str">
        <f>$B$4</f>
        <v>QC.STD</v>
      </c>
      <c r="F11" s="448">
        <f>'ISIRF RAW'!B8</f>
        <v>0</v>
      </c>
      <c r="G11" s="449">
        <f>'ISIRF RAW'!C8</f>
        <v>0</v>
      </c>
      <c r="H11" s="449">
        <f>'ISIRF RAW'!D8</f>
        <v>0</v>
      </c>
      <c r="I11" s="470">
        <f>'ISIRF RAW'!E8</f>
        <v>0</v>
      </c>
      <c r="J11" s="449">
        <f>'ISIRF RAW'!J8</f>
        <v>0</v>
      </c>
      <c r="K11" s="449">
        <f>'ISIRF RAW'!L8</f>
        <v>0</v>
      </c>
      <c r="L11" s="450"/>
      <c r="M11" s="189"/>
      <c r="N11" s="242"/>
      <c r="O11" s="334"/>
      <c r="P11" s="334"/>
      <c r="Q11" s="242"/>
    </row>
    <row r="12" spans="1:19" ht="12" customHeight="1">
      <c r="A12" s="503">
        <f>'ISIRF RAW'!S21</f>
        <v>0</v>
      </c>
      <c r="B12" s="494">
        <f>'ISIRF RAW'!T21</f>
        <v>0</v>
      </c>
      <c r="C12" s="495"/>
      <c r="D12" s="451" t="str">
        <f>'ISIRF RAW'!A21</f>
        <v>ISIRF Ulva</v>
      </c>
      <c r="E12" s="452" t="str">
        <f>$B$4</f>
        <v>QC.STD</v>
      </c>
      <c r="F12" s="451">
        <f>'ISIRF RAW'!B21</f>
        <v>0</v>
      </c>
      <c r="G12" s="452">
        <f>'ISIRF RAW'!C21</f>
        <v>0</v>
      </c>
      <c r="H12" s="452">
        <f>'ISIRF RAW'!D21</f>
        <v>0</v>
      </c>
      <c r="I12" s="471">
        <f>'ISIRF RAW'!E21</f>
        <v>0</v>
      </c>
      <c r="J12" s="452">
        <f>'ISIRF RAW'!J21</f>
        <v>0</v>
      </c>
      <c r="K12" s="452">
        <f>'ISIRF RAW'!L21</f>
        <v>0</v>
      </c>
      <c r="L12" s="453"/>
      <c r="M12" s="189"/>
      <c r="N12" s="242"/>
      <c r="O12" s="334"/>
      <c r="P12" s="334"/>
      <c r="Q12" s="242"/>
    </row>
    <row r="13" spans="1:19" ht="12" customHeight="1">
      <c r="A13" s="503">
        <f>'ISIRF RAW'!S33</f>
        <v>0</v>
      </c>
      <c r="B13" s="494">
        <f>'ISIRF RAW'!T33</f>
        <v>0</v>
      </c>
      <c r="C13" s="495"/>
      <c r="D13" s="451" t="str">
        <f>'ISIRF RAW'!A33</f>
        <v>ISIRF Ulva</v>
      </c>
      <c r="E13" s="452" t="str">
        <f>$B$4</f>
        <v>QC.STD</v>
      </c>
      <c r="F13" s="451">
        <f>'ISIRF RAW'!B33</f>
        <v>0</v>
      </c>
      <c r="G13" s="452">
        <f>'ISIRF RAW'!C33</f>
        <v>0</v>
      </c>
      <c r="H13" s="452">
        <f>'ISIRF RAW'!D33</f>
        <v>0</v>
      </c>
      <c r="I13" s="471">
        <f>'ISIRF RAW'!E33</f>
        <v>0</v>
      </c>
      <c r="J13" s="452">
        <f>'ISIRF RAW'!J33</f>
        <v>0</v>
      </c>
      <c r="K13" s="452">
        <f>'ISIRF RAW'!L33</f>
        <v>0</v>
      </c>
      <c r="L13" s="453"/>
      <c r="M13" s="189"/>
      <c r="N13" s="242"/>
      <c r="O13" s="334"/>
      <c r="P13" s="334"/>
      <c r="Q13" s="242"/>
    </row>
    <row r="14" spans="1:19" ht="12" customHeight="1">
      <c r="A14" s="503">
        <f>'ISIRF RAW'!S46</f>
        <v>0</v>
      </c>
      <c r="B14" s="494">
        <f>'ISIRF RAW'!T46</f>
        <v>0</v>
      </c>
      <c r="C14" s="495"/>
      <c r="D14" s="451" t="str">
        <f>'ISIRF RAW'!A46</f>
        <v>ISIRF Ulva</v>
      </c>
      <c r="E14" s="452" t="str">
        <f>$B$4</f>
        <v>QC.STD</v>
      </c>
      <c r="F14" s="451">
        <f>'ISIRF RAW'!B46</f>
        <v>0</v>
      </c>
      <c r="G14" s="452">
        <f>'ISIRF RAW'!C46</f>
        <v>0</v>
      </c>
      <c r="H14" s="452">
        <f>'ISIRF RAW'!D46</f>
        <v>0</v>
      </c>
      <c r="I14" s="471">
        <f>'ISIRF RAW'!E46</f>
        <v>0</v>
      </c>
      <c r="J14" s="452">
        <f>'ISIRF RAW'!J46</f>
        <v>0</v>
      </c>
      <c r="K14" s="452">
        <f>'ISIRF RAW'!L46</f>
        <v>0</v>
      </c>
      <c r="L14" s="453"/>
      <c r="M14" s="189"/>
      <c r="N14" s="242"/>
      <c r="O14" s="334"/>
      <c r="P14" s="334"/>
      <c r="Q14" s="242"/>
    </row>
    <row r="15" spans="1:19" ht="12" customHeight="1">
      <c r="A15" s="504">
        <f>'ISIRF RAW'!S58</f>
        <v>0</v>
      </c>
      <c r="B15" s="496">
        <f>'ISIRF RAW'!T58</f>
        <v>0</v>
      </c>
      <c r="C15" s="497"/>
      <c r="D15" s="460" t="str">
        <f>'ISIRF RAW'!A58</f>
        <v>ISIRF Ulva</v>
      </c>
      <c r="E15" s="461" t="str">
        <f>$B$4</f>
        <v>QC.STD</v>
      </c>
      <c r="F15" s="460">
        <f>'ISIRF RAW'!B58</f>
        <v>0</v>
      </c>
      <c r="G15" s="461">
        <f>'ISIRF RAW'!C58</f>
        <v>0</v>
      </c>
      <c r="H15" s="461">
        <f>'ISIRF RAW'!D58</f>
        <v>0</v>
      </c>
      <c r="I15" s="472">
        <f>'ISIRF RAW'!E58</f>
        <v>0</v>
      </c>
      <c r="J15" s="461">
        <f>'ISIRF RAW'!J58</f>
        <v>0</v>
      </c>
      <c r="K15" s="461">
        <f>'ISIRF RAW'!L58</f>
        <v>0</v>
      </c>
      <c r="L15" s="462"/>
      <c r="M15" s="189"/>
      <c r="N15" s="242"/>
      <c r="O15" s="334"/>
      <c r="P15" s="334"/>
      <c r="Q15" s="242"/>
    </row>
    <row r="16" spans="1:19" ht="12" customHeight="1">
      <c r="A16" s="505">
        <f>'ISIRF RAW'!S9</f>
        <v>0</v>
      </c>
      <c r="B16" s="498">
        <f>'ISIRF RAW'!T9</f>
        <v>0</v>
      </c>
      <c r="C16" s="499"/>
      <c r="D16" s="458" t="str">
        <f>'ISIRF RAW'!A9</f>
        <v>ISIRF Chitin</v>
      </c>
      <c r="E16" s="458" t="str">
        <f t="shared" ref="E16:E18" si="0">B$5</f>
        <v>Cal-H.STD</v>
      </c>
      <c r="F16" s="457">
        <f>'ISIRF RAW'!B9</f>
        <v>0</v>
      </c>
      <c r="G16" s="458">
        <f>'ISIRF RAW'!C9</f>
        <v>0</v>
      </c>
      <c r="H16" s="458">
        <f>'ISIRF RAW'!D9</f>
        <v>0</v>
      </c>
      <c r="I16" s="473">
        <f>'ISIRF RAW'!E9</f>
        <v>0</v>
      </c>
      <c r="J16" s="458">
        <f>'ISIRF RAW'!J9</f>
        <v>0</v>
      </c>
      <c r="K16" s="458">
        <f>'ISIRF RAW'!L9</f>
        <v>0</v>
      </c>
      <c r="L16" s="459"/>
      <c r="M16" s="189"/>
      <c r="N16" s="242"/>
      <c r="O16" s="334"/>
      <c r="P16" s="334"/>
      <c r="Q16" s="242"/>
    </row>
    <row r="17" spans="1:19" ht="12" customHeight="1">
      <c r="A17" s="503">
        <f>'ISIRF RAW'!S34</f>
        <v>0</v>
      </c>
      <c r="B17" s="494">
        <f>'ISIRF RAW'!T34</f>
        <v>0</v>
      </c>
      <c r="C17" s="495"/>
      <c r="D17" s="452" t="str">
        <f>'ISIRF RAW'!A34</f>
        <v>ISIRF Chitin</v>
      </c>
      <c r="E17" s="452" t="str">
        <f t="shared" si="0"/>
        <v>Cal-H.STD</v>
      </c>
      <c r="F17" s="451">
        <f>'ISIRF RAW'!B34</f>
        <v>0</v>
      </c>
      <c r="G17" s="452">
        <f>'ISIRF RAW'!C34</f>
        <v>0</v>
      </c>
      <c r="H17" s="452">
        <f>'ISIRF RAW'!D34</f>
        <v>0</v>
      </c>
      <c r="I17" s="471">
        <f>'ISIRF RAW'!E34</f>
        <v>0</v>
      </c>
      <c r="J17" s="452">
        <f>'ISIRF RAW'!J34</f>
        <v>0</v>
      </c>
      <c r="K17" s="452">
        <f>'ISIRF RAW'!L34</f>
        <v>0</v>
      </c>
      <c r="L17" s="453"/>
      <c r="M17" s="189"/>
      <c r="N17" s="242"/>
      <c r="O17" s="334"/>
      <c r="P17" s="334"/>
      <c r="Q17" s="242"/>
    </row>
    <row r="18" spans="1:19" ht="12" customHeight="1">
      <c r="A18" s="504">
        <f>'ISIRF RAW'!S59</f>
        <v>0</v>
      </c>
      <c r="B18" s="496">
        <f>'ISIRF RAW'!T59</f>
        <v>0</v>
      </c>
      <c r="C18" s="497"/>
      <c r="D18" s="461" t="str">
        <f>'ISIRF RAW'!A59</f>
        <v>ISIRF Chitin</v>
      </c>
      <c r="E18" s="461" t="str">
        <f t="shared" si="0"/>
        <v>Cal-H.STD</v>
      </c>
      <c r="F18" s="460">
        <f>'ISIRF RAW'!B59</f>
        <v>0</v>
      </c>
      <c r="G18" s="461">
        <f>'ISIRF RAW'!C59</f>
        <v>0</v>
      </c>
      <c r="H18" s="461">
        <f>'ISIRF RAW'!D59</f>
        <v>0</v>
      </c>
      <c r="I18" s="472">
        <f>'ISIRF RAW'!E59</f>
        <v>0</v>
      </c>
      <c r="J18" s="461">
        <f>'ISIRF RAW'!J59</f>
        <v>0</v>
      </c>
      <c r="K18" s="461">
        <f>'ISIRF RAW'!L59</f>
        <v>0</v>
      </c>
      <c r="L18" s="462"/>
      <c r="M18" s="189"/>
      <c r="N18" s="335"/>
      <c r="O18" s="335"/>
      <c r="P18" s="335"/>
      <c r="Q18" s="242"/>
    </row>
    <row r="19" spans="1:19" ht="12" customHeight="1">
      <c r="A19" s="505">
        <f>'ISIRF RAW'!S10</f>
        <v>0</v>
      </c>
      <c r="B19" s="498">
        <f>'ISIRF RAW'!T10</f>
        <v>0</v>
      </c>
      <c r="C19" s="499"/>
      <c r="D19" s="457" t="str">
        <f>'ISIRF RAW'!A10</f>
        <v>ISIRF Bamboo</v>
      </c>
      <c r="E19" s="457" t="str">
        <f t="shared" ref="E19:E21" si="1">B$6</f>
        <v>Cal-L.STD</v>
      </c>
      <c r="F19" s="457">
        <f>'ISIRF RAW'!B10</f>
        <v>0</v>
      </c>
      <c r="G19" s="458">
        <f>'ISIRF RAW'!C10</f>
        <v>0</v>
      </c>
      <c r="H19" s="458">
        <f>'ISIRF RAW'!D10</f>
        <v>0</v>
      </c>
      <c r="I19" s="473">
        <f>'ISIRF RAW'!E10</f>
        <v>0</v>
      </c>
      <c r="J19" s="458">
        <f>'ISIRF RAW'!J10</f>
        <v>0</v>
      </c>
      <c r="K19" s="458">
        <f>'ISIRF RAW'!L10</f>
        <v>0</v>
      </c>
      <c r="L19" s="459"/>
      <c r="M19" s="189"/>
      <c r="N19" s="335"/>
      <c r="O19" s="335"/>
      <c r="P19" s="335"/>
      <c r="Q19" s="242"/>
    </row>
    <row r="20" spans="1:19" ht="12" customHeight="1">
      <c r="A20" s="503">
        <f>'ISIRF RAW'!S35</f>
        <v>0</v>
      </c>
      <c r="B20" s="494">
        <f>'ISIRF RAW'!T35</f>
        <v>0</v>
      </c>
      <c r="C20" s="495"/>
      <c r="D20" s="451" t="str">
        <f>'ISIRF RAW'!A35</f>
        <v>ISIRF Bamboo</v>
      </c>
      <c r="E20" s="451" t="str">
        <f t="shared" si="1"/>
        <v>Cal-L.STD</v>
      </c>
      <c r="F20" s="451">
        <f>'ISIRF RAW'!B35</f>
        <v>0</v>
      </c>
      <c r="G20" s="452">
        <f>'ISIRF RAW'!C35</f>
        <v>0</v>
      </c>
      <c r="H20" s="452">
        <f>'ISIRF RAW'!D35</f>
        <v>0</v>
      </c>
      <c r="I20" s="471">
        <f>'ISIRF RAW'!E35</f>
        <v>0</v>
      </c>
      <c r="J20" s="452">
        <f>'ISIRF RAW'!J35</f>
        <v>0</v>
      </c>
      <c r="K20" s="452">
        <f>'ISIRF RAW'!L35</f>
        <v>0</v>
      </c>
      <c r="L20" s="453"/>
      <c r="M20" s="194"/>
      <c r="N20" s="335"/>
      <c r="O20" s="335"/>
      <c r="P20" s="335"/>
      <c r="Q20" s="242"/>
    </row>
    <row r="21" spans="1:19" ht="12" customHeight="1">
      <c r="A21" s="504">
        <f>'ISIRF RAW'!S60</f>
        <v>0</v>
      </c>
      <c r="B21" s="496">
        <f>'ISIRF RAW'!T60</f>
        <v>0</v>
      </c>
      <c r="C21" s="497"/>
      <c r="D21" s="460" t="str">
        <f>'ISIRF RAW'!A60</f>
        <v>ISIRF Bamboo</v>
      </c>
      <c r="E21" s="460" t="str">
        <f t="shared" si="1"/>
        <v>Cal-L.STD</v>
      </c>
      <c r="F21" s="460">
        <f>'ISIRF RAW'!B60</f>
        <v>0</v>
      </c>
      <c r="G21" s="461">
        <f>'ISIRF RAW'!C60</f>
        <v>0</v>
      </c>
      <c r="H21" s="461">
        <f>'ISIRF RAW'!D60</f>
        <v>0</v>
      </c>
      <c r="I21" s="472">
        <f>'ISIRF RAW'!E60</f>
        <v>0</v>
      </c>
      <c r="J21" s="461">
        <f>'ISIRF RAW'!J60</f>
        <v>0</v>
      </c>
      <c r="K21" s="461">
        <f>'ISIRF RAW'!L60</f>
        <v>0</v>
      </c>
      <c r="L21" s="462"/>
      <c r="M21" s="189"/>
      <c r="N21" s="336"/>
      <c r="O21" s="242"/>
      <c r="P21" s="242"/>
      <c r="Q21" s="242"/>
    </row>
    <row r="22" spans="1:19" ht="12" customHeight="1">
      <c r="A22" s="505">
        <f>'ISIRF RAW'!S11</f>
        <v>0</v>
      </c>
      <c r="B22" s="498">
        <f>'ISIRF RAW'!T11</f>
        <v>0</v>
      </c>
      <c r="C22" s="499"/>
      <c r="D22" s="457" t="str">
        <f>'ISIRF RAW'!A11</f>
        <v>NBS 1575 Pine Needles</v>
      </c>
      <c r="E22" s="458" t="s">
        <v>165</v>
      </c>
      <c r="F22" s="457">
        <f>'ISIRF RAW'!B11</f>
        <v>0</v>
      </c>
      <c r="G22" s="458">
        <f>'ISIRF RAW'!C11</f>
        <v>0</v>
      </c>
      <c r="H22" s="458">
        <f>'ISIRF RAW'!D11</f>
        <v>0</v>
      </c>
      <c r="I22" s="473">
        <f>'ISIRF RAW'!E11</f>
        <v>0</v>
      </c>
      <c r="J22" s="458">
        <f>'ISIRF RAW'!J11</f>
        <v>0</v>
      </c>
      <c r="K22" s="458">
        <f>'ISIRF RAW'!L11</f>
        <v>0</v>
      </c>
      <c r="L22" s="459"/>
      <c r="M22" s="189"/>
      <c r="N22" s="242"/>
      <c r="O22" s="242"/>
      <c r="P22" s="242"/>
      <c r="Q22" s="242"/>
      <c r="R22" s="30"/>
    </row>
    <row r="23" spans="1:19" ht="12" customHeight="1">
      <c r="A23" s="503">
        <f>'ISIRF RAW'!S36</f>
        <v>0</v>
      </c>
      <c r="B23" s="494">
        <f>'ISIRF RAW'!T36</f>
        <v>0</v>
      </c>
      <c r="C23" s="495"/>
      <c r="D23" s="451" t="str">
        <f>'ISIRF RAW'!A36</f>
        <v>NBS 1575 Pine Needles</v>
      </c>
      <c r="E23" s="452" t="s">
        <v>165</v>
      </c>
      <c r="F23" s="451">
        <f>'ISIRF RAW'!B36</f>
        <v>0</v>
      </c>
      <c r="G23" s="452">
        <f>'ISIRF RAW'!C36</f>
        <v>0</v>
      </c>
      <c r="H23" s="452">
        <f>'ISIRF RAW'!D36</f>
        <v>0</v>
      </c>
      <c r="I23" s="471">
        <f>'ISIRF RAW'!E36</f>
        <v>0</v>
      </c>
      <c r="J23" s="452">
        <f>'ISIRF RAW'!J36</f>
        <v>0</v>
      </c>
      <c r="K23" s="452">
        <f>'ISIRF RAW'!L36</f>
        <v>0</v>
      </c>
      <c r="L23" s="453"/>
      <c r="M23" s="189"/>
      <c r="N23" s="242"/>
      <c r="O23" s="242"/>
      <c r="P23" s="242"/>
      <c r="Q23" s="242"/>
    </row>
    <row r="24" spans="1:19" ht="12.75" customHeight="1" thickBot="1">
      <c r="A24" s="506">
        <f>'ISIRF RAW'!S61</f>
        <v>0</v>
      </c>
      <c r="B24" s="500">
        <f>'ISIRF RAW'!T61</f>
        <v>0</v>
      </c>
      <c r="C24" s="501"/>
      <c r="D24" s="454" t="str">
        <f>'ISIRF RAW'!A61</f>
        <v>NBS 1575 Pine Needles</v>
      </c>
      <c r="E24" s="455" t="s">
        <v>165</v>
      </c>
      <c r="F24" s="454">
        <f>'ISIRF RAW'!B61</f>
        <v>0</v>
      </c>
      <c r="G24" s="455">
        <f>'ISIRF RAW'!C61</f>
        <v>0</v>
      </c>
      <c r="H24" s="455">
        <f>'ISIRF RAW'!D61</f>
        <v>0</v>
      </c>
      <c r="I24" s="474">
        <f>'ISIRF RAW'!E61</f>
        <v>0</v>
      </c>
      <c r="J24" s="455">
        <f>'ISIRF RAW'!J61</f>
        <v>0</v>
      </c>
      <c r="K24" s="455">
        <f>'ISIRF RAW'!L61</f>
        <v>0</v>
      </c>
      <c r="L24" s="456"/>
      <c r="M24" s="189"/>
      <c r="N24" s="189"/>
      <c r="O24" s="194"/>
      <c r="P24" s="194"/>
      <c r="Q24" s="189"/>
    </row>
    <row r="25" spans="1:19" ht="12" thickBot="1">
      <c r="A25" s="189"/>
      <c r="B25" s="189"/>
      <c r="C25" s="208"/>
      <c r="D25" s="208"/>
      <c r="E25" s="209"/>
      <c r="F25" s="210"/>
      <c r="G25" s="210"/>
      <c r="H25" s="210"/>
      <c r="I25" s="210"/>
      <c r="J25" s="211"/>
      <c r="K25" s="211"/>
      <c r="L25" s="189"/>
      <c r="M25" s="189"/>
      <c r="N25" s="189"/>
      <c r="O25" s="189"/>
      <c r="P25" s="189"/>
    </row>
    <row r="26" spans="1:19" ht="13.5">
      <c r="A26" s="212" t="s">
        <v>70</v>
      </c>
      <c r="B26" s="213" t="s">
        <v>141</v>
      </c>
      <c r="C26" s="214" t="s">
        <v>144</v>
      </c>
      <c r="D26" s="215"/>
      <c r="E26" s="213"/>
      <c r="F26" s="216" t="s">
        <v>68</v>
      </c>
      <c r="G26" s="215"/>
      <c r="H26" s="217" t="s">
        <v>2</v>
      </c>
      <c r="I26" s="218"/>
      <c r="J26" s="218"/>
      <c r="K26" s="218"/>
      <c r="L26" s="189"/>
      <c r="M26" s="189"/>
      <c r="N26" s="189"/>
      <c r="O26" s="189"/>
      <c r="P26" s="189"/>
    </row>
    <row r="27" spans="1:19" ht="13" thickBot="1">
      <c r="A27" s="219"/>
      <c r="B27" s="220" t="s">
        <v>1</v>
      </c>
      <c r="C27" s="221" t="s">
        <v>142</v>
      </c>
      <c r="D27" s="222" t="s">
        <v>5</v>
      </c>
      <c r="E27" s="220" t="s">
        <v>1</v>
      </c>
      <c r="F27" s="221" t="s">
        <v>143</v>
      </c>
      <c r="G27" s="222" t="s">
        <v>231</v>
      </c>
      <c r="H27" s="223" t="s">
        <v>3</v>
      </c>
      <c r="I27" s="218"/>
      <c r="J27" s="218"/>
      <c r="K27" s="218"/>
      <c r="L27" s="189"/>
      <c r="M27" s="189"/>
      <c r="N27" s="189"/>
      <c r="O27" s="189"/>
      <c r="P27" s="189"/>
    </row>
    <row r="28" spans="1:19" s="32" customFormat="1" ht="13" thickTop="1">
      <c r="A28" s="224" t="s">
        <v>25</v>
      </c>
      <c r="B28" s="225" t="e">
        <f>AVERAGE('ISIRF RAW'!L12,'ISIRF RAW'!L56)</f>
        <v>#DIV/0!</v>
      </c>
      <c r="C28" s="226" t="e">
        <f>VAR('ISIRF RAW'!L12,'ISIRF RAW'!L56)</f>
        <v>#DIV/0!</v>
      </c>
      <c r="D28" s="227" t="e">
        <f>STDEV('ISIRF RAW'!L12,'ISIRF RAW'!L56)</f>
        <v>#DIV/0!</v>
      </c>
      <c r="E28" s="225" t="e">
        <f>AVERAGE('ISIRF RAW'!J12,'ISIRF RAW'!J56)</f>
        <v>#DIV/0!</v>
      </c>
      <c r="F28" s="226" t="e">
        <f>VAR('ISIRF RAW'!J12,'ISIRF RAW'!J56)</f>
        <v>#DIV/0!</v>
      </c>
      <c r="G28" s="227" t="e">
        <f>(STDEV('ISIRF RAW'!J12,'ISIRF RAW'!J56))/E28</f>
        <v>#DIV/0!</v>
      </c>
      <c r="H28" s="228">
        <f>COUNT('ISIRF RAW'!J12,'ISIRF RAW'!J56)</f>
        <v>0</v>
      </c>
      <c r="I28" s="218"/>
      <c r="J28" s="218"/>
      <c r="K28" s="218"/>
      <c r="L28" s="242"/>
      <c r="M28" s="189"/>
      <c r="N28" s="189"/>
      <c r="O28" s="189"/>
      <c r="P28" s="189"/>
    </row>
    <row r="29" spans="1:19" s="32" customFormat="1" ht="13" thickBot="1">
      <c r="A29" s="224" t="s">
        <v>26</v>
      </c>
      <c r="B29" s="229" t="e">
        <f>AVERAGE('ISIRF RAW'!L26:L27)</f>
        <v>#DIV/0!</v>
      </c>
      <c r="C29" s="226" t="e">
        <f>VAR('ISIRF RAW'!L26:L27)</f>
        <v>#DIV/0!</v>
      </c>
      <c r="D29" s="227" t="e">
        <f>STDEV('ISIRF RAW'!L26:L27)</f>
        <v>#DIV/0!</v>
      </c>
      <c r="E29" s="229" t="e">
        <f>AVERAGE('ISIRF RAW'!J26:J27)</f>
        <v>#DIV/0!</v>
      </c>
      <c r="F29" s="226" t="e">
        <f>VAR('ISIRF RAW'!J26:J27)</f>
        <v>#DIV/0!</v>
      </c>
      <c r="G29" s="227" t="e">
        <f>(STDEV('ISIRF RAW'!J26:J27))/E29</f>
        <v>#DIV/0!</v>
      </c>
      <c r="H29" s="230">
        <f>COUNT('ISIRF RAW'!J26:J27)</f>
        <v>0</v>
      </c>
      <c r="I29" s="218"/>
      <c r="J29" s="218"/>
      <c r="K29" s="218"/>
      <c r="L29" s="242"/>
      <c r="M29" s="189"/>
      <c r="N29" s="189"/>
      <c r="O29" s="189"/>
      <c r="P29" s="189"/>
    </row>
    <row r="30" spans="1:19" ht="13" thickTop="1">
      <c r="A30" s="231" t="str">
        <f>B4</f>
        <v>QC.STD</v>
      </c>
      <c r="B30" s="225">
        <f>AVERAGE(K11:K15)</f>
        <v>0</v>
      </c>
      <c r="C30" s="232">
        <f>VAR(K11:K15)</f>
        <v>0</v>
      </c>
      <c r="D30" s="233">
        <f>STDEV(K11:K15)</f>
        <v>0</v>
      </c>
      <c r="E30" s="225">
        <f>AVERAGE(J11:J15)</f>
        <v>0</v>
      </c>
      <c r="F30" s="232">
        <f>VAR(J11:J15)</f>
        <v>0</v>
      </c>
      <c r="G30" s="233" t="e">
        <f>(STDEV(J11:J15))/E30</f>
        <v>#DIV/0!</v>
      </c>
      <c r="H30" s="234">
        <f>COUNT(J11:J15)</f>
        <v>5</v>
      </c>
      <c r="I30" s="218"/>
      <c r="J30" s="218"/>
      <c r="K30" s="235"/>
      <c r="L30" s="194"/>
      <c r="M30" s="194"/>
      <c r="N30" s="189"/>
      <c r="O30" s="189"/>
      <c r="P30" s="194"/>
      <c r="Q30" s="30"/>
      <c r="R30" s="30"/>
      <c r="S30" s="30"/>
    </row>
    <row r="31" spans="1:19">
      <c r="A31" s="236" t="str">
        <f>B5</f>
        <v>Cal-H.STD</v>
      </c>
      <c r="B31" s="237">
        <f>AVERAGE(K16:K18)</f>
        <v>0</v>
      </c>
      <c r="C31" s="238">
        <f>VAR(K16:K18)</f>
        <v>0</v>
      </c>
      <c r="D31" s="239">
        <f>STDEV(K16:K18)</f>
        <v>0</v>
      </c>
      <c r="E31" s="237">
        <f>AVERAGE(J16:J18)</f>
        <v>0</v>
      </c>
      <c r="F31" s="238">
        <f>VAR(J16:J18)</f>
        <v>0</v>
      </c>
      <c r="G31" s="374" t="e">
        <f>(STDEV(J16:J18))/E31</f>
        <v>#DIV/0!</v>
      </c>
      <c r="H31" s="230">
        <f>COUNT(J16:J18)</f>
        <v>3</v>
      </c>
      <c r="I31" s="189"/>
      <c r="J31" s="189"/>
      <c r="K31" s="189"/>
      <c r="L31" s="194"/>
      <c r="M31" s="194"/>
      <c r="N31" s="189"/>
      <c r="O31" s="189"/>
      <c r="P31" s="194"/>
      <c r="Q31" s="30"/>
      <c r="R31" s="30"/>
      <c r="S31" s="30"/>
    </row>
    <row r="32" spans="1:19" ht="12" thickBot="1">
      <c r="A32" s="534" t="str">
        <f>B6</f>
        <v>Cal-L.STD</v>
      </c>
      <c r="B32" s="535">
        <f>AVERAGE(K19:K21)</f>
        <v>0</v>
      </c>
      <c r="C32" s="536">
        <f>VAR(K19:K21)</f>
        <v>0</v>
      </c>
      <c r="D32" s="537">
        <f>STDEV(K19:K21)</f>
        <v>0</v>
      </c>
      <c r="E32" s="535">
        <f>AVERAGE(J19:J21)</f>
        <v>0</v>
      </c>
      <c r="F32" s="536">
        <f>VAR(J19:J21)</f>
        <v>0</v>
      </c>
      <c r="G32" s="538" t="e">
        <f>(STDEV(J19:J21))/E32</f>
        <v>#DIV/0!</v>
      </c>
      <c r="H32" s="527">
        <f>COUNT(J19:J21)</f>
        <v>3</v>
      </c>
      <c r="I32" s="189"/>
      <c r="J32" s="189"/>
      <c r="K32" s="189"/>
      <c r="L32" s="194"/>
      <c r="M32" s="194"/>
      <c r="N32" s="194"/>
      <c r="O32" s="194"/>
      <c r="P32" s="194"/>
      <c r="Q32" s="30"/>
      <c r="R32" s="30"/>
      <c r="S32" s="30"/>
    </row>
    <row r="33" spans="1:19" ht="12.5" thickTop="1" thickBot="1">
      <c r="A33" s="528" t="str">
        <f>B7</f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43"/>
      <c r="J33" s="243"/>
      <c r="K33" s="242"/>
      <c r="L33" s="194"/>
      <c r="M33" s="194"/>
      <c r="N33" s="194"/>
      <c r="O33" s="194"/>
      <c r="P33" s="194"/>
      <c r="Q33" s="30"/>
      <c r="R33" s="30"/>
      <c r="S33" s="30"/>
    </row>
    <row r="34" spans="1:19">
      <c r="A34" s="240"/>
      <c r="B34" s="244" t="s">
        <v>96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30"/>
      <c r="R34" s="30"/>
      <c r="S34" s="30"/>
    </row>
    <row r="35" spans="1:19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30"/>
      <c r="R35" s="30"/>
      <c r="S35" s="30"/>
    </row>
    <row r="36" spans="1:19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30"/>
      <c r="R36" s="30"/>
      <c r="S36" s="30"/>
    </row>
    <row r="37" spans="1:19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30"/>
      <c r="R37" s="30"/>
      <c r="S37" s="30"/>
    </row>
    <row r="38" spans="1:19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30"/>
      <c r="R38" s="30"/>
      <c r="S38" s="30"/>
    </row>
    <row r="39" spans="1:19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30"/>
      <c r="R39" s="30"/>
      <c r="S39" s="30"/>
    </row>
    <row r="40" spans="1:19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30"/>
      <c r="R40" s="30"/>
      <c r="S40" s="30"/>
    </row>
    <row r="41" spans="1:19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30"/>
      <c r="R41" s="30"/>
      <c r="S41" s="30"/>
    </row>
    <row r="42" spans="1:19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30"/>
      <c r="R42" s="30"/>
      <c r="S42" s="30"/>
    </row>
    <row r="43" spans="1:19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30"/>
      <c r="R43" s="30"/>
      <c r="S43" s="30"/>
    </row>
    <row r="44" spans="1:19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30"/>
      <c r="R44" s="30"/>
      <c r="S44" s="30"/>
    </row>
    <row r="45" spans="1:19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30"/>
      <c r="R45" s="30"/>
      <c r="S45" s="30"/>
    </row>
    <row r="46" spans="1:19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30"/>
      <c r="R46" s="30"/>
      <c r="S46" s="30"/>
    </row>
    <row r="47" spans="1:19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30"/>
      <c r="Q47" s="30"/>
      <c r="R47" s="30"/>
      <c r="S47" s="30"/>
    </row>
    <row r="48" spans="1:19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30"/>
      <c r="M48" s="30"/>
      <c r="N48" s="194"/>
      <c r="O48" s="194"/>
      <c r="P48" s="30"/>
      <c r="Q48" s="30"/>
      <c r="R48" s="30"/>
      <c r="S48" s="30"/>
    </row>
    <row r="49" spans="1:19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30"/>
      <c r="M49" s="30"/>
      <c r="N49" s="194"/>
      <c r="O49" s="194"/>
      <c r="P49" s="30"/>
      <c r="Q49" s="30"/>
      <c r="R49" s="30"/>
      <c r="S49" s="30"/>
    </row>
    <row r="50" spans="1:19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30"/>
      <c r="M50" s="30"/>
      <c r="N50" s="30"/>
      <c r="O50" s="30"/>
      <c r="P50" s="30"/>
      <c r="Q50" s="30"/>
      <c r="R50" s="30"/>
      <c r="S50" s="30"/>
    </row>
    <row r="51" spans="1:19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30"/>
      <c r="M51" s="30"/>
      <c r="N51" s="30"/>
      <c r="O51" s="30"/>
      <c r="P51" s="30"/>
      <c r="Q51" s="30"/>
      <c r="R51" s="30"/>
      <c r="S51" s="30"/>
    </row>
    <row r="52" spans="1:19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19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19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19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19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19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19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1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19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19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19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19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19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spans="1:1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spans="1:1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spans="1:1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spans="1:1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spans="1:1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M86" s="30"/>
      <c r="N86" s="30"/>
      <c r="O86" s="30"/>
      <c r="P86" s="30"/>
    </row>
    <row r="87" spans="1:1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M87" s="30"/>
      <c r="N87" s="30"/>
      <c r="O87" s="30"/>
    </row>
    <row r="88" spans="1:1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N88" s="30"/>
      <c r="O88" s="30"/>
    </row>
    <row r="89" spans="1:1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N89" s="30"/>
      <c r="O89" s="30"/>
    </row>
  </sheetData>
  <protectedRanges>
    <protectedRange password="94AB" sqref="A4:D7 O22 L11:L24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3"/>
  <sheetViews>
    <sheetView workbookViewId="0">
      <selection activeCell="I33" sqref="I33"/>
    </sheetView>
  </sheetViews>
  <sheetFormatPr defaultColWidth="9.1796875" defaultRowHeight="11.5"/>
  <cols>
    <col min="1" max="1" width="17.7265625" style="30" bestFit="1" customWidth="1"/>
    <col min="2" max="2" width="24.7265625" style="30" customWidth="1"/>
    <col min="3" max="3" width="13" style="30" customWidth="1"/>
    <col min="4" max="4" width="20.453125" style="30" customWidth="1"/>
    <col min="5" max="5" width="9.453125" style="30" bestFit="1" customWidth="1"/>
    <col min="6" max="6" width="8.26953125" style="30" bestFit="1" customWidth="1"/>
    <col min="7" max="7" width="7.81640625" style="30" bestFit="1" customWidth="1"/>
    <col min="8" max="8" width="8" style="41" bestFit="1" customWidth="1"/>
    <col min="9" max="9" width="9.54296875" style="41" bestFit="1" customWidth="1"/>
    <col min="10" max="10" width="5.453125" style="41" bestFit="1" customWidth="1"/>
    <col min="11" max="11" width="6" style="30" bestFit="1" customWidth="1"/>
    <col min="12" max="12" width="9.81640625" style="30" customWidth="1"/>
    <col min="13" max="13" width="9.1796875" style="30" bestFit="1"/>
    <col min="14" max="14" width="7.81640625" style="30" customWidth="1"/>
    <col min="15" max="16384" width="9.1796875" style="30"/>
  </cols>
  <sheetData>
    <row r="1" spans="1:18" ht="12" thickBot="1">
      <c r="A1" s="185" t="s">
        <v>10</v>
      </c>
      <c r="B1" s="186" t="str">
        <f>COVER!C2</f>
        <v>IC15N-240517-10Kansas_ROAR_3</v>
      </c>
      <c r="C1" s="187"/>
      <c r="D1" s="188"/>
      <c r="E1" s="194"/>
      <c r="F1" s="194"/>
      <c r="G1" s="194"/>
      <c r="H1" s="245"/>
      <c r="I1" s="245"/>
      <c r="J1" s="245"/>
      <c r="K1" s="194"/>
      <c r="L1" s="194"/>
      <c r="M1" s="194"/>
      <c r="N1" s="194"/>
      <c r="O1" s="194"/>
      <c r="P1" s="194"/>
      <c r="Q1" s="194"/>
    </row>
    <row r="2" spans="1:18" ht="12" thickBot="1">
      <c r="A2" s="193"/>
      <c r="B2" s="246"/>
      <c r="C2" s="246"/>
      <c r="D2" s="246"/>
      <c r="E2" s="194"/>
      <c r="F2" s="194"/>
      <c r="G2" s="194"/>
      <c r="H2" s="245"/>
      <c r="I2" s="245"/>
      <c r="J2" s="245"/>
      <c r="K2" s="194"/>
      <c r="L2" s="194"/>
      <c r="M2" s="194"/>
      <c r="N2" s="194"/>
      <c r="O2" s="194"/>
      <c r="P2" s="194"/>
      <c r="Q2" s="194"/>
    </row>
    <row r="3" spans="1:18" ht="13.5">
      <c r="A3" s="314" t="s">
        <v>0</v>
      </c>
      <c r="B3" s="315" t="s">
        <v>136</v>
      </c>
      <c r="C3" s="316" t="s">
        <v>135</v>
      </c>
      <c r="D3" s="317" t="s">
        <v>67</v>
      </c>
      <c r="E3" s="194"/>
      <c r="F3" s="194"/>
      <c r="G3" s="194"/>
      <c r="H3" s="194"/>
      <c r="I3" s="245"/>
      <c r="J3" s="245"/>
      <c r="K3" s="245"/>
      <c r="L3" s="194"/>
      <c r="M3" s="194"/>
      <c r="N3" s="194"/>
      <c r="O3" s="194"/>
      <c r="P3" s="194"/>
      <c r="Q3" s="194"/>
    </row>
    <row r="4" spans="1:18">
      <c r="A4" s="312" t="str">
        <f>'Weigh Sheet'!C9</f>
        <v>ISIRF Ulva</v>
      </c>
      <c r="B4" s="308" t="s">
        <v>137</v>
      </c>
      <c r="C4" s="318">
        <f>'ISIRF RAW'!E63</f>
        <v>0</v>
      </c>
      <c r="D4" s="319">
        <f>'ISIRF RAW'!F63</f>
        <v>0</v>
      </c>
      <c r="E4" s="194"/>
      <c r="F4" s="194"/>
      <c r="G4" s="194"/>
      <c r="H4" s="194"/>
      <c r="I4" s="245"/>
      <c r="J4" s="245"/>
      <c r="K4" s="245"/>
      <c r="L4" s="194"/>
      <c r="M4" s="194"/>
      <c r="N4" s="194"/>
      <c r="O4" s="194"/>
      <c r="P4" s="194"/>
      <c r="Q4" s="194"/>
    </row>
    <row r="5" spans="1:18">
      <c r="A5" s="312" t="str">
        <f>'Weigh Sheet'!C10</f>
        <v>ISIRF Chitin</v>
      </c>
      <c r="B5" s="308" t="s">
        <v>129</v>
      </c>
      <c r="C5" s="318">
        <f>'ISIRF RAW'!E64</f>
        <v>0</v>
      </c>
      <c r="D5" s="319">
        <f>'ISIRF RAW'!F64</f>
        <v>0</v>
      </c>
      <c r="E5" s="194"/>
      <c r="F5" s="194"/>
      <c r="G5" s="194"/>
      <c r="H5" s="194"/>
      <c r="I5" s="245"/>
      <c r="J5" s="245"/>
      <c r="K5" s="245"/>
      <c r="L5" s="194"/>
      <c r="M5" s="194"/>
      <c r="N5" s="194"/>
      <c r="O5" s="194"/>
      <c r="P5" s="194"/>
      <c r="Q5" s="194"/>
    </row>
    <row r="6" spans="1:18">
      <c r="A6" s="312" t="str">
        <f>'Weigh Sheet'!C11</f>
        <v>ISIRF Bamboo</v>
      </c>
      <c r="B6" s="308" t="s">
        <v>130</v>
      </c>
      <c r="C6" s="318">
        <f>'ISIRF RAW'!E65</f>
        <v>0</v>
      </c>
      <c r="D6" s="319">
        <f>'ISIRF RAW'!F65</f>
        <v>0</v>
      </c>
      <c r="E6" s="194"/>
      <c r="F6" s="194"/>
      <c r="G6" s="194"/>
      <c r="H6" s="194"/>
      <c r="I6" s="245"/>
      <c r="J6" s="245"/>
      <c r="K6" s="245"/>
      <c r="L6" s="194"/>
      <c r="M6" s="194"/>
      <c r="N6" s="194"/>
      <c r="O6" s="194"/>
      <c r="P6" s="194"/>
      <c r="Q6" s="194"/>
    </row>
    <row r="7" spans="1:18" ht="12" thickBot="1">
      <c r="A7" s="313" t="str">
        <f>'Weigh Sheet'!C12</f>
        <v>NBS 1575 Pine Needles</v>
      </c>
      <c r="B7" s="310" t="s">
        <v>214</v>
      </c>
      <c r="C7" s="320">
        <f>'ISIRF RAW'!E66</f>
        <v>0</v>
      </c>
      <c r="D7" s="321">
        <f>'ISIRF RAW'!F66</f>
        <v>0</v>
      </c>
      <c r="E7" s="194"/>
      <c r="F7" s="194"/>
      <c r="G7" s="194"/>
      <c r="H7" s="194"/>
      <c r="I7" s="245"/>
      <c r="J7" s="245"/>
      <c r="K7" s="245"/>
      <c r="L7" s="194"/>
      <c r="M7" s="194"/>
      <c r="N7" s="194"/>
      <c r="O7" s="194"/>
      <c r="P7" s="194"/>
      <c r="Q7" s="194"/>
    </row>
    <row r="8" spans="1:18" ht="12" thickBot="1">
      <c r="A8" s="243"/>
      <c r="B8" s="243"/>
      <c r="C8" s="243"/>
      <c r="D8" s="194"/>
      <c r="E8" s="194"/>
      <c r="F8" s="194"/>
      <c r="G8" s="194"/>
      <c r="H8" s="245"/>
      <c r="I8" s="245"/>
      <c r="J8" s="245"/>
      <c r="K8" s="194"/>
      <c r="L8" s="194"/>
      <c r="M8" s="194"/>
      <c r="N8" s="194"/>
      <c r="O8" s="194"/>
      <c r="P8" s="194"/>
      <c r="Q8" s="194"/>
    </row>
    <row r="9" spans="1:18">
      <c r="A9" s="247" t="s">
        <v>79</v>
      </c>
      <c r="B9" s="488"/>
      <c r="C9" s="489"/>
      <c r="D9" s="196"/>
      <c r="E9" s="196"/>
      <c r="F9" s="196"/>
      <c r="G9" s="196"/>
      <c r="H9" s="196"/>
      <c r="I9" s="248"/>
      <c r="J9" s="248"/>
      <c r="K9" s="248"/>
      <c r="L9" s="249"/>
      <c r="M9" s="194"/>
      <c r="N9" s="240"/>
      <c r="O9" s="333"/>
      <c r="P9" s="333"/>
      <c r="Q9" s="242"/>
      <c r="R9" s="242"/>
    </row>
    <row r="10" spans="1:18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226</v>
      </c>
      <c r="I10" s="250" t="s">
        <v>133</v>
      </c>
      <c r="J10" s="203" t="s">
        <v>67</v>
      </c>
      <c r="K10" s="203" t="s">
        <v>215</v>
      </c>
      <c r="L10" s="251" t="s">
        <v>97</v>
      </c>
      <c r="M10" s="194"/>
      <c r="N10" s="258"/>
      <c r="O10" s="333"/>
      <c r="P10" s="333"/>
      <c r="Q10" s="242"/>
      <c r="R10" s="242"/>
    </row>
    <row r="11" spans="1:18">
      <c r="A11" s="502">
        <f>'ISIRF RAW'!S8</f>
        <v>0</v>
      </c>
      <c r="B11" s="518">
        <f>'ISIRF RAW'!T8</f>
        <v>0</v>
      </c>
      <c r="C11" s="519"/>
      <c r="D11" s="448" t="str">
        <f>'ISIRF RAW'!A8</f>
        <v>ISIRF Ulva</v>
      </c>
      <c r="E11" s="205" t="s">
        <v>137</v>
      </c>
      <c r="F11" s="205">
        <f>'ISIRF RAW'!B8</f>
        <v>0</v>
      </c>
      <c r="G11" s="206">
        <f>'ISIRF RAW'!C8</f>
        <v>0</v>
      </c>
      <c r="H11" s="206">
        <f>'ISIRF RAW'!F8</f>
        <v>0</v>
      </c>
      <c r="I11" s="513">
        <f>'ISIRF RAW'!G8</f>
        <v>0</v>
      </c>
      <c r="J11" s="206">
        <f>'ISIRF RAW'!M8</f>
        <v>0</v>
      </c>
      <c r="K11" s="206">
        <f>'ISIRF RAW'!O8</f>
        <v>0</v>
      </c>
      <c r="L11" s="252"/>
      <c r="M11" s="194"/>
      <c r="N11" s="240"/>
      <c r="O11" s="334"/>
      <c r="P11" s="334"/>
      <c r="Q11" s="242"/>
      <c r="R11" s="242"/>
    </row>
    <row r="12" spans="1:18">
      <c r="A12" s="503">
        <f>'ISIRF RAW'!S21</f>
        <v>0</v>
      </c>
      <c r="B12" s="494">
        <f>'ISIRF RAW'!T21</f>
        <v>0</v>
      </c>
      <c r="C12" s="495"/>
      <c r="D12" s="205" t="str">
        <f>'ISIRF RAW'!A21</f>
        <v>ISIRF Ulva</v>
      </c>
      <c r="E12" s="205" t="s">
        <v>137</v>
      </c>
      <c r="F12" s="205">
        <f>'ISIRF RAW'!B21</f>
        <v>0</v>
      </c>
      <c r="G12" s="206">
        <f>'ISIRF RAW'!C21</f>
        <v>0</v>
      </c>
      <c r="H12" s="206">
        <f>'ISIRF RAW'!F21</f>
        <v>0</v>
      </c>
      <c r="I12" s="513">
        <f>'ISIRF RAW'!G21</f>
        <v>0</v>
      </c>
      <c r="J12" s="206">
        <f>'ISIRF RAW'!M21</f>
        <v>0</v>
      </c>
      <c r="K12" s="206">
        <f>'ISIRF RAW'!O21</f>
        <v>0</v>
      </c>
      <c r="L12" s="253"/>
      <c r="M12" s="194"/>
      <c r="N12" s="240"/>
      <c r="O12" s="334"/>
      <c r="P12" s="334"/>
      <c r="Q12" s="242"/>
      <c r="R12" s="242"/>
    </row>
    <row r="13" spans="1:18">
      <c r="A13" s="503">
        <f>'ISIRF RAW'!S33</f>
        <v>0</v>
      </c>
      <c r="B13" s="494">
        <f>'ISIRF RAW'!T33</f>
        <v>0</v>
      </c>
      <c r="C13" s="495"/>
      <c r="D13" s="205" t="str">
        <f>'ISIRF RAW'!A33</f>
        <v>ISIRF Ulva</v>
      </c>
      <c r="E13" s="205" t="s">
        <v>137</v>
      </c>
      <c r="F13" s="205">
        <f>'ISIRF RAW'!B33</f>
        <v>0</v>
      </c>
      <c r="G13" s="206">
        <f>'ISIRF RAW'!C33</f>
        <v>0</v>
      </c>
      <c r="H13" s="206">
        <f>'ISIRF RAW'!F33</f>
        <v>0</v>
      </c>
      <c r="I13" s="513">
        <f>'ISIRF RAW'!G33</f>
        <v>0</v>
      </c>
      <c r="J13" s="206">
        <f>'ISIRF RAW'!M33</f>
        <v>0</v>
      </c>
      <c r="K13" s="206">
        <f>'ISIRF RAW'!O33</f>
        <v>0</v>
      </c>
      <c r="L13" s="253"/>
      <c r="M13" s="194"/>
      <c r="N13" s="240"/>
      <c r="O13" s="334"/>
      <c r="P13" s="334"/>
      <c r="Q13" s="242"/>
      <c r="R13" s="242"/>
    </row>
    <row r="14" spans="1:18">
      <c r="A14" s="503">
        <f>'ISIRF RAW'!S46</f>
        <v>0</v>
      </c>
      <c r="B14" s="494">
        <f>'ISIRF RAW'!T46</f>
        <v>0</v>
      </c>
      <c r="C14" s="495"/>
      <c r="D14" s="205" t="str">
        <f>'ISIRF RAW'!A46</f>
        <v>ISIRF Ulva</v>
      </c>
      <c r="E14" s="205" t="s">
        <v>137</v>
      </c>
      <c r="F14" s="205">
        <f>'ISIRF RAW'!B46</f>
        <v>0</v>
      </c>
      <c r="G14" s="206">
        <f>'ISIRF RAW'!C46</f>
        <v>0</v>
      </c>
      <c r="H14" s="206">
        <f>'ISIRF RAW'!F46</f>
        <v>0</v>
      </c>
      <c r="I14" s="513">
        <f>'ISIRF RAW'!G46</f>
        <v>0</v>
      </c>
      <c r="J14" s="206">
        <f>'ISIRF RAW'!M46</f>
        <v>0</v>
      </c>
      <c r="K14" s="206">
        <f>'ISIRF RAW'!O46</f>
        <v>0</v>
      </c>
      <c r="L14" s="253"/>
      <c r="M14" s="194"/>
      <c r="N14" s="240"/>
      <c r="O14" s="334"/>
      <c r="P14" s="334"/>
      <c r="Q14" s="242"/>
      <c r="R14" s="242"/>
    </row>
    <row r="15" spans="1:18">
      <c r="A15" s="504">
        <f>'ISIRF RAW'!S58</f>
        <v>0</v>
      </c>
      <c r="B15" s="496">
        <f>'ISIRF RAW'!T58</f>
        <v>0</v>
      </c>
      <c r="C15" s="497"/>
      <c r="D15" s="514" t="str">
        <f>'ISIRF RAW'!A58</f>
        <v>ISIRF Ulva</v>
      </c>
      <c r="E15" s="514" t="s">
        <v>137</v>
      </c>
      <c r="F15" s="514">
        <f>'ISIRF RAW'!B58</f>
        <v>0</v>
      </c>
      <c r="G15" s="515">
        <f>'ISIRF RAW'!C58</f>
        <v>0</v>
      </c>
      <c r="H15" s="515">
        <f>'ISIRF RAW'!F58</f>
        <v>0</v>
      </c>
      <c r="I15" s="516">
        <f>'ISIRF RAW'!G58</f>
        <v>0</v>
      </c>
      <c r="J15" s="515">
        <f>'ISIRF RAW'!M58</f>
        <v>0</v>
      </c>
      <c r="K15" s="515">
        <f>'ISIRF RAW'!O58</f>
        <v>0</v>
      </c>
      <c r="L15" s="517"/>
      <c r="M15" s="194"/>
      <c r="N15" s="337"/>
      <c r="O15" s="334"/>
      <c r="P15" s="334"/>
      <c r="Q15" s="242"/>
      <c r="R15" s="242"/>
    </row>
    <row r="16" spans="1:18">
      <c r="A16" s="505">
        <f>'ISIRF RAW'!S9</f>
        <v>0</v>
      </c>
      <c r="B16" s="498">
        <f>'ISIRF RAW'!T9</f>
        <v>0</v>
      </c>
      <c r="C16" s="499"/>
      <c r="D16" s="205" t="str">
        <f>'ISIRF RAW'!A9</f>
        <v>ISIRF Chitin</v>
      </c>
      <c r="E16" s="205" t="s">
        <v>129</v>
      </c>
      <c r="F16" s="205">
        <f>'ISIRF RAW'!B9</f>
        <v>0</v>
      </c>
      <c r="G16" s="206">
        <f>'ISIRF RAW'!C9</f>
        <v>0</v>
      </c>
      <c r="H16" s="206">
        <f>'ISIRF RAW'!F9</f>
        <v>0</v>
      </c>
      <c r="I16" s="513">
        <f>'ISIRF RAW'!G9</f>
        <v>0</v>
      </c>
      <c r="J16" s="206">
        <f>'ISIRF RAW'!M9</f>
        <v>0</v>
      </c>
      <c r="K16" s="206">
        <f>'ISIRF RAW'!O9</f>
        <v>0</v>
      </c>
      <c r="L16" s="252"/>
      <c r="M16" s="194"/>
      <c r="N16" s="337"/>
      <c r="O16" s="334"/>
      <c r="P16" s="334"/>
      <c r="Q16" s="242"/>
      <c r="R16" s="242"/>
    </row>
    <row r="17" spans="1:18">
      <c r="A17" s="503">
        <f>'ISIRF RAW'!S34</f>
        <v>0</v>
      </c>
      <c r="B17" s="494">
        <f>'ISIRF RAW'!T34</f>
        <v>0</v>
      </c>
      <c r="C17" s="495"/>
      <c r="D17" s="207" t="str">
        <f>'ISIRF RAW'!A34</f>
        <v>ISIRF Chitin</v>
      </c>
      <c r="E17" s="207" t="s">
        <v>129</v>
      </c>
      <c r="F17" s="205">
        <f>'ISIRF RAW'!B34</f>
        <v>0</v>
      </c>
      <c r="G17" s="206">
        <f>'ISIRF RAW'!C34</f>
        <v>0</v>
      </c>
      <c r="H17" s="206">
        <f>'ISIRF RAW'!F34</f>
        <v>0</v>
      </c>
      <c r="I17" s="513">
        <f>'ISIRF RAW'!G34</f>
        <v>0</v>
      </c>
      <c r="J17" s="206">
        <f>'ISIRF RAW'!M34</f>
        <v>0</v>
      </c>
      <c r="K17" s="206">
        <f>'ISIRF RAW'!O34</f>
        <v>0</v>
      </c>
      <c r="L17" s="253"/>
      <c r="M17" s="194"/>
      <c r="N17" s="335"/>
      <c r="O17" s="335"/>
      <c r="P17" s="335"/>
      <c r="Q17" s="242"/>
      <c r="R17" s="242"/>
    </row>
    <row r="18" spans="1:18">
      <c r="A18" s="504">
        <f>'ISIRF RAW'!S59</f>
        <v>0</v>
      </c>
      <c r="B18" s="496">
        <f>'ISIRF RAW'!T59</f>
        <v>0</v>
      </c>
      <c r="C18" s="497"/>
      <c r="D18" s="514" t="str">
        <f>'ISIRF RAW'!A59</f>
        <v>ISIRF Chitin</v>
      </c>
      <c r="E18" s="514" t="s">
        <v>129</v>
      </c>
      <c r="F18" s="520">
        <f>'ISIRF RAW'!B59</f>
        <v>0</v>
      </c>
      <c r="G18" s="521">
        <f>'ISIRF RAW'!C59</f>
        <v>0</v>
      </c>
      <c r="H18" s="521">
        <f>'ISIRF RAW'!F59</f>
        <v>0</v>
      </c>
      <c r="I18" s="522">
        <f>'ISIRF RAW'!G59</f>
        <v>0</v>
      </c>
      <c r="J18" s="521">
        <f>'ISIRF RAW'!M59</f>
        <v>0</v>
      </c>
      <c r="K18" s="521">
        <f>'ISIRF RAW'!O59</f>
        <v>0</v>
      </c>
      <c r="L18" s="517"/>
      <c r="M18" s="194"/>
      <c r="N18" s="335"/>
      <c r="O18" s="335"/>
      <c r="P18" s="335"/>
      <c r="Q18" s="242"/>
      <c r="R18" s="242"/>
    </row>
    <row r="19" spans="1:18">
      <c r="A19" s="505">
        <f>'ISIRF RAW'!S10</f>
        <v>0</v>
      </c>
      <c r="B19" s="498">
        <f>'ISIRF RAW'!T10</f>
        <v>0</v>
      </c>
      <c r="C19" s="499"/>
      <c r="D19" s="205" t="str">
        <f>'ISIRF RAW'!A10</f>
        <v>ISIRF Bamboo</v>
      </c>
      <c r="E19" s="205" t="s">
        <v>130</v>
      </c>
      <c r="F19" s="205">
        <f>'ISIRF RAW'!B10</f>
        <v>0</v>
      </c>
      <c r="G19" s="206">
        <f>'ISIRF RAW'!C10</f>
        <v>0</v>
      </c>
      <c r="H19" s="206">
        <f>'ISIRF RAW'!F10</f>
        <v>0</v>
      </c>
      <c r="I19" s="513">
        <f>'ISIRF RAW'!G10</f>
        <v>0</v>
      </c>
      <c r="J19" s="206">
        <f>'ISIRF RAW'!M10</f>
        <v>0</v>
      </c>
      <c r="K19" s="206">
        <f>'ISIRF RAW'!O10</f>
        <v>0</v>
      </c>
      <c r="L19" s="252"/>
      <c r="M19" s="194"/>
      <c r="N19" s="333"/>
      <c r="O19" s="335"/>
      <c r="P19" s="335"/>
      <c r="Q19" s="242"/>
      <c r="R19" s="242"/>
    </row>
    <row r="20" spans="1:18">
      <c r="A20" s="503">
        <f>'ISIRF RAW'!S35</f>
        <v>0</v>
      </c>
      <c r="B20" s="494">
        <f>'ISIRF RAW'!T35</f>
        <v>0</v>
      </c>
      <c r="C20" s="495"/>
      <c r="D20" s="207" t="str">
        <f>'ISIRF RAW'!A35</f>
        <v>ISIRF Bamboo</v>
      </c>
      <c r="E20" s="207" t="s">
        <v>130</v>
      </c>
      <c r="F20" s="205">
        <f>'ISIRF RAW'!B35</f>
        <v>0</v>
      </c>
      <c r="G20" s="206">
        <f>'ISIRF RAW'!C35</f>
        <v>0</v>
      </c>
      <c r="H20" s="206">
        <f>'ISIRF RAW'!F35</f>
        <v>0</v>
      </c>
      <c r="I20" s="513">
        <f>'ISIRF RAW'!G35</f>
        <v>0</v>
      </c>
      <c r="J20" s="206">
        <f>'ISIRF RAW'!M35</f>
        <v>0</v>
      </c>
      <c r="K20" s="206">
        <f>'ISIRF RAW'!O35</f>
        <v>0</v>
      </c>
      <c r="L20" s="253"/>
      <c r="M20" s="194"/>
      <c r="N20" s="242"/>
      <c r="O20" s="242"/>
      <c r="P20" s="242"/>
      <c r="Q20" s="242"/>
      <c r="R20" s="242"/>
    </row>
    <row r="21" spans="1:18">
      <c r="A21" s="504">
        <f>'ISIRF RAW'!S60</f>
        <v>0</v>
      </c>
      <c r="B21" s="496">
        <f>'ISIRF RAW'!T60</f>
        <v>0</v>
      </c>
      <c r="C21" s="497"/>
      <c r="D21" s="514" t="str">
        <f>'ISIRF RAW'!A60</f>
        <v>ISIRF Bamboo</v>
      </c>
      <c r="E21" s="514" t="s">
        <v>130</v>
      </c>
      <c r="F21" s="520">
        <f>'ISIRF RAW'!B60</f>
        <v>0</v>
      </c>
      <c r="G21" s="521">
        <f>'ISIRF RAW'!C60</f>
        <v>0</v>
      </c>
      <c r="H21" s="521">
        <f>'ISIRF RAW'!F60</f>
        <v>0</v>
      </c>
      <c r="I21" s="522">
        <f>'ISIRF RAW'!G60</f>
        <v>0</v>
      </c>
      <c r="J21" s="521">
        <f>'ISIRF RAW'!M60</f>
        <v>0</v>
      </c>
      <c r="K21" s="521">
        <f>'ISIRF RAW'!O60</f>
        <v>0</v>
      </c>
      <c r="L21" s="517"/>
      <c r="M21" s="194"/>
      <c r="N21" s="242"/>
      <c r="O21" s="242"/>
      <c r="P21" s="242"/>
      <c r="Q21" s="242"/>
      <c r="R21" s="242"/>
    </row>
    <row r="22" spans="1:18">
      <c r="A22" s="505">
        <f>'ISIRF RAW'!S11</f>
        <v>0</v>
      </c>
      <c r="B22" s="498">
        <f>'ISIRF RAW'!T11</f>
        <v>0</v>
      </c>
      <c r="C22" s="499"/>
      <c r="D22" s="205" t="str">
        <f>'ISIRF RAW'!A11</f>
        <v>NBS 1575 Pine Needles</v>
      </c>
      <c r="E22" s="205" t="s">
        <v>130</v>
      </c>
      <c r="F22" s="205">
        <f>'ISIRF RAW'!B11</f>
        <v>0</v>
      </c>
      <c r="G22" s="206">
        <f>'ISIRF RAW'!C11</f>
        <v>0</v>
      </c>
      <c r="H22" s="206">
        <f>'ISIRF RAW'!F11</f>
        <v>0</v>
      </c>
      <c r="I22" s="513">
        <f>'ISIRF RAW'!G11</f>
        <v>0</v>
      </c>
      <c r="J22" s="206">
        <f>'ISIRF RAW'!M11</f>
        <v>0</v>
      </c>
      <c r="K22" s="206">
        <f>'ISIRF RAW'!O11</f>
        <v>0</v>
      </c>
      <c r="L22" s="252"/>
      <c r="M22" s="194"/>
      <c r="N22" s="242"/>
      <c r="O22" s="242"/>
      <c r="P22" s="242"/>
      <c r="Q22" s="242"/>
      <c r="R22" s="242"/>
    </row>
    <row r="23" spans="1:18">
      <c r="A23" s="503">
        <f>'ISIRF RAW'!S36</f>
        <v>0</v>
      </c>
      <c r="B23" s="494">
        <f>'ISIRF RAW'!T36</f>
        <v>0</v>
      </c>
      <c r="C23" s="495"/>
      <c r="D23" s="207" t="str">
        <f>'ISIRF RAW'!A36</f>
        <v>NBS 1575 Pine Needles</v>
      </c>
      <c r="E23" s="207" t="s">
        <v>130</v>
      </c>
      <c r="F23" s="205">
        <f>'ISIRF RAW'!B36</f>
        <v>0</v>
      </c>
      <c r="G23" s="206">
        <f>'ISIRF RAW'!C36</f>
        <v>0</v>
      </c>
      <c r="H23" s="206">
        <f>'ISIRF RAW'!F36</f>
        <v>0</v>
      </c>
      <c r="I23" s="513">
        <f>'ISIRF RAW'!G36</f>
        <v>0</v>
      </c>
      <c r="J23" s="206">
        <f>'ISIRF RAW'!M36</f>
        <v>0</v>
      </c>
      <c r="K23" s="206">
        <f>'ISIRF RAW'!O36</f>
        <v>0</v>
      </c>
      <c r="L23" s="253"/>
      <c r="M23" s="194"/>
      <c r="N23" s="242"/>
      <c r="O23" s="242"/>
      <c r="P23" s="242"/>
      <c r="Q23" s="242"/>
      <c r="R23" s="242"/>
    </row>
    <row r="24" spans="1:18" ht="12" thickBot="1">
      <c r="A24" s="506">
        <f>'ISIRF RAW'!S61</f>
        <v>0</v>
      </c>
      <c r="B24" s="500">
        <f>'ISIRF RAW'!T61</f>
        <v>0</v>
      </c>
      <c r="C24" s="501"/>
      <c r="D24" s="539" t="str">
        <f>'ISIRF RAW'!A61</f>
        <v>NBS 1575 Pine Needles</v>
      </c>
      <c r="E24" s="539" t="s">
        <v>130</v>
      </c>
      <c r="F24" s="540">
        <f>'ISIRF RAW'!B61</f>
        <v>0</v>
      </c>
      <c r="G24" s="541">
        <f>'ISIRF RAW'!C61</f>
        <v>0</v>
      </c>
      <c r="H24" s="541">
        <f>'ISIRF RAW'!F61</f>
        <v>0</v>
      </c>
      <c r="I24" s="542">
        <f>'ISIRF RAW'!G61</f>
        <v>0</v>
      </c>
      <c r="J24" s="541">
        <f>'ISIRF RAW'!M61</f>
        <v>0</v>
      </c>
      <c r="K24" s="541">
        <f>'ISIRF RAW'!O61</f>
        <v>0</v>
      </c>
      <c r="L24" s="543"/>
      <c r="M24" s="194"/>
      <c r="N24" s="242"/>
      <c r="O24" s="242"/>
      <c r="P24" s="242"/>
      <c r="Q24" s="242"/>
      <c r="R24" s="242"/>
    </row>
    <row r="25" spans="1:18" ht="12" thickBot="1">
      <c r="A25" s="194"/>
      <c r="B25" s="194"/>
      <c r="C25" s="194"/>
      <c r="D25" s="194"/>
      <c r="E25" s="194"/>
      <c r="F25" s="194"/>
      <c r="G25" s="194"/>
      <c r="H25" s="245"/>
      <c r="I25" s="245"/>
      <c r="J25" s="245"/>
      <c r="K25" s="194"/>
      <c r="L25" s="194"/>
      <c r="M25" s="194"/>
      <c r="N25" s="194"/>
      <c r="O25" s="194"/>
      <c r="P25" s="194"/>
      <c r="Q25" s="194"/>
    </row>
    <row r="26" spans="1:18">
      <c r="A26" s="212" t="s">
        <v>69</v>
      </c>
      <c r="B26" s="254" t="s">
        <v>4</v>
      </c>
      <c r="C26" s="255"/>
      <c r="D26" s="256"/>
      <c r="E26" s="254" t="s">
        <v>6</v>
      </c>
      <c r="F26" s="255"/>
      <c r="G26" s="256"/>
      <c r="H26" s="257" t="s">
        <v>2</v>
      </c>
      <c r="I26" s="241"/>
      <c r="J26" s="258"/>
      <c r="K26" s="258"/>
      <c r="L26" s="194"/>
      <c r="M26" s="194"/>
      <c r="N26" s="194"/>
      <c r="O26" s="194"/>
      <c r="P26" s="194"/>
      <c r="Q26" s="194"/>
    </row>
    <row r="27" spans="1:18" ht="12" thickBot="1">
      <c r="A27" s="219"/>
      <c r="B27" s="259" t="s">
        <v>131</v>
      </c>
      <c r="C27" s="260" t="s">
        <v>134</v>
      </c>
      <c r="D27" s="261" t="s">
        <v>5</v>
      </c>
      <c r="E27" s="259" t="s">
        <v>1</v>
      </c>
      <c r="F27" s="260" t="s">
        <v>134</v>
      </c>
      <c r="G27" s="261" t="s">
        <v>232</v>
      </c>
      <c r="H27" s="262" t="s">
        <v>3</v>
      </c>
      <c r="I27" s="241"/>
      <c r="J27" s="258"/>
      <c r="K27" s="258"/>
      <c r="L27" s="194"/>
      <c r="M27" s="194"/>
      <c r="N27" s="194"/>
      <c r="O27" s="194"/>
      <c r="P27" s="194"/>
      <c r="Q27" s="194"/>
    </row>
    <row r="28" spans="1:18" ht="12" thickTop="1">
      <c r="A28" s="224" t="s">
        <v>25</v>
      </c>
      <c r="B28" s="263" t="e">
        <f>AVERAGE('ISIRF RAW'!O12,'ISIRF RAW'!O56)</f>
        <v>#DIV/0!</v>
      </c>
      <c r="C28" s="264" t="e">
        <f>VAR('ISIRF RAW'!O12,'ISIRF RAW'!O56)</f>
        <v>#DIV/0!</v>
      </c>
      <c r="D28" s="425" t="e">
        <f>STDEV('ISIRF RAW'!O12,'ISIRF RAW'!O56)</f>
        <v>#DIV/0!</v>
      </c>
      <c r="E28" s="265" t="e">
        <f>AVERAGE('ISIRF RAW'!M12,'ISIRF RAW'!M56)</f>
        <v>#DIV/0!</v>
      </c>
      <c r="F28" s="265" t="e">
        <f>VAR('ISIRF RAW'!M12,'ISIRF RAW'!M56)</f>
        <v>#DIV/0!</v>
      </c>
      <c r="G28" s="425" t="e">
        <f>(STDEV('ISIRF RAW'!M12,'ISIRF RAW'!M56))/E28</f>
        <v>#DIV/0!</v>
      </c>
      <c r="H28" s="228">
        <f>COUNT('ISIRF RAW'!M12,'ISIRF RAW'!M56)</f>
        <v>0</v>
      </c>
      <c r="I28" s="243"/>
      <c r="J28" s="242"/>
      <c r="K28" s="242"/>
      <c r="L28" s="194"/>
      <c r="M28" s="194"/>
      <c r="N28" s="194"/>
      <c r="O28" s="194"/>
      <c r="P28" s="194"/>
      <c r="Q28" s="194"/>
    </row>
    <row r="29" spans="1:18" ht="12" thickBot="1">
      <c r="A29" s="224" t="s">
        <v>26</v>
      </c>
      <c r="B29" s="266" t="e">
        <f>AVERAGE('ISIRF RAW'!O26:O27)</f>
        <v>#DIV/0!</v>
      </c>
      <c r="C29" s="264" t="e">
        <f>VAR('ISIRF RAW'!O26:O27)</f>
        <v>#DIV/0!</v>
      </c>
      <c r="D29" s="425" t="e">
        <f>STDEV('ISIRF RAW'!O26:O27)</f>
        <v>#DIV/0!</v>
      </c>
      <c r="E29" s="265" t="e">
        <f>AVERAGE('ISIRF RAW'!M26:M27)</f>
        <v>#DIV/0!</v>
      </c>
      <c r="F29" s="265" t="e">
        <f>VAR('ISIRF RAW'!M26:M27)</f>
        <v>#DIV/0!</v>
      </c>
      <c r="G29" s="425" t="e">
        <f>(STDEV('ISIRF RAW'!M26:M27))/E29</f>
        <v>#DIV/0!</v>
      </c>
      <c r="H29" s="230">
        <f>COUNT('ISIRF RAW'!M26:M27)</f>
        <v>0</v>
      </c>
      <c r="I29" s="243"/>
      <c r="J29" s="242"/>
      <c r="K29" s="242"/>
      <c r="L29" s="194"/>
      <c r="M29" s="194"/>
      <c r="N29" s="194"/>
      <c r="O29" s="194"/>
      <c r="P29" s="194"/>
      <c r="Q29" s="194"/>
    </row>
    <row r="30" spans="1:18" ht="12" thickTop="1">
      <c r="A30" s="231" t="str">
        <f>B4</f>
        <v>QC.STD</v>
      </c>
      <c r="B30" s="263">
        <f>AVERAGE(K11:K15)</f>
        <v>0</v>
      </c>
      <c r="C30" s="426">
        <f>VAR(K11:K15)</f>
        <v>0</v>
      </c>
      <c r="D30" s="268">
        <f>STDEV(K11:K15)</f>
        <v>0</v>
      </c>
      <c r="E30" s="267">
        <f>AVERAGE(J11:J15)</f>
        <v>0</v>
      </c>
      <c r="F30" s="263">
        <f>VAR(J11:J15)</f>
        <v>0</v>
      </c>
      <c r="G30" s="268" t="e">
        <f>(STDEV(J11:J15))/E30</f>
        <v>#DIV/0!</v>
      </c>
      <c r="H30" s="234">
        <f>COUNT(J11:J15)</f>
        <v>5</v>
      </c>
      <c r="I30" s="194"/>
      <c r="J30" s="194"/>
      <c r="K30" s="194"/>
      <c r="L30" s="194"/>
      <c r="M30" s="194"/>
      <c r="N30" s="194"/>
      <c r="O30" s="194"/>
      <c r="P30" s="194"/>
      <c r="Q30" s="194"/>
    </row>
    <row r="31" spans="1:18">
      <c r="A31" s="269" t="str">
        <f t="shared" ref="A31:A33" si="0">B5</f>
        <v>Cal-H.STD</v>
      </c>
      <c r="B31" s="266">
        <f>AVERAGE(K16:K18)</f>
        <v>0</v>
      </c>
      <c r="C31" s="427">
        <f>VAR(K16:K18)</f>
        <v>0</v>
      </c>
      <c r="D31" s="271">
        <f>STDEV(K16:K18)</f>
        <v>0</v>
      </c>
      <c r="E31" s="270">
        <f>AVERAGE(J16:J18)</f>
        <v>0</v>
      </c>
      <c r="F31" s="266">
        <f>VAR(J16:J18)</f>
        <v>0</v>
      </c>
      <c r="G31" s="271" t="e">
        <f>(STDEV(J16:J18))/E31</f>
        <v>#DIV/0!</v>
      </c>
      <c r="H31" s="230">
        <f>COUNT(J16:J18)</f>
        <v>3</v>
      </c>
      <c r="I31" s="194"/>
      <c r="J31" s="194"/>
      <c r="K31" s="194"/>
      <c r="L31" s="194"/>
      <c r="M31" s="194"/>
      <c r="N31" s="194"/>
      <c r="O31" s="194"/>
      <c r="P31" s="194"/>
      <c r="Q31" s="194"/>
    </row>
    <row r="32" spans="1:18" ht="12" thickBot="1">
      <c r="A32" s="523" t="str">
        <f t="shared" si="0"/>
        <v>Cal-L.STD</v>
      </c>
      <c r="B32" s="524">
        <f>AVERAGE(K19:K21)</f>
        <v>0</v>
      </c>
      <c r="C32" s="525">
        <f>VAR(K19:K21)</f>
        <v>0</v>
      </c>
      <c r="D32" s="526">
        <f>STDEV(K19:K21)</f>
        <v>0</v>
      </c>
      <c r="E32" s="524">
        <f>AVERAGE(J19:J21)</f>
        <v>0</v>
      </c>
      <c r="F32" s="524">
        <f>VAR(J19:J21)</f>
        <v>0</v>
      </c>
      <c r="G32" s="526" t="e">
        <f>(STDEV(J19:J21))/E32</f>
        <v>#DIV/0!</v>
      </c>
      <c r="H32" s="527">
        <f>COUNT(J19:J21)</f>
        <v>3</v>
      </c>
      <c r="I32" s="194"/>
      <c r="J32" s="194"/>
      <c r="K32" s="194"/>
      <c r="L32" s="194"/>
      <c r="M32" s="194"/>
      <c r="N32" s="273"/>
      <c r="O32" s="194"/>
      <c r="P32" s="194"/>
      <c r="Q32" s="194"/>
    </row>
    <row r="33" spans="1:17" ht="12.5" thickTop="1" thickBot="1">
      <c r="A33" s="528" t="str">
        <f t="shared" si="0"/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72"/>
      <c r="J33" s="272"/>
      <c r="K33" s="273"/>
      <c r="L33" s="273"/>
      <c r="M33" s="273"/>
      <c r="N33" s="194"/>
      <c r="O33" s="194"/>
      <c r="P33" s="194"/>
      <c r="Q33" s="194"/>
    </row>
    <row r="34" spans="1:17">
      <c r="A34" s="194"/>
      <c r="B34" s="194"/>
      <c r="C34" s="194"/>
      <c r="D34" s="194"/>
      <c r="E34" s="194"/>
      <c r="F34" s="194"/>
      <c r="G34" s="194"/>
      <c r="H34" s="245"/>
      <c r="I34" s="245"/>
      <c r="J34" s="245"/>
      <c r="K34" s="194"/>
      <c r="L34" s="194"/>
      <c r="M34" s="194"/>
      <c r="N34" s="194"/>
      <c r="O34" s="194"/>
      <c r="P34" s="194"/>
      <c r="Q34" s="194"/>
    </row>
    <row r="35" spans="1:17">
      <c r="A35" s="194"/>
      <c r="B35" s="274" t="s">
        <v>96</v>
      </c>
      <c r="C35" s="194"/>
      <c r="D35" s="194"/>
      <c r="E35" s="194"/>
      <c r="F35" s="194"/>
      <c r="G35" s="194"/>
      <c r="H35" s="245"/>
      <c r="I35" s="245"/>
      <c r="J35" s="245"/>
      <c r="K35" s="194"/>
      <c r="L35" s="194"/>
      <c r="M35" s="194"/>
      <c r="N35" s="194"/>
      <c r="O35" s="194"/>
      <c r="P35" s="194"/>
      <c r="Q35" s="194"/>
    </row>
    <row r="36" spans="1:17">
      <c r="A36" s="194"/>
      <c r="B36" s="194"/>
      <c r="C36" s="194"/>
      <c r="D36" s="194"/>
      <c r="E36" s="194"/>
      <c r="F36" s="194"/>
      <c r="G36" s="194"/>
      <c r="H36" s="245"/>
      <c r="I36" s="245"/>
      <c r="J36" s="245"/>
      <c r="K36" s="194"/>
      <c r="L36" s="194"/>
      <c r="M36" s="194"/>
      <c r="N36" s="194"/>
      <c r="O36" s="194"/>
      <c r="P36" s="194"/>
      <c r="Q36" s="194"/>
    </row>
    <row r="37" spans="1:17">
      <c r="A37" s="194"/>
      <c r="B37" s="194"/>
      <c r="C37" s="194"/>
      <c r="D37" s="194"/>
      <c r="E37" s="194"/>
      <c r="F37" s="194"/>
      <c r="G37" s="194"/>
      <c r="H37" s="245"/>
      <c r="I37" s="245"/>
      <c r="J37" s="245"/>
      <c r="K37" s="194"/>
      <c r="L37" s="194"/>
      <c r="M37" s="194"/>
      <c r="N37" s="194"/>
      <c r="O37" s="194"/>
      <c r="P37" s="194"/>
      <c r="Q37" s="194"/>
    </row>
    <row r="38" spans="1:17">
      <c r="A38" s="194"/>
      <c r="B38" s="194"/>
      <c r="C38" s="194"/>
      <c r="D38" s="194"/>
      <c r="E38" s="194"/>
      <c r="F38" s="194"/>
      <c r="G38" s="194"/>
      <c r="H38" s="245"/>
      <c r="I38" s="245"/>
      <c r="J38" s="245"/>
      <c r="K38" s="194"/>
      <c r="L38" s="194"/>
      <c r="M38" s="194"/>
      <c r="N38" s="194"/>
      <c r="O38" s="194"/>
      <c r="P38" s="194"/>
      <c r="Q38" s="194"/>
    </row>
    <row r="39" spans="1:17">
      <c r="A39" s="194"/>
      <c r="B39" s="194"/>
      <c r="C39" s="194"/>
      <c r="D39" s="194"/>
      <c r="E39" s="194"/>
      <c r="F39" s="194"/>
      <c r="G39" s="194"/>
      <c r="H39" s="245"/>
      <c r="I39" s="245"/>
      <c r="J39" s="245"/>
      <c r="K39" s="194"/>
      <c r="L39" s="194"/>
      <c r="M39" s="194"/>
      <c r="N39" s="194"/>
      <c r="O39" s="194"/>
      <c r="P39" s="194"/>
      <c r="Q39" s="194"/>
    </row>
    <row r="40" spans="1:17">
      <c r="A40" s="194"/>
      <c r="B40" s="194"/>
      <c r="C40" s="194"/>
      <c r="D40" s="194"/>
      <c r="E40" s="194"/>
      <c r="F40" s="194"/>
      <c r="G40" s="194"/>
      <c r="H40" s="245"/>
      <c r="I40" s="245"/>
      <c r="J40" s="245"/>
      <c r="K40" s="194"/>
      <c r="L40" s="194"/>
      <c r="M40" s="194"/>
      <c r="N40" s="194"/>
      <c r="O40" s="194"/>
      <c r="P40" s="194"/>
      <c r="Q40" s="194"/>
    </row>
    <row r="41" spans="1:17">
      <c r="A41" s="194"/>
      <c r="B41" s="194"/>
      <c r="C41" s="194"/>
      <c r="D41" s="194"/>
      <c r="E41" s="194"/>
      <c r="F41" s="194"/>
      <c r="G41" s="194"/>
      <c r="H41" s="245"/>
      <c r="I41" s="245"/>
      <c r="J41" s="245"/>
      <c r="K41" s="194"/>
      <c r="L41" s="194"/>
      <c r="M41" s="194"/>
      <c r="N41" s="194"/>
      <c r="O41" s="194"/>
      <c r="P41" s="194"/>
      <c r="Q41" s="194"/>
    </row>
    <row r="42" spans="1:17">
      <c r="A42" s="194"/>
      <c r="B42" s="194"/>
      <c r="C42" s="194"/>
      <c r="D42" s="194"/>
      <c r="E42" s="194"/>
      <c r="F42" s="194"/>
      <c r="G42" s="194"/>
      <c r="H42" s="245"/>
      <c r="I42" s="245"/>
      <c r="J42" s="245"/>
      <c r="K42" s="194"/>
      <c r="L42" s="194"/>
      <c r="M42" s="194"/>
      <c r="N42" s="194"/>
      <c r="O42" s="194"/>
      <c r="P42" s="194"/>
      <c r="Q42" s="194"/>
    </row>
    <row r="43" spans="1:17">
      <c r="A43" s="194"/>
      <c r="B43" s="194"/>
      <c r="C43" s="194"/>
      <c r="D43" s="194"/>
      <c r="E43" s="194"/>
      <c r="F43" s="194"/>
      <c r="G43" s="194"/>
      <c r="H43" s="245"/>
      <c r="I43" s="245"/>
      <c r="J43" s="245"/>
      <c r="K43" s="194"/>
      <c r="L43" s="194"/>
      <c r="M43" s="194"/>
      <c r="N43" s="194"/>
      <c r="O43" s="194"/>
      <c r="P43" s="194"/>
      <c r="Q43" s="194"/>
    </row>
    <row r="44" spans="1:17">
      <c r="A44" s="194"/>
      <c r="B44" s="194"/>
      <c r="C44" s="194"/>
      <c r="D44" s="194"/>
      <c r="E44" s="194"/>
      <c r="F44" s="194"/>
      <c r="G44" s="194"/>
      <c r="H44" s="245"/>
      <c r="I44" s="245"/>
      <c r="J44" s="245"/>
      <c r="K44" s="194"/>
      <c r="L44" s="194"/>
      <c r="M44" s="194"/>
      <c r="N44" s="194"/>
      <c r="O44" s="194"/>
      <c r="P44" s="194"/>
      <c r="Q44" s="194"/>
    </row>
    <row r="45" spans="1:17">
      <c r="A45" s="194"/>
      <c r="B45" s="194"/>
      <c r="C45" s="194"/>
      <c r="D45" s="194"/>
      <c r="E45" s="194"/>
      <c r="F45" s="194"/>
      <c r="G45" s="194"/>
      <c r="H45" s="245"/>
      <c r="I45" s="245"/>
      <c r="J45" s="245"/>
      <c r="K45" s="194"/>
      <c r="L45" s="194"/>
      <c r="M45" s="194"/>
      <c r="N45" s="194"/>
      <c r="O45" s="194"/>
      <c r="P45" s="194"/>
      <c r="Q45" s="194"/>
    </row>
    <row r="46" spans="1:17">
      <c r="A46" s="194"/>
      <c r="B46" s="194"/>
      <c r="C46" s="194"/>
      <c r="D46" s="194"/>
      <c r="E46" s="194"/>
      <c r="F46" s="194"/>
      <c r="G46" s="194"/>
      <c r="H46" s="245"/>
      <c r="I46" s="245"/>
      <c r="J46" s="245"/>
      <c r="K46" s="194"/>
      <c r="L46" s="194"/>
      <c r="M46" s="194"/>
      <c r="N46" s="194"/>
      <c r="O46" s="194"/>
      <c r="P46" s="194"/>
      <c r="Q46" s="194"/>
    </row>
    <row r="47" spans="1:17">
      <c r="A47" s="194"/>
      <c r="B47" s="194"/>
      <c r="C47" s="194"/>
      <c r="D47" s="194"/>
      <c r="E47" s="194"/>
      <c r="F47" s="194"/>
      <c r="G47" s="194"/>
      <c r="H47" s="245"/>
      <c r="I47" s="245"/>
      <c r="J47" s="245"/>
      <c r="K47" s="194"/>
      <c r="L47" s="194"/>
      <c r="M47" s="194"/>
      <c r="N47" s="194"/>
      <c r="O47" s="194"/>
      <c r="P47" s="194"/>
      <c r="Q47" s="194"/>
    </row>
    <row r="48" spans="1:17">
      <c r="A48" s="194"/>
      <c r="B48" s="194"/>
      <c r="C48" s="194"/>
      <c r="D48" s="194"/>
      <c r="E48" s="194"/>
      <c r="F48" s="194"/>
      <c r="G48" s="194"/>
      <c r="H48" s="245"/>
      <c r="I48" s="245"/>
      <c r="J48" s="245"/>
      <c r="K48" s="194"/>
      <c r="L48" s="194"/>
      <c r="M48" s="194"/>
      <c r="N48" s="194"/>
      <c r="O48" s="194"/>
      <c r="P48" s="194"/>
      <c r="Q48" s="194"/>
    </row>
    <row r="49" spans="1:17">
      <c r="A49" s="194"/>
      <c r="B49" s="194"/>
      <c r="C49" s="194"/>
      <c r="D49" s="194"/>
      <c r="E49" s="194"/>
      <c r="F49" s="194"/>
      <c r="G49" s="194"/>
      <c r="H49" s="245"/>
      <c r="I49" s="245"/>
      <c r="J49" s="245"/>
      <c r="K49" s="194"/>
      <c r="L49" s="194"/>
      <c r="M49" s="194"/>
      <c r="N49" s="194"/>
      <c r="O49" s="194"/>
      <c r="P49" s="194"/>
      <c r="Q49" s="194"/>
    </row>
    <row r="50" spans="1:17">
      <c r="A50" s="194"/>
      <c r="B50" s="194"/>
      <c r="C50" s="194"/>
      <c r="D50" s="194"/>
      <c r="E50" s="194"/>
      <c r="F50" s="194"/>
      <c r="G50" s="194"/>
      <c r="H50" s="245"/>
      <c r="I50" s="245"/>
      <c r="J50" s="245"/>
      <c r="K50" s="194"/>
      <c r="L50" s="194"/>
      <c r="M50" s="194"/>
      <c r="N50" s="194"/>
      <c r="O50" s="194"/>
      <c r="P50" s="194"/>
      <c r="Q50" s="194"/>
    </row>
    <row r="51" spans="1:17">
      <c r="A51" s="194"/>
      <c r="B51" s="194"/>
      <c r="C51" s="194"/>
      <c r="D51" s="194"/>
      <c r="E51" s="194"/>
      <c r="F51" s="194"/>
      <c r="G51" s="194"/>
      <c r="H51" s="245"/>
      <c r="I51" s="245"/>
      <c r="J51" s="245"/>
      <c r="K51" s="194"/>
      <c r="L51" s="194"/>
      <c r="M51" s="194"/>
      <c r="N51" s="194"/>
      <c r="O51" s="194"/>
      <c r="P51" s="194"/>
      <c r="Q51" s="194"/>
    </row>
    <row r="52" spans="1:17">
      <c r="A52" s="194"/>
      <c r="B52" s="194"/>
      <c r="C52" s="194"/>
      <c r="D52" s="194"/>
      <c r="E52" s="194"/>
      <c r="F52" s="194"/>
      <c r="G52" s="194"/>
      <c r="H52" s="245"/>
      <c r="I52" s="245"/>
      <c r="J52" s="245"/>
      <c r="K52" s="194"/>
      <c r="L52" s="194"/>
      <c r="M52" s="194"/>
      <c r="N52" s="194"/>
      <c r="O52" s="194"/>
      <c r="P52" s="194"/>
      <c r="Q52" s="194"/>
    </row>
    <row r="53" spans="1:17">
      <c r="A53" s="194"/>
      <c r="B53" s="194"/>
      <c r="C53" s="194"/>
      <c r="D53" s="194"/>
      <c r="E53" s="194"/>
      <c r="F53" s="194"/>
      <c r="G53" s="194"/>
      <c r="H53" s="245"/>
      <c r="I53" s="245"/>
      <c r="J53" s="245"/>
      <c r="K53" s="194"/>
      <c r="L53" s="194"/>
      <c r="M53" s="194"/>
    </row>
  </sheetData>
  <protectedRanges>
    <protectedRange password="94AB" sqref="O24" name="Calibration Switch"/>
    <protectedRange password="94AB" sqref="A4:D6 A7 C7:D7" name="Standards"/>
    <protectedRange password="94AB" sqref="B35:J53 L11:L24" name="Notes"/>
    <protectedRange password="94AB" sqref="B7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C17" sqref="C17"/>
    </sheetView>
  </sheetViews>
  <sheetFormatPr defaultRowHeight="12.5"/>
  <cols>
    <col min="1" max="1" width="25.26953125" bestFit="1" customWidth="1"/>
    <col min="2" max="2" width="21.26953125" bestFit="1" customWidth="1"/>
    <col min="3" max="3" width="6.453125" bestFit="1" customWidth="1"/>
    <col min="5" max="5" width="12.453125" bestFit="1" customWidth="1"/>
    <col min="6" max="6" width="12.81640625" bestFit="1" customWidth="1"/>
    <col min="7" max="7" width="11.26953125" bestFit="1" customWidth="1"/>
    <col min="8" max="8" width="12.81640625" bestFit="1" customWidth="1"/>
    <col min="9" max="9" width="20.26953125" bestFit="1" customWidth="1"/>
    <col min="10" max="10" width="25" bestFit="1" customWidth="1"/>
    <col min="11" max="11" width="9" bestFit="1" customWidth="1"/>
    <col min="14" max="14" width="19.54296875" bestFit="1" customWidth="1"/>
  </cols>
  <sheetData>
    <row r="1" spans="1:11" ht="30.75" customHeight="1" thickTop="1">
      <c r="A1" s="586" t="s">
        <v>236</v>
      </c>
      <c r="B1" s="587" t="s">
        <v>0</v>
      </c>
      <c r="C1" s="641" t="s">
        <v>335</v>
      </c>
      <c r="E1" s="597" t="s">
        <v>257</v>
      </c>
      <c r="F1" s="598" t="s">
        <v>258</v>
      </c>
      <c r="G1" s="598" t="s">
        <v>259</v>
      </c>
      <c r="H1" s="598" t="s">
        <v>260</v>
      </c>
      <c r="I1" s="599" t="s">
        <v>261</v>
      </c>
      <c r="J1" s="599" t="s">
        <v>262</v>
      </c>
      <c r="K1" s="600" t="s">
        <v>263</v>
      </c>
    </row>
    <row r="2" spans="1:11" ht="13">
      <c r="A2" s="592" t="s">
        <v>352</v>
      </c>
      <c r="B2" s="593" t="s">
        <v>251</v>
      </c>
      <c r="C2" s="638">
        <v>3</v>
      </c>
      <c r="E2" s="601" t="s">
        <v>264</v>
      </c>
      <c r="F2" s="602" t="s">
        <v>265</v>
      </c>
      <c r="G2" s="602" t="s">
        <v>266</v>
      </c>
      <c r="H2" s="603">
        <v>11</v>
      </c>
      <c r="I2" s="604" t="s">
        <v>267</v>
      </c>
      <c r="J2" s="605" t="s">
        <v>268</v>
      </c>
      <c r="K2" s="606">
        <v>4791</v>
      </c>
    </row>
    <row r="3" spans="1:11" ht="14.5">
      <c r="A3" s="590" t="s">
        <v>353</v>
      </c>
      <c r="B3" s="591" t="s">
        <v>246</v>
      </c>
      <c r="C3" s="639">
        <v>3</v>
      </c>
      <c r="E3" s="601" t="s">
        <v>269</v>
      </c>
      <c r="F3" s="602" t="s">
        <v>270</v>
      </c>
      <c r="G3" s="602" t="s">
        <v>266</v>
      </c>
      <c r="H3" s="602">
        <v>8</v>
      </c>
      <c r="I3" s="607" t="s">
        <v>271</v>
      </c>
      <c r="J3" s="605" t="s">
        <v>272</v>
      </c>
      <c r="K3" s="606">
        <v>4684</v>
      </c>
    </row>
    <row r="4" spans="1:11" ht="13">
      <c r="A4" s="588" t="s">
        <v>254</v>
      </c>
      <c r="B4" s="589" t="s">
        <v>238</v>
      </c>
      <c r="C4" s="640">
        <v>1.5</v>
      </c>
      <c r="E4" s="601" t="s">
        <v>273</v>
      </c>
      <c r="F4" s="602" t="s">
        <v>274</v>
      </c>
      <c r="G4" s="602" t="s">
        <v>275</v>
      </c>
      <c r="H4" s="602">
        <v>10</v>
      </c>
      <c r="I4" s="607" t="s">
        <v>276</v>
      </c>
      <c r="J4" s="605" t="s">
        <v>277</v>
      </c>
      <c r="K4" s="606">
        <v>4620</v>
      </c>
    </row>
    <row r="5" spans="1:11" ht="13">
      <c r="A5" s="588" t="s">
        <v>354</v>
      </c>
      <c r="B5" s="589" t="s">
        <v>239</v>
      </c>
      <c r="C5" s="640">
        <v>1</v>
      </c>
      <c r="E5" s="601" t="s">
        <v>278</v>
      </c>
      <c r="F5" s="602" t="s">
        <v>279</v>
      </c>
      <c r="G5" s="602" t="s">
        <v>280</v>
      </c>
      <c r="H5" s="602">
        <v>19</v>
      </c>
      <c r="I5" s="607" t="s">
        <v>281</v>
      </c>
      <c r="J5" s="605" t="s">
        <v>282</v>
      </c>
      <c r="K5" s="606">
        <v>4029</v>
      </c>
    </row>
    <row r="6" spans="1:11" ht="13">
      <c r="A6" s="588" t="s">
        <v>255</v>
      </c>
      <c r="B6" s="589" t="s">
        <v>240</v>
      </c>
      <c r="C6" s="640">
        <v>1</v>
      </c>
      <c r="E6" s="601" t="s">
        <v>283</v>
      </c>
      <c r="F6" s="602" t="s">
        <v>284</v>
      </c>
      <c r="G6" s="602" t="s">
        <v>285</v>
      </c>
      <c r="H6" s="602">
        <v>23</v>
      </c>
      <c r="I6" s="607"/>
      <c r="J6" s="605"/>
      <c r="K6" s="606"/>
    </row>
    <row r="7" spans="1:11" ht="13">
      <c r="A7" s="588" t="s">
        <v>355</v>
      </c>
      <c r="B7" s="589" t="s">
        <v>241</v>
      </c>
      <c r="C7" s="640">
        <v>2</v>
      </c>
      <c r="E7" s="601" t="s">
        <v>286</v>
      </c>
      <c r="F7" s="602" t="s">
        <v>287</v>
      </c>
      <c r="G7" s="602" t="s">
        <v>285</v>
      </c>
      <c r="H7" s="602">
        <v>22</v>
      </c>
      <c r="I7" s="607"/>
      <c r="J7" s="605"/>
      <c r="K7" s="606"/>
    </row>
    <row r="8" spans="1:11" ht="13">
      <c r="A8" s="588" t="s">
        <v>356</v>
      </c>
      <c r="B8" s="589" t="s">
        <v>242</v>
      </c>
      <c r="C8" s="640">
        <v>6.5</v>
      </c>
      <c r="E8" s="601" t="s">
        <v>288</v>
      </c>
      <c r="F8" s="602" t="s">
        <v>289</v>
      </c>
      <c r="G8" s="602" t="s">
        <v>266</v>
      </c>
      <c r="H8" s="602">
        <v>2</v>
      </c>
      <c r="I8" s="607" t="s">
        <v>290</v>
      </c>
      <c r="J8" s="605" t="s">
        <v>291</v>
      </c>
      <c r="K8" s="606">
        <v>4696</v>
      </c>
    </row>
    <row r="9" spans="1:11" ht="13">
      <c r="A9" s="588" t="s">
        <v>357</v>
      </c>
      <c r="B9" s="589" t="s">
        <v>245</v>
      </c>
      <c r="C9" s="640">
        <v>6.5</v>
      </c>
      <c r="E9" s="601" t="s">
        <v>292</v>
      </c>
      <c r="F9" s="602" t="s">
        <v>293</v>
      </c>
      <c r="G9" s="602" t="s">
        <v>294</v>
      </c>
      <c r="H9" s="602">
        <v>16</v>
      </c>
      <c r="I9" s="607" t="s">
        <v>295</v>
      </c>
      <c r="J9" s="605" t="s">
        <v>296</v>
      </c>
      <c r="K9" s="606">
        <v>4026</v>
      </c>
    </row>
    <row r="10" spans="1:11" ht="13">
      <c r="A10" s="590" t="s">
        <v>350</v>
      </c>
      <c r="B10" s="591" t="s">
        <v>243</v>
      </c>
      <c r="C10" s="639">
        <v>0.5</v>
      </c>
      <c r="E10" s="601" t="s">
        <v>297</v>
      </c>
      <c r="F10" s="602" t="s">
        <v>298</v>
      </c>
      <c r="G10" s="602" t="s">
        <v>266</v>
      </c>
      <c r="H10" s="602">
        <v>17</v>
      </c>
      <c r="I10" s="607" t="s">
        <v>299</v>
      </c>
      <c r="J10" s="605"/>
      <c r="K10" s="606">
        <v>4832</v>
      </c>
    </row>
    <row r="11" spans="1:11" ht="13">
      <c r="A11" s="590" t="s">
        <v>351</v>
      </c>
      <c r="B11" s="591" t="s">
        <v>247</v>
      </c>
      <c r="C11" s="639">
        <v>1</v>
      </c>
      <c r="E11" s="601" t="s">
        <v>300</v>
      </c>
      <c r="F11" s="602" t="s">
        <v>301</v>
      </c>
      <c r="G11" s="602" t="s">
        <v>266</v>
      </c>
      <c r="H11" s="602">
        <v>14</v>
      </c>
      <c r="I11" s="607" t="s">
        <v>302</v>
      </c>
      <c r="J11" s="605"/>
      <c r="K11" s="606">
        <v>4631</v>
      </c>
    </row>
    <row r="12" spans="1:11" ht="13">
      <c r="A12" s="590" t="s">
        <v>348</v>
      </c>
      <c r="B12" s="591" t="s">
        <v>237</v>
      </c>
      <c r="C12" s="639">
        <v>0.5</v>
      </c>
      <c r="E12" s="601" t="s">
        <v>303</v>
      </c>
      <c r="F12" s="602" t="s">
        <v>304</v>
      </c>
      <c r="G12" s="602" t="s">
        <v>275</v>
      </c>
      <c r="H12" s="602">
        <v>24</v>
      </c>
      <c r="I12" s="607" t="s">
        <v>347</v>
      </c>
      <c r="J12" s="605" t="s">
        <v>256</v>
      </c>
      <c r="K12" s="606">
        <v>4581</v>
      </c>
    </row>
    <row r="13" spans="1:11" ht="13">
      <c r="A13" s="590" t="s">
        <v>349</v>
      </c>
      <c r="B13" s="591" t="s">
        <v>237</v>
      </c>
      <c r="C13" s="639">
        <v>0.5</v>
      </c>
      <c r="E13" s="601" t="s">
        <v>305</v>
      </c>
      <c r="F13" s="602" t="s">
        <v>306</v>
      </c>
      <c r="G13" s="602" t="s">
        <v>266</v>
      </c>
      <c r="H13" s="602">
        <v>13</v>
      </c>
      <c r="I13" s="607" t="s">
        <v>307</v>
      </c>
      <c r="J13" s="605"/>
      <c r="K13" s="606">
        <v>4397</v>
      </c>
    </row>
    <row r="14" spans="1:11" ht="13">
      <c r="A14" s="590" t="s">
        <v>358</v>
      </c>
      <c r="B14" s="591" t="s">
        <v>244</v>
      </c>
      <c r="C14" s="639">
        <v>0.5</v>
      </c>
      <c r="E14" s="608" t="s">
        <v>308</v>
      </c>
      <c r="F14" s="609" t="s">
        <v>309</v>
      </c>
      <c r="G14" s="609" t="s">
        <v>310</v>
      </c>
      <c r="H14" s="609">
        <v>0</v>
      </c>
      <c r="I14" s="610" t="s">
        <v>345</v>
      </c>
      <c r="J14" s="611" t="s">
        <v>311</v>
      </c>
      <c r="K14" s="612">
        <v>4604</v>
      </c>
    </row>
    <row r="15" spans="1:11" ht="13">
      <c r="A15" s="590" t="s">
        <v>359</v>
      </c>
      <c r="B15" s="591" t="s">
        <v>244</v>
      </c>
      <c r="C15" s="639">
        <v>0.5</v>
      </c>
      <c r="E15" s="608" t="s">
        <v>344</v>
      </c>
      <c r="F15" s="609" t="s">
        <v>309</v>
      </c>
      <c r="G15" s="609" t="s">
        <v>310</v>
      </c>
      <c r="H15" s="609">
        <v>0</v>
      </c>
      <c r="I15" s="610" t="s">
        <v>345</v>
      </c>
      <c r="J15" s="605" t="s">
        <v>346</v>
      </c>
      <c r="K15" s="612"/>
    </row>
    <row r="16" spans="1:11" ht="13">
      <c r="A16" s="588" t="s">
        <v>249</v>
      </c>
      <c r="B16" s="589" t="s">
        <v>250</v>
      </c>
      <c r="C16" s="640">
        <v>1.2</v>
      </c>
      <c r="E16" s="608" t="s">
        <v>312</v>
      </c>
      <c r="F16" s="609" t="s">
        <v>313</v>
      </c>
      <c r="G16" s="609" t="s">
        <v>314</v>
      </c>
      <c r="H16" s="609">
        <v>25</v>
      </c>
      <c r="I16" s="613" t="s">
        <v>315</v>
      </c>
      <c r="J16" s="611" t="s">
        <v>316</v>
      </c>
      <c r="K16" s="614"/>
    </row>
    <row r="17" spans="1:8" ht="13.5" thickBot="1">
      <c r="A17" s="648" t="s">
        <v>360</v>
      </c>
      <c r="B17" s="649" t="s">
        <v>248</v>
      </c>
      <c r="C17" s="650">
        <v>0.6</v>
      </c>
    </row>
    <row r="18" spans="1:8" ht="15" thickTop="1">
      <c r="E18" s="615" t="s">
        <v>317</v>
      </c>
      <c r="H18" s="623" t="s">
        <v>322</v>
      </c>
    </row>
    <row r="19" spans="1:8" ht="14.5">
      <c r="E19" s="616" t="s">
        <v>318</v>
      </c>
      <c r="H19" s="624" t="s">
        <v>323</v>
      </c>
    </row>
    <row r="20" spans="1:8" ht="15" thickBot="1">
      <c r="E20" s="617" t="s">
        <v>319</v>
      </c>
      <c r="H20" s="624" t="s">
        <v>324</v>
      </c>
    </row>
    <row r="21" spans="1:8" ht="13" thickTop="1">
      <c r="E21" s="618"/>
      <c r="H21" s="625" t="s">
        <v>325</v>
      </c>
    </row>
    <row r="22" spans="1:8">
      <c r="E22" s="618"/>
    </row>
    <row r="23" spans="1:8">
      <c r="E23" s="618" t="s">
        <v>320</v>
      </c>
      <c r="H23" s="623" t="s">
        <v>326</v>
      </c>
    </row>
    <row r="24" spans="1:8">
      <c r="E24" s="619">
        <f ca="1">TODAY()</f>
        <v>43971</v>
      </c>
      <c r="H24" s="624" t="s">
        <v>327</v>
      </c>
    </row>
    <row r="25" spans="1:8">
      <c r="E25" s="618"/>
      <c r="H25" s="624" t="s">
        <v>328</v>
      </c>
    </row>
    <row r="26" spans="1:8">
      <c r="E26" s="618"/>
      <c r="H26" s="625" t="s">
        <v>329</v>
      </c>
    </row>
    <row r="27" spans="1:8">
      <c r="E27" s="678" t="s">
        <v>321</v>
      </c>
      <c r="F27" s="679"/>
    </row>
    <row r="28" spans="1:8">
      <c r="E28" s="620" t="str">
        <f ca="1">TEXT(E24,"yymmdd")</f>
        <v>240521</v>
      </c>
    </row>
  </sheetData>
  <sortState xmlns:xlrd2="http://schemas.microsoft.com/office/spreadsheetml/2017/richdata2" ref="N3:N18">
    <sortCondition ref="N3:N18"/>
  </sortState>
  <mergeCells count="1">
    <mergeCell ref="E27:F2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B35" sqref="B35"/>
    </sheetView>
  </sheetViews>
  <sheetFormatPr defaultRowHeight="12.5"/>
  <cols>
    <col min="1" max="1" width="10.1796875" bestFit="1" customWidth="1"/>
    <col min="2" max="2" width="90.81640625" bestFit="1" customWidth="1"/>
  </cols>
  <sheetData>
    <row r="1" spans="1:3" ht="14.5">
      <c r="A1" s="643" t="s">
        <v>9</v>
      </c>
      <c r="B1" s="643" t="s">
        <v>338</v>
      </c>
      <c r="C1" s="643" t="s">
        <v>339</v>
      </c>
    </row>
    <row r="2" spans="1:3">
      <c r="A2" s="428">
        <v>42542</v>
      </c>
      <c r="B2" t="s">
        <v>336</v>
      </c>
      <c r="C2" t="s">
        <v>337</v>
      </c>
    </row>
    <row r="3" spans="1:3">
      <c r="A3" s="428"/>
    </row>
    <row r="4" spans="1:3">
      <c r="A4" s="428"/>
    </row>
    <row r="5" spans="1:3">
      <c r="A5" s="428"/>
    </row>
    <row r="6" spans="1:3">
      <c r="A6" s="428"/>
    </row>
    <row r="7" spans="1:3">
      <c r="A7" s="428"/>
    </row>
    <row r="8" spans="1:3">
      <c r="A8" s="428"/>
    </row>
    <row r="9" spans="1:3">
      <c r="A9" s="428"/>
    </row>
    <row r="10" spans="1:3">
      <c r="A10" s="4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97701588B4C49AD749E486AB9DEC8" ma:contentTypeVersion="16" ma:contentTypeDescription="Create a new document." ma:contentTypeScope="" ma:versionID="3e22918c3078f356db8c8d15faa4e2e5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f7dc0521-1f3b-405e-a9d3-ebbbf74d10ad" xmlns:ns7="76c74a2d-1fa5-4d4e-9abe-6a07335fa29f" targetNamespace="http://schemas.microsoft.com/office/2006/metadata/properties" ma:root="true" ma:fieldsID="e69c7a63a80ef28e29f4e890d562d3c7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f7dc0521-1f3b-405e-a9d3-ebbbf74d10ad"/>
    <xsd:import namespace="76c74a2d-1fa5-4d4e-9abe-6a07335fa29f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bdd0f2f-3df3-4c0c-9ddf-35143f38c917}" ma:internalName="TaxCatchAllLabel" ma:readOnly="true" ma:showField="CatchAllDataLabel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bdd0f2f-3df3-4c0c-9ddf-35143f38c917}" ma:internalName="TaxCatchAll" ma:showField="CatchAllData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c0521-1f3b-405e-a9d3-ebbbf74d10a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4a2d-1fa5-4d4e-9abe-6a07335fa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f7dc0521-1f3b-405e-a9d3-ebbbf74d10ad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2020-06-22T16:33:01+00:00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Records_x0020_Date xmlns="f7dc0521-1f3b-405e-a9d3-ebbbf74d10ad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Props1.xml><?xml version="1.0" encoding="utf-8"?>
<ds:datastoreItem xmlns:ds="http://schemas.openxmlformats.org/officeDocument/2006/customXml" ds:itemID="{1A469C1B-F9A2-4990-90C8-6FC03BA78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f7dc0521-1f3b-405e-a9d3-ebbbf74d10ad"/>
    <ds:schemaRef ds:uri="76c74a2d-1fa5-4d4e-9abe-6a07335fa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5F8D24-D173-420D-91DD-4D63BE6B1A5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3259793-D3CB-41B6-BE10-74B18CCBB8C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777AE3-FED0-4751-ACCC-DAF9D5947B68}">
  <ds:schemaRefs>
    <ds:schemaRef ds:uri="http://schemas.microsoft.com/sharepoint/v3"/>
    <ds:schemaRef ds:uri="http://schemas.microsoft.com/office/infopath/2007/PartnerControls"/>
    <ds:schemaRef ds:uri="http://purl.org/dc/terms/"/>
    <ds:schemaRef ds:uri="f7dc0521-1f3b-405e-a9d3-ebbbf74d10ad"/>
    <ds:schemaRef ds:uri="4ffa91fb-a0ff-4ac5-b2db-65c790d184a4"/>
    <ds:schemaRef ds:uri="http://schemas.microsoft.com/office/2006/documentManagement/types"/>
    <ds:schemaRef ds:uri="76c74a2d-1fa5-4d4e-9abe-6a07335fa29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/fields"/>
    <ds:schemaRef ds:uri="http://schemas.microsoft.com/sharepoint.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COVER</vt:lpstr>
      <vt:lpstr>Investigator Data</vt:lpstr>
      <vt:lpstr>Weigh Sheet</vt:lpstr>
      <vt:lpstr>Investigator QA Data</vt:lpstr>
      <vt:lpstr>ISIRF RAW</vt:lpstr>
      <vt:lpstr>ISIRF 15N</vt:lpstr>
      <vt:lpstr>ISIRF 13C</vt:lpstr>
      <vt:lpstr>Tables</vt:lpstr>
      <vt:lpstr>Revisions</vt:lpstr>
      <vt:lpstr>COVER!Print_Area</vt:lpstr>
      <vt:lpstr>'Investigator Data'!Print_Area</vt:lpstr>
      <vt:lpstr>'Weigh Sheet'!Print_Area</vt:lpstr>
      <vt:lpstr>'Weigh Sheet'!Print_Titles</vt:lpstr>
      <vt:lpstr>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 Template version 1</dc:title>
  <dc:subject>ISIRF Template for EA samples</dc:subject>
  <dc:creator>J. Renee Brooks</dc:creator>
  <cp:lastModifiedBy>Wang, Lena</cp:lastModifiedBy>
  <cp:lastPrinted>2016-12-02T18:38:25Z</cp:lastPrinted>
  <dcterms:created xsi:type="dcterms:W3CDTF">2000-03-01T21:58:50Z</dcterms:created>
  <dcterms:modified xsi:type="dcterms:W3CDTF">2024-05-21T15:32:43Z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0x0101000CC97701588B4C49AD749E486AB9DEC8</vt:lpwstr>
  </property>
</Properties>
</file>