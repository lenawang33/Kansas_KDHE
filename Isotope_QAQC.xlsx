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69" documentId="8_{C7065A56-279E-4CD8-99CA-B1647143B5A5}" xr6:coauthVersionLast="47" xr6:coauthVersionMax="47" xr10:uidLastSave="{9A50D12C-C8E8-45FD-B5D0-C469176DBE24}"/>
  <bookViews>
    <workbookView xWindow="44475" yWindow="0" windowWidth="13350" windowHeight="17385" firstSheet="1" activeTab="2" xr2:uid="{9E7185DE-6C4C-4427-85E6-A81DAF891C3A}"/>
  </bookViews>
  <sheets>
    <sheet name="Isotope_unacidifed" sheetId="1" r:id="rId1"/>
    <sheet name="QAQC_unacidified" sheetId="2" r:id="rId2"/>
    <sheet name="Isotope_acidified" sheetId="4" r:id="rId3"/>
    <sheet name="QAQC_acidifie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5" l="1"/>
  <c r="F16" i="5"/>
  <c r="E16" i="5"/>
  <c r="D16" i="5"/>
  <c r="C16" i="5"/>
  <c r="G14" i="5"/>
  <c r="G15" i="5" s="1"/>
  <c r="F14" i="5"/>
  <c r="F15" i="5" s="1"/>
  <c r="E14" i="5"/>
  <c r="E15" i="5" s="1"/>
  <c r="D14" i="5"/>
  <c r="D15" i="5" s="1"/>
  <c r="C14" i="5"/>
  <c r="C15" i="5" s="1"/>
  <c r="G10" i="5"/>
  <c r="F10" i="5"/>
  <c r="E10" i="5"/>
  <c r="D10" i="5"/>
  <c r="G8" i="5"/>
  <c r="F8" i="5"/>
  <c r="E8" i="5"/>
  <c r="D8" i="5"/>
  <c r="G6" i="5"/>
  <c r="F6" i="5"/>
  <c r="E6" i="5"/>
  <c r="D6" i="5"/>
  <c r="C6" i="5"/>
  <c r="G4" i="5"/>
  <c r="F4" i="5"/>
  <c r="E4" i="5"/>
  <c r="D4" i="5"/>
  <c r="C4" i="5"/>
  <c r="G2" i="5"/>
  <c r="F2" i="5"/>
  <c r="E2" i="5"/>
  <c r="D2" i="5"/>
  <c r="C2" i="5"/>
  <c r="C16" i="2"/>
  <c r="D16" i="2"/>
  <c r="F16" i="2"/>
  <c r="G16" i="2"/>
  <c r="E16" i="2"/>
  <c r="E15" i="2"/>
  <c r="C14" i="2"/>
  <c r="D14" i="2"/>
  <c r="F14" i="2"/>
  <c r="G14" i="2"/>
  <c r="E14" i="2"/>
  <c r="G8" i="2"/>
  <c r="G10" i="2"/>
  <c r="F8" i="2"/>
  <c r="F10" i="2"/>
  <c r="E8" i="2"/>
  <c r="E10" i="2"/>
  <c r="D8" i="2"/>
  <c r="D10" i="2"/>
  <c r="C4" i="2"/>
  <c r="D4" i="2"/>
  <c r="E4" i="2"/>
  <c r="F4" i="2"/>
  <c r="G4" i="2"/>
  <c r="C6" i="2"/>
  <c r="D6" i="2"/>
  <c r="E6" i="2"/>
  <c r="F6" i="2"/>
  <c r="G6" i="2"/>
  <c r="D2" i="2"/>
  <c r="E2" i="2"/>
  <c r="F2" i="2"/>
  <c r="G2" i="2"/>
  <c r="C2" i="2"/>
  <c r="C15" i="2" l="1"/>
  <c r="D15" i="2"/>
  <c r="G15" i="2"/>
  <c r="F15" i="2"/>
</calcChain>
</file>

<file path=xl/sharedStrings.xml><?xml version="1.0" encoding="utf-8"?>
<sst xmlns="http://schemas.openxmlformats.org/spreadsheetml/2006/main" count="70" uniqueCount="22">
  <si>
    <t>Sample</t>
  </si>
  <si>
    <t>%C</t>
  </si>
  <si>
    <t>δ13C</t>
  </si>
  <si>
    <t>%N</t>
  </si>
  <si>
    <t>δ15N</t>
  </si>
  <si>
    <t>C/N</t>
  </si>
  <si>
    <t xml:space="preserve">20240407_E3_A </t>
  </si>
  <si>
    <t>20240407_E3_A_Dup</t>
  </si>
  <si>
    <t>20231120_S3_F</t>
  </si>
  <si>
    <t>20231120_S3_F_Dup</t>
  </si>
  <si>
    <t xml:space="preserve">20231120_S4_F </t>
  </si>
  <si>
    <t>20231120_S4_F _Dup</t>
  </si>
  <si>
    <t>sum</t>
  </si>
  <si>
    <t>sample precision</t>
  </si>
  <si>
    <t>coefficient of variance</t>
  </si>
  <si>
    <t>Degrees of Freedom</t>
  </si>
  <si>
    <t xml:space="preserve">20240407_S4_A </t>
  </si>
  <si>
    <t>20240407_S4_A _Dup</t>
  </si>
  <si>
    <t xml:space="preserve">20240407_W1_F </t>
  </si>
  <si>
    <t>20240407_W1_F_Dup</t>
  </si>
  <si>
    <t xml:space="preserve">20231120_S2_B </t>
  </si>
  <si>
    <t>20231120_S2_B_Dup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</si>
</sst>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16F-E3ED-423E-9510-49B78FB695CE}">
  <dimension ref="A1:G14"/>
  <sheetViews>
    <sheetView workbookViewId="0">
      <selection activeCell="E11" sqref="E11"/>
    </sheetView>
  </sheetViews>
  <sheetFormatPr defaultRowHeight="14.5" x14ac:dyDescent="0.35"/>
  <cols>
    <col min="1" max="1" width="23.1796875" customWidth="1"/>
    <col min="2" max="2" width="19.9062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B2" t="s">
        <v>6</v>
      </c>
      <c r="E2">
        <v>0.21638480880000002</v>
      </c>
      <c r="F2">
        <v>7.161648611082593</v>
      </c>
    </row>
    <row r="3" spans="1:7" x14ac:dyDescent="0.35">
      <c r="B3" t="s">
        <v>7</v>
      </c>
      <c r="E3">
        <v>0.20845291920000003</v>
      </c>
      <c r="F3">
        <v>6.879640774529137</v>
      </c>
    </row>
    <row r="4" spans="1:7" x14ac:dyDescent="0.35">
      <c r="B4" t="s">
        <v>8</v>
      </c>
      <c r="E4">
        <v>0.13778837999999999</v>
      </c>
      <c r="F4">
        <v>6.8901469319623772</v>
      </c>
    </row>
    <row r="5" spans="1:7" x14ac:dyDescent="0.35">
      <c r="B5" t="s">
        <v>9</v>
      </c>
      <c r="E5">
        <v>0.20179026</v>
      </c>
      <c r="F5">
        <v>6.7216286902619462</v>
      </c>
    </row>
    <row r="6" spans="1:7" x14ac:dyDescent="0.35">
      <c r="B6" t="s">
        <v>10</v>
      </c>
      <c r="E6">
        <v>0.30173890499999995</v>
      </c>
      <c r="F6">
        <v>7.3230077455115996</v>
      </c>
    </row>
    <row r="7" spans="1:7" x14ac:dyDescent="0.35">
      <c r="B7" t="s">
        <v>11</v>
      </c>
      <c r="E7">
        <v>0.23636132999999998</v>
      </c>
      <c r="F7">
        <v>7.4449949693618818</v>
      </c>
    </row>
    <row r="8" spans="1:7" x14ac:dyDescent="0.35">
      <c r="B8" t="s">
        <v>16</v>
      </c>
      <c r="E8">
        <v>0.195107328</v>
      </c>
      <c r="F8">
        <v>6.9227820659163157</v>
      </c>
    </row>
    <row r="9" spans="1:7" x14ac:dyDescent="0.35">
      <c r="B9" t="s">
        <v>17</v>
      </c>
      <c r="E9">
        <v>0.24400926719999996</v>
      </c>
      <c r="F9">
        <v>6.1149986334167714</v>
      </c>
    </row>
    <row r="10" spans="1:7" x14ac:dyDescent="0.35">
      <c r="B10" t="s">
        <v>18</v>
      </c>
      <c r="E10">
        <v>0.15200778239999999</v>
      </c>
      <c r="F10">
        <v>5.9093380542479981</v>
      </c>
    </row>
    <row r="11" spans="1:7" x14ac:dyDescent="0.35">
      <c r="B11" t="s">
        <v>19</v>
      </c>
      <c r="E11">
        <v>0.1963008</v>
      </c>
      <c r="F11">
        <v>6.3362913629942028</v>
      </c>
    </row>
    <row r="13" spans="1:7" x14ac:dyDescent="0.35">
      <c r="A13" s="1"/>
    </row>
    <row r="14" spans="1:7" x14ac:dyDescent="0.35">
      <c r="A14" s="1"/>
    </row>
  </sheetData>
  <conditionalFormatting sqref="A14">
    <cfRule type="cellIs" dxfId="3" priority="1" operator="greater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E879-4140-4243-A42E-6E983ADB32BC}">
  <dimension ref="A1:G16"/>
  <sheetViews>
    <sheetView workbookViewId="0">
      <selection activeCell="G32" sqref="G32"/>
    </sheetView>
  </sheetViews>
  <sheetFormatPr defaultRowHeight="14.5" x14ac:dyDescent="0.35"/>
  <cols>
    <col min="2" max="2" width="28.0898437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B2" t="s">
        <v>6</v>
      </c>
      <c r="C2" t="e">
        <f>VAR(Isotope_unacidifed!C2:C3)</f>
        <v>#DIV/0!</v>
      </c>
      <c r="D2" t="e">
        <f>VAR(Isotope_unacidifed!D2:D3)</f>
        <v>#DIV/0!</v>
      </c>
      <c r="E2">
        <f>VAR(Isotope_unacidifed!E2:E3)</f>
        <v>3.1457436313294014E-5</v>
      </c>
      <c r="F2">
        <f>VAR(Isotope_unacidifed!F2:F3)</f>
        <v>3.9764209938780368E-2</v>
      </c>
      <c r="G2" t="e">
        <f>VAR(Isotope_unacidifed!G2:G3)</f>
        <v>#DIV/0!</v>
      </c>
    </row>
    <row r="3" spans="1:7" x14ac:dyDescent="0.35">
      <c r="B3" t="s">
        <v>7</v>
      </c>
    </row>
    <row r="4" spans="1:7" x14ac:dyDescent="0.35">
      <c r="B4" t="s">
        <v>8</v>
      </c>
      <c r="C4" t="e">
        <f>VAR(Isotope_unacidifed!C4:C5)</f>
        <v>#DIV/0!</v>
      </c>
      <c r="D4" t="e">
        <f>VAR(Isotope_unacidifed!D4:D5)</f>
        <v>#DIV/0!</v>
      </c>
      <c r="E4">
        <f>VAR(Isotope_unacidifed!E4:E5)</f>
        <v>2.0481203217671967E-3</v>
      </c>
      <c r="F4">
        <f>VAR(Isotope_unacidifed!F4:F5)</f>
        <v>1.4199198892902432E-2</v>
      </c>
      <c r="G4" t="e">
        <f>VAR(Isotope_unacidifed!G4:G5)</f>
        <v>#DIV/0!</v>
      </c>
    </row>
    <row r="5" spans="1:7" x14ac:dyDescent="0.35">
      <c r="B5" t="s">
        <v>9</v>
      </c>
    </row>
    <row r="6" spans="1:7" x14ac:dyDescent="0.35">
      <c r="B6" t="s">
        <v>10</v>
      </c>
      <c r="C6" t="e">
        <f>VAR(Isotope_unacidifed!C6:C7)</f>
        <v>#DIV/0!</v>
      </c>
      <c r="D6" t="e">
        <f>VAR(Isotope_unacidifed!D6:D7)</f>
        <v>#DIV/0!</v>
      </c>
      <c r="E6">
        <f>VAR(Isotope_unacidifed!E6:E7)</f>
        <v>2.1371136564403148E-3</v>
      </c>
      <c r="F6">
        <f>VAR(Isotope_unacidifed!F6:F7)</f>
        <v>7.4404413913494241E-3</v>
      </c>
      <c r="G6" t="e">
        <f>VAR(Isotope_unacidifed!G6:G7)</f>
        <v>#DIV/0!</v>
      </c>
    </row>
    <row r="7" spans="1:7" x14ac:dyDescent="0.35">
      <c r="B7" t="s">
        <v>11</v>
      </c>
    </row>
    <row r="8" spans="1:7" x14ac:dyDescent="0.35">
      <c r="B8" t="s">
        <v>16</v>
      </c>
      <c r="D8" t="e">
        <f>VAR(Isotope_unacidifed!D8:D9)</f>
        <v>#DIV/0!</v>
      </c>
      <c r="E8">
        <f>VAR(Isotope_unacidifed!E8:E9)</f>
        <v>1.1956998287602494E-3</v>
      </c>
      <c r="F8">
        <f>VAR(Isotope_unacidifed!F8:F9)</f>
        <v>0.32625703691037294</v>
      </c>
      <c r="G8" t="e">
        <f>VAR(Isotope_unacidifed!G8:G9)</f>
        <v>#DIV/0!</v>
      </c>
    </row>
    <row r="9" spans="1:7" x14ac:dyDescent="0.35">
      <c r="B9" t="s">
        <v>17</v>
      </c>
    </row>
    <row r="10" spans="1:7" x14ac:dyDescent="0.35">
      <c r="B10" t="s">
        <v>18</v>
      </c>
      <c r="D10" t="e">
        <f>VAR(Isotope_unacidifed!D10:D11)</f>
        <v>#DIV/0!</v>
      </c>
      <c r="E10">
        <f>VAR(Isotope_unacidifed!E10:E11)</f>
        <v>9.8093570405696079E-4</v>
      </c>
      <c r="F10">
        <f>VAR(Isotope_unacidifed!F10:F11)</f>
        <v>9.1144563924666008E-2</v>
      </c>
      <c r="G10" t="e">
        <f>VAR(Isotope_unacidifed!G10:G11)</f>
        <v>#DIV/0!</v>
      </c>
    </row>
    <row r="11" spans="1:7" x14ac:dyDescent="0.35">
      <c r="B11" t="s">
        <v>19</v>
      </c>
    </row>
    <row r="13" spans="1:7" x14ac:dyDescent="0.35">
      <c r="B13" t="s">
        <v>15</v>
      </c>
    </row>
    <row r="14" spans="1:7" x14ac:dyDescent="0.35">
      <c r="A14" t="s">
        <v>12</v>
      </c>
      <c r="B14">
        <v>5</v>
      </c>
      <c r="C14" t="e">
        <f t="shared" ref="C14:D14" si="0">SUM(C2:C12)</f>
        <v>#DIV/0!</v>
      </c>
      <c r="D14" t="e">
        <f t="shared" si="0"/>
        <v>#DIV/0!</v>
      </c>
      <c r="E14">
        <f>SUM(E2:E12)</f>
        <v>6.3933269473380157E-3</v>
      </c>
      <c r="F14">
        <f t="shared" ref="F14:G14" si="1">SUM(F2:F12)</f>
        <v>0.47880545105807121</v>
      </c>
      <c r="G14" t="e">
        <f t="shared" si="1"/>
        <v>#DIV/0!</v>
      </c>
    </row>
    <row r="15" spans="1:7" x14ac:dyDescent="0.35">
      <c r="A15" s="1" t="s">
        <v>13</v>
      </c>
      <c r="C15" t="e">
        <f>SQRT(C14/$B$14)</f>
        <v>#DIV/0!</v>
      </c>
      <c r="D15" t="e">
        <f>SQRT(D14/$B$14)</f>
        <v>#DIV/0!</v>
      </c>
      <c r="E15">
        <f>SQRT(E14/$B$14)</f>
        <v>3.5758431026369199E-2</v>
      </c>
      <c r="F15">
        <f t="shared" ref="F15:G15" si="2">SQRT(F14/$B$14)</f>
        <v>0.30945288851716063</v>
      </c>
      <c r="G15" t="e">
        <f t="shared" si="2"/>
        <v>#DIV/0!</v>
      </c>
    </row>
    <row r="16" spans="1:7" x14ac:dyDescent="0.35">
      <c r="A16" s="1" t="s">
        <v>14</v>
      </c>
      <c r="C16" t="e">
        <f>_xlfn.STDEV.S(Isotope_unacidifed!C2:C11)/AVERAGE(Isotope_unacidifed!C2:C11)</f>
        <v>#DIV/0!</v>
      </c>
      <c r="D16" t="e">
        <f>_xlfn.STDEV.S(Isotope_unacidifed!D2:D11)/AVERAGE(Isotope_unacidifed!D2:D11)</f>
        <v>#DIV/0!</v>
      </c>
      <c r="E16">
        <f>_xlfn.STDEV.S(Isotope_unacidifed!E2:E11)/AVERAGE(Isotope_unacidifed!E2:E11)</f>
        <v>0.22189228400733535</v>
      </c>
      <c r="F16">
        <f>_xlfn.STDEV.S(Isotope_unacidifed!F2:F11)/AVERAGE(Isotope_unacidifed!F2:F11)</f>
        <v>7.5068362509053271E-2</v>
      </c>
      <c r="G16" t="e">
        <f>_xlfn.STDEV.S(Isotope_unacidifed!G2:G11)/AVERAGE(Isotope_unacidifed!G2:G11)</f>
        <v>#DIV/0!</v>
      </c>
    </row>
  </sheetData>
  <conditionalFormatting sqref="A16">
    <cfRule type="cellIs" dxfId="2" priority="1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366F-00B3-491D-A08E-89ABCD9C8352}">
  <dimension ref="A1:G14"/>
  <sheetViews>
    <sheetView tabSelected="1" workbookViewId="0">
      <selection activeCell="B15" sqref="B15"/>
    </sheetView>
  </sheetViews>
  <sheetFormatPr defaultRowHeight="14.5" x14ac:dyDescent="0.35"/>
  <cols>
    <col min="1" max="1" width="23.1796875" customWidth="1"/>
    <col min="2" max="2" width="19.90625" customWidth="1"/>
  </cols>
  <sheetData>
    <row r="1" spans="1:7" x14ac:dyDescent="0.35">
      <c r="B1" t="s">
        <v>0</v>
      </c>
      <c r="E1" t="s">
        <v>1</v>
      </c>
      <c r="F1" t="s">
        <v>2</v>
      </c>
      <c r="G1" t="s">
        <v>5</v>
      </c>
    </row>
    <row r="2" spans="1:7" x14ac:dyDescent="0.35">
      <c r="B2" t="s">
        <v>6</v>
      </c>
      <c r="E2">
        <v>2.5227544833</v>
      </c>
      <c r="F2">
        <v>-18.258097361964104</v>
      </c>
    </row>
    <row r="3" spans="1:7" x14ac:dyDescent="0.35">
      <c r="B3" t="s">
        <v>7</v>
      </c>
      <c r="E3">
        <v>2.2476811955999998</v>
      </c>
      <c r="F3">
        <v>-18.071350023233006</v>
      </c>
    </row>
    <row r="4" spans="1:7" x14ac:dyDescent="0.35">
      <c r="B4" t="s">
        <v>8</v>
      </c>
      <c r="E4">
        <v>1.4097047507999998</v>
      </c>
      <c r="F4">
        <v>-18.082669827082629</v>
      </c>
    </row>
    <row r="5" spans="1:7" x14ac:dyDescent="0.35">
      <c r="B5" t="s">
        <v>9</v>
      </c>
      <c r="E5">
        <v>1.9656831719999999</v>
      </c>
      <c r="F5">
        <v>-19.446888862168908</v>
      </c>
    </row>
    <row r="6" spans="1:7" x14ac:dyDescent="0.35">
      <c r="B6" t="s">
        <v>10</v>
      </c>
      <c r="E6">
        <v>3.0170952085000002</v>
      </c>
      <c r="F6">
        <v>-21.274861208083813</v>
      </c>
    </row>
    <row r="7" spans="1:7" x14ac:dyDescent="0.35">
      <c r="B7" t="s">
        <v>11</v>
      </c>
      <c r="E7">
        <v>2.4549079389999999</v>
      </c>
      <c r="F7">
        <v>-19.927058176502786</v>
      </c>
    </row>
    <row r="8" spans="1:7" x14ac:dyDescent="0.35">
      <c r="B8" t="s">
        <v>20</v>
      </c>
      <c r="E8">
        <v>1.187044539</v>
      </c>
      <c r="F8">
        <v>-17.754909598794949</v>
      </c>
    </row>
    <row r="9" spans="1:7" x14ac:dyDescent="0.35">
      <c r="B9" t="s">
        <v>21</v>
      </c>
      <c r="E9">
        <v>1.2617135804999999</v>
      </c>
      <c r="F9">
        <v>-16.901109651704726</v>
      </c>
    </row>
    <row r="10" spans="1:7" x14ac:dyDescent="0.35">
      <c r="B10" t="s">
        <v>18</v>
      </c>
    </row>
    <row r="11" spans="1:7" x14ac:dyDescent="0.35">
      <c r="B11" t="s">
        <v>19</v>
      </c>
    </row>
    <row r="13" spans="1:7" x14ac:dyDescent="0.35">
      <c r="A13" s="1"/>
    </row>
    <row r="14" spans="1:7" x14ac:dyDescent="0.35">
      <c r="A14" s="1"/>
    </row>
  </sheetData>
  <conditionalFormatting sqref="A14">
    <cfRule type="cellIs" dxfId="1" priority="1" operator="greater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EB7D-7003-415E-B28C-D81928370552}">
  <dimension ref="A1:G16"/>
  <sheetViews>
    <sheetView workbookViewId="0">
      <selection activeCell="G32" sqref="G32"/>
    </sheetView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B2" t="s">
        <v>6</v>
      </c>
      <c r="C2" t="e">
        <f>VAR(Isotope_unacidifed!C2:C3)</f>
        <v>#DIV/0!</v>
      </c>
      <c r="D2" t="e">
        <f>VAR(Isotope_unacidifed!D2:D3)</f>
        <v>#DIV/0!</v>
      </c>
      <c r="E2">
        <f>VAR(Isotope_unacidifed!E2:E3)</f>
        <v>3.1457436313294014E-5</v>
      </c>
      <c r="F2">
        <f>VAR(Isotope_unacidifed!F2:F3)</f>
        <v>3.9764209938780368E-2</v>
      </c>
      <c r="G2" t="e">
        <f>VAR(Isotope_unacidifed!G2:G3)</f>
        <v>#DIV/0!</v>
      </c>
    </row>
    <row r="3" spans="1:7" x14ac:dyDescent="0.35">
      <c r="B3" t="s">
        <v>7</v>
      </c>
    </row>
    <row r="4" spans="1:7" x14ac:dyDescent="0.35">
      <c r="B4" t="s">
        <v>8</v>
      </c>
      <c r="C4" t="e">
        <f>VAR(Isotope_unacidifed!C4:C5)</f>
        <v>#DIV/0!</v>
      </c>
      <c r="D4" t="e">
        <f>VAR(Isotope_unacidifed!D4:D5)</f>
        <v>#DIV/0!</v>
      </c>
      <c r="E4">
        <f>VAR(Isotope_unacidifed!E4:E5)</f>
        <v>2.0481203217671967E-3</v>
      </c>
      <c r="F4">
        <f>VAR(Isotope_unacidifed!F4:F5)</f>
        <v>1.4199198892902432E-2</v>
      </c>
      <c r="G4" t="e">
        <f>VAR(Isotope_unacidifed!G4:G5)</f>
        <v>#DIV/0!</v>
      </c>
    </row>
    <row r="5" spans="1:7" x14ac:dyDescent="0.35">
      <c r="B5" t="s">
        <v>9</v>
      </c>
    </row>
    <row r="6" spans="1:7" x14ac:dyDescent="0.35">
      <c r="B6" t="s">
        <v>10</v>
      </c>
      <c r="C6" t="e">
        <f>VAR(Isotope_unacidifed!C6:C7)</f>
        <v>#DIV/0!</v>
      </c>
      <c r="D6" t="e">
        <f>VAR(Isotope_unacidifed!D6:D7)</f>
        <v>#DIV/0!</v>
      </c>
      <c r="E6">
        <f>VAR(Isotope_unacidifed!E6:E7)</f>
        <v>2.1371136564403148E-3</v>
      </c>
      <c r="F6">
        <f>VAR(Isotope_unacidifed!F6:F7)</f>
        <v>7.4404413913494241E-3</v>
      </c>
      <c r="G6" t="e">
        <f>VAR(Isotope_unacidifed!G6:G7)</f>
        <v>#DIV/0!</v>
      </c>
    </row>
    <row r="7" spans="1:7" x14ac:dyDescent="0.35">
      <c r="B7" t="s">
        <v>11</v>
      </c>
    </row>
    <row r="8" spans="1:7" x14ac:dyDescent="0.35">
      <c r="B8" t="s">
        <v>16</v>
      </c>
      <c r="D8" t="e">
        <f>VAR(Isotope_unacidifed!D8:D9)</f>
        <v>#DIV/0!</v>
      </c>
      <c r="E8">
        <f>VAR(Isotope_unacidifed!E8:E9)</f>
        <v>1.1956998287602494E-3</v>
      </c>
      <c r="F8">
        <f>VAR(Isotope_unacidifed!F8:F9)</f>
        <v>0.32625703691037294</v>
      </c>
      <c r="G8" t="e">
        <f>VAR(Isotope_unacidifed!G8:G9)</f>
        <v>#DIV/0!</v>
      </c>
    </row>
    <row r="9" spans="1:7" x14ac:dyDescent="0.35">
      <c r="B9" t="s">
        <v>17</v>
      </c>
    </row>
    <row r="10" spans="1:7" x14ac:dyDescent="0.35">
      <c r="B10" t="s">
        <v>18</v>
      </c>
      <c r="D10" t="e">
        <f>VAR(Isotope_unacidifed!D10:D11)</f>
        <v>#DIV/0!</v>
      </c>
      <c r="E10">
        <f>VAR(Isotope_unacidifed!E10:E11)</f>
        <v>9.8093570405696079E-4</v>
      </c>
      <c r="F10">
        <f>VAR(Isotope_unacidifed!F10:F11)</f>
        <v>9.1144563924666008E-2</v>
      </c>
      <c r="G10" t="e">
        <f>VAR(Isotope_unacidifed!G10:G11)</f>
        <v>#DIV/0!</v>
      </c>
    </row>
    <row r="11" spans="1:7" x14ac:dyDescent="0.35">
      <c r="B11" t="s">
        <v>19</v>
      </c>
    </row>
    <row r="13" spans="1:7" x14ac:dyDescent="0.35">
      <c r="B13" t="s">
        <v>15</v>
      </c>
    </row>
    <row r="14" spans="1:7" x14ac:dyDescent="0.35">
      <c r="A14" t="s">
        <v>12</v>
      </c>
      <c r="B14">
        <v>5</v>
      </c>
      <c r="C14" t="e">
        <f t="shared" ref="C14:D14" si="0">SUM(C2:C12)</f>
        <v>#DIV/0!</v>
      </c>
      <c r="D14" t="e">
        <f t="shared" si="0"/>
        <v>#DIV/0!</v>
      </c>
      <c r="E14">
        <f>SUM(E2:E12)</f>
        <v>6.3933269473380157E-3</v>
      </c>
      <c r="F14">
        <f t="shared" ref="F14:G14" si="1">SUM(F2:F12)</f>
        <v>0.47880545105807121</v>
      </c>
      <c r="G14" t="e">
        <f t="shared" si="1"/>
        <v>#DIV/0!</v>
      </c>
    </row>
    <row r="15" spans="1:7" x14ac:dyDescent="0.35">
      <c r="A15" s="1" t="s">
        <v>13</v>
      </c>
      <c r="C15" t="e">
        <f>SQRT(C14/$B$14)</f>
        <v>#DIV/0!</v>
      </c>
      <c r="D15" t="e">
        <f>SQRT(D14/$B$14)</f>
        <v>#DIV/0!</v>
      </c>
      <c r="E15">
        <f>SQRT(E14/$B$14)</f>
        <v>3.5758431026369199E-2</v>
      </c>
      <c r="F15">
        <f t="shared" ref="F15:G15" si="2">SQRT(F14/$B$14)</f>
        <v>0.30945288851716063</v>
      </c>
      <c r="G15" t="e">
        <f t="shared" si="2"/>
        <v>#DIV/0!</v>
      </c>
    </row>
    <row r="16" spans="1:7" x14ac:dyDescent="0.35">
      <c r="A16" s="1" t="s">
        <v>14</v>
      </c>
      <c r="C16" t="e">
        <f>_xlfn.STDEV.S(Isotope_unacidifed!C2:C11)/AVERAGE(Isotope_unacidifed!C2:C11)</f>
        <v>#DIV/0!</v>
      </c>
      <c r="D16" t="e">
        <f>_xlfn.STDEV.S(Isotope_unacidifed!D2:D11)/AVERAGE(Isotope_unacidifed!D2:D11)</f>
        <v>#DIV/0!</v>
      </c>
      <c r="E16">
        <f>_xlfn.STDEV.S(Isotope_unacidifed!E2:E11)/AVERAGE(Isotope_unacidifed!E2:E11)</f>
        <v>0.22189228400733535</v>
      </c>
      <c r="F16">
        <f>_xlfn.STDEV.S(Isotope_unacidifed!F2:F11)/AVERAGE(Isotope_unacidifed!F2:F11)</f>
        <v>7.5068362509053271E-2</v>
      </c>
      <c r="G16" t="e">
        <f>_xlfn.STDEV.S(Isotope_unacidifed!G2:G11)/AVERAGE(Isotope_unacidifed!G2:G11)</f>
        <v>#DIV/0!</v>
      </c>
    </row>
  </sheetData>
  <conditionalFormatting sqref="A16">
    <cfRule type="cellIs" dxfId="0" priority="1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Isotope_unacidifed</vt:lpstr>
      <vt:lpstr>QAQC_unacidified</vt:lpstr>
      <vt:lpstr>Isotope_acidified</vt:lpstr>
      <vt:lpstr>QAQC_acidified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Lena (she/her/hers)</dc:creator>
  <cp:lastModifiedBy>Wang, Lena</cp:lastModifiedBy>
  <dcterms:created xsi:type="dcterms:W3CDTF">2024-10-16T14:47:23Z</dcterms:created>
  <dcterms:modified xsi:type="dcterms:W3CDTF">2025-04-07T18:08:41Z</dcterms:modified>
</cp:coreProperties>
</file>