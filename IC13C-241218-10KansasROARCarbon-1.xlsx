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64" documentId="13_ncr:1_{42776D75-D86C-40B3-81E0-56B7265A9BFC}" xr6:coauthVersionLast="47" xr6:coauthVersionMax="47" xr10:uidLastSave="{012CBA26-1C2E-4078-B6D6-40F28F28CFBD}"/>
  <bookViews>
    <workbookView xWindow="-110" yWindow="-110" windowWidth="19420" windowHeight="10300" tabRatio="679" activeTab="2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" i="6393" l="1"/>
  <c r="G20" i="6393"/>
  <c r="H20" i="6393"/>
  <c r="G21" i="6393"/>
  <c r="H21" i="6393"/>
  <c r="G22" i="6393"/>
  <c r="H22" i="6393"/>
  <c r="G23" i="6393"/>
  <c r="H23" i="6393"/>
  <c r="G24" i="6393"/>
  <c r="H24" i="6393"/>
  <c r="G25" i="6393"/>
  <c r="H25" i="6393"/>
  <c r="G26" i="6393"/>
  <c r="H26" i="6393"/>
  <c r="G27" i="6393"/>
  <c r="H27" i="6393"/>
  <c r="G28" i="6393"/>
  <c r="H28" i="6393"/>
  <c r="G29" i="6393"/>
  <c r="H29" i="6393"/>
  <c r="G30" i="6393"/>
  <c r="H30" i="6393"/>
  <c r="G31" i="6393"/>
  <c r="H31" i="6393"/>
  <c r="G32" i="6393"/>
  <c r="H32" i="6393"/>
  <c r="G33" i="6393"/>
  <c r="H33" i="6393"/>
  <c r="G34" i="6393"/>
  <c r="H34" i="6393"/>
  <c r="G35" i="6393"/>
  <c r="H35" i="6393"/>
  <c r="G36" i="6393"/>
  <c r="H36" i="6393"/>
  <c r="G37" i="6393"/>
  <c r="H37" i="6393"/>
  <c r="G38" i="6393"/>
  <c r="H38" i="6393"/>
  <c r="G39" i="6393"/>
  <c r="H39" i="6393"/>
  <c r="G40" i="6393"/>
  <c r="H40" i="6393"/>
  <c r="G41" i="6393"/>
  <c r="H41" i="6393"/>
  <c r="G42" i="6393"/>
  <c r="H42" i="6393"/>
  <c r="G43" i="6393"/>
  <c r="H43" i="6393"/>
  <c r="G44" i="6393"/>
  <c r="H44" i="6393"/>
  <c r="G45" i="6393"/>
  <c r="H45" i="6393"/>
  <c r="G46" i="6393"/>
  <c r="H46" i="6393"/>
  <c r="G47" i="6393"/>
  <c r="H47" i="6393"/>
  <c r="G48" i="6393"/>
  <c r="H48" i="6393"/>
  <c r="G49" i="6393"/>
  <c r="H49" i="6393"/>
  <c r="G50" i="6393"/>
  <c r="H50" i="6393"/>
  <c r="G51" i="6393"/>
  <c r="H51" i="6393"/>
  <c r="G52" i="6393"/>
  <c r="H52" i="6393"/>
  <c r="G53" i="6393"/>
  <c r="H53" i="6393"/>
  <c r="G54" i="6393"/>
  <c r="H54" i="6393"/>
  <c r="G55" i="6393"/>
  <c r="H55" i="6393"/>
  <c r="G56" i="6393"/>
  <c r="H56" i="6393"/>
  <c r="G57" i="6393"/>
  <c r="H57" i="6393"/>
  <c r="G58" i="6393"/>
  <c r="H58" i="6393"/>
  <c r="G59" i="6393"/>
  <c r="H59" i="6393"/>
  <c r="G60" i="6393"/>
  <c r="H60" i="6393"/>
  <c r="G61" i="6393"/>
  <c r="H61" i="6393"/>
  <c r="G62" i="6393"/>
  <c r="H62" i="6393"/>
  <c r="G63" i="6393"/>
  <c r="H63" i="6393"/>
  <c r="G64" i="6393"/>
  <c r="H64" i="6393"/>
  <c r="G65" i="6393"/>
  <c r="H65" i="6393"/>
  <c r="G66" i="6393"/>
  <c r="H66" i="6393"/>
  <c r="G67" i="6393"/>
  <c r="H67" i="6393"/>
  <c r="G68" i="6393"/>
  <c r="H68" i="6393"/>
  <c r="G69" i="6393"/>
  <c r="H69" i="6393"/>
  <c r="G70" i="6393"/>
  <c r="H70" i="6393"/>
  <c r="G71" i="6393"/>
  <c r="H71" i="6393"/>
  <c r="G72" i="6393"/>
  <c r="H72" i="6393"/>
  <c r="G19" i="6393"/>
  <c r="H19" i="6393"/>
  <c r="D12" i="6393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<sst xmlns="http://schemas.openxmlformats.org/spreadsheetml/2006/main" count="555" uniqueCount="405">
  <si>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</si>
  <si>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</si>
  <si>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</si>
  <si>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</si>
  <si>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</si>
  <si>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</si>
  <si>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</si>
  <si>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</si>
  <si>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</si>
  <si>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</si>
  <si>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</si>
  <si>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</si>
  <si>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</si>
  <si>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</si>
  <si>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</si>
  <si>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</si>
  <si>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</si>
  <si>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</si>
  <si>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</si>
  <si>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</si>
  <si>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</si>
  <si>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</si>
  <si>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</si>
  <si>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</si>
  <si>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</si>
  <si>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</si>
  <si>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</si>
  <si>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</si>
  <si>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</si>
  <si>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</si>
  <si>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</si>
  <si>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</si>
  <si>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</si>
  <si>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</si>
  <si>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</si>
  <si>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</si>
  <si>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</si>
  <si>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</si>
  <si>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</si>
  <si>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</si>
  <si>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</si>
  <si>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</si>
  <si>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</si>
  <si>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</si>
  <si>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</si>
  <si>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</si>
  <si>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</si>
  <si>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</si>
  <si>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</si>
  <si>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</si>
  <si>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</si>
  <si>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</si>
  <si>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</si>
  <si>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</si>
  <si>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</si>
  <si>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</si>
  <si>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</si>
  <si>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</si>
  <si>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</si>
  <si>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</si>
  <si>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</si>
  <si>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</si>
  <si>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</si>
  <si>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</si>
  <si>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</si>
  <si>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</si>
  <si>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</si>
  <si>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</si>
  <si>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</si>
  <si>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</si>
  <si>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</si>
  <si>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</si>
  <si>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</si>
  <si>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</si>
  <si>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</si>
  <si>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</si>
  <si>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</si>
  <si>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</si>
  <si>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</si>
  <si>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</si>
  <si>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</si>
  <si>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</si>
  <si>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</si>
  <si>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</si>
  <si>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</si>
  <si>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</si>
  <si>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</si>
  <si>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</si>
  <si>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</si>
  <si>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</si>
  <si>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</si>
  <si>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</si>
  <si>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</si>
  <si>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</si>
  <si>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</si>
  <si>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</si>
  <si>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</si>
  <si>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</si>
  <si>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</si>
  <si>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</si>
  <si>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</si>
  <si>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</si>
  <si>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</si>
  <si>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</si>
  <si>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</si>
  <si>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</si>
  <si>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</si>
  <si>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</si>
  <si>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</si>
  <si>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</si>
  <si>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</si>
  <si>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</si>
  <si>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</si>
  <si>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</si>
  <si>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</si>
  <si>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</si>
  <si>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</si>
  <si>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</si>
  <si>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</si>
  <si>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</si>
  <si>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</si>
  <si>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</si>
  <si>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</si>
  <si>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</si>
  <si>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</si>
  <si>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</si>
  <si>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</si>
  <si>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</si>
  <si>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</si>
  <si>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</si>
  <si>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</si>
  <si>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</si>
  <si>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</si>
  <si>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</si>
  <si>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</si>
  <si>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</si>
  <si>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</si>
  <si>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</si>
  <si>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</si>
  <si>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</si>
  <si>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</si>
  <si>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</si>
  <si>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</si>
  <si>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</si>
  <si>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</si>
  <si>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</si>
  <si>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</si>
  <si>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</si>
  <si>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</si>
  <si>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</si>
  <si>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</si>
  <si>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</si>
  <si>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</si>
  <si>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</si>
  <si>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</si>
  <si>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</si>
  <si>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</si>
  <si>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</si>
  <si>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</si>
  <si>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</si>
  <si>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</si>
  <si>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</si>
  <si>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</si>
  <si>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</si>
  <si>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</si>
  <si>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</si>
  <si>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</si>
  <si>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</si>
  <si>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</si>
  <si>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</si>
  <si>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</si>
  <si>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</si>
  <si>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</si>
  <si>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</si>
  <si>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</si>
  <si>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</si>
  <si>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</si>
  <si>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</si>
  <si>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</si>
  <si>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</si>
  <si>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</si>
  <si>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</si>
  <si>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</si>
  <si>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</si>
  <si>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</si>
  <si>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</si>
  <si>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</si>
  <si>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</si>
  <si>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</si>
  <si>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</si>
  <si>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</si>
  <si>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</si>
  <si>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</si>
  <si>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</si>
  <si>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</si>
  <si>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</si>
  <si>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</si>
  <si>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</si>
  <si>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</si>
  <si>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</si>
  <si>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</si>
  <si>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</si>
  <si>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</si>
  <si>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</si>
  <si>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</si>
  <si>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</si>
  <si>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</si>
  <si>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</si>
  <si>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</si>
  <si>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</si>
  <si>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</si>
  <si>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</si>
  <si>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</si>
  <si>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</si>
  <si>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</si>
  <si>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</si>
  <si>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</si>
  <si>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</si>
  <si>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</si>
  <si>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</si>
  <si>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</si>
  <si>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</si>
  <si>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</si>
  <si>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</si>
  <si>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</si>
  <si>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</si>
  <si>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</si>
  <si>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</si>
  <si>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</si>
  <si>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</si>
  <si>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</si>
  <si>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</si>
  <si>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</si>
  <si>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</si>
  <si>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</si>
  <si>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</si>
  <si>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</si>
  <si>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</si>
  <si>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</si>
  <si>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</si>
  <si>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</si>
  <si>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</si>
  <si>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</si>
  <si>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</si>
  <si>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</si>
  <si>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</si>
  <si>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</si>
  <si>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</si>
  <si>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</si>
  <si>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</si>
  <si>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</si>
  <si>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</si>
  <si>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</si>
  <si>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</si>
  <si>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</si>
  <si>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</si>
  <si>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</si>
  <si>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</si>
  <si>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</si>
  <si>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</si>
  <si>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</si>
  <si>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</si>
  <si>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</si>
  <si>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</si>
  <si>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</si>
  <si>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</si>
  <si>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</si>
  <si>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</si>
  <si>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</si>
  <si>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</si>
  <si>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</si>
  <si>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</si>
  <si>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</si>
  <si>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</si>
  <si>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</si>
  <si>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</si>
  <si>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</si>
  <si>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</si>
  <si>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</si>
  <si>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</si>
  <si>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</si>
  <si>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</si>
  <si>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</si>
  <si>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</si>
  <si>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</si>
  <si>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</si>
  <si>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</si>
  <si>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</si>
  <si>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</si>
  <si>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</si>
  <si>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</si>
  <si>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</si>
  <si>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</si>
  <si>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</si>
  <si>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</si>
  <si>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</si>
  <si>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</si>
  <si>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</si>
  <si>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</si>
  <si>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</si>
  <si>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</si>
  <si>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</si>
  <si>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</si>
  <si>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</si>
  <si>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</si>
  <si>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</si>
  <si>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</si>
  <si>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</si>
  <si>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</si>
  <si>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</si>
  <si>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</si>
  <si>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</si>
  <si>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</si>
  <si>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</si>
  <si>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</si>
  <si>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</si>
  <si>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</si>
  <si>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</si>
  <si>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</si>
  <si>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</si>
  <si>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</si>
  <si>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</si>
  <si>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</si>
  <si>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</si>
  <si>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</si>
  <si>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</si>
  <si>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</si>
  <si>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</si>
  <si>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</si>
  <si>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</si>
  <si>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</si>
  <si>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</si>
  <si>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</si>
  <si>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</si>
  <si>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</si>
  <si>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</si>
  <si>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</si>
  <si>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</si>
  <si>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</si>
  <si>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</si>
  <si>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</si>
  <si>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</si>
  <si>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</si>
  <si>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</si>
  <si>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</si>
  <si>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</si>
  <si>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</si>
  <si>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</si>
  <si>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</si>
  <si>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</si>
  <si>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</si>
  <si>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</si>
  <si>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</si>
  <si>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</si>
  <si>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</si>
  <si>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</si>
  <si>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</si>
  <si>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</si>
  <si>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</si>
  <si>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</si>
  <si>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</si>
  <si>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</si>
  <si>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</si>
  <si>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</si>
  <si>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and Oregon PINE</t>
  </si>
  <si>
    <t>The Kansas ROAR projects investigates soil health practices influences over nitrate leaching (Soil Samples collected from 0-8 inches in Kansas farmlands)</t>
  </si>
  <si>
    <t>Soil</t>
  </si>
  <si>
    <t>241218</t>
  </si>
  <si>
    <t>KansasROARCarbon-1</t>
  </si>
  <si>
    <t xml:space="preserve">20231120_E1_A </t>
  </si>
  <si>
    <t xml:space="preserve">20231120_E1_B </t>
  </si>
  <si>
    <t xml:space="preserve">20231120_E1_C </t>
  </si>
  <si>
    <t xml:space="preserve">20231120_E1_D </t>
  </si>
  <si>
    <t xml:space="preserve">20231120_E1_E </t>
  </si>
  <si>
    <t xml:space="preserve">20231120_E1_F </t>
  </si>
  <si>
    <t xml:space="preserve">20231120_E1_G </t>
  </si>
  <si>
    <t xml:space="preserve">20231120_E1_H </t>
  </si>
  <si>
    <t xml:space="preserve">20231120_E1_I </t>
  </si>
  <si>
    <t>20231120_E2_A</t>
  </si>
  <si>
    <t xml:space="preserve">20231120_E2_B </t>
  </si>
  <si>
    <t xml:space="preserve">20231120_E2_C </t>
  </si>
  <si>
    <t xml:space="preserve">20231120_E2_D </t>
  </si>
  <si>
    <t xml:space="preserve">20231120_E2_E </t>
  </si>
  <si>
    <t xml:space="preserve">20231120_E2_F </t>
  </si>
  <si>
    <t xml:space="preserve">20231120_E2_G </t>
  </si>
  <si>
    <t xml:space="preserve">20231120_E3_A </t>
  </si>
  <si>
    <t xml:space="preserve">20231120_E3_B </t>
  </si>
  <si>
    <t xml:space="preserve">20231120_E3_C </t>
  </si>
  <si>
    <t xml:space="preserve">20231120_E3_D </t>
  </si>
  <si>
    <t xml:space="preserve">20231120_E3_E </t>
  </si>
  <si>
    <t xml:space="preserve">20231120_E3_F </t>
  </si>
  <si>
    <t xml:space="preserve">20231120_E3_G </t>
  </si>
  <si>
    <t xml:space="preserve">20231120_E3_H </t>
  </si>
  <si>
    <t xml:space="preserve">20231120_E3_I </t>
  </si>
  <si>
    <t xml:space="preserve">20231120_S2_A </t>
  </si>
  <si>
    <t xml:space="preserve">20231120_S2_B </t>
  </si>
  <si>
    <t>20231120_S2_B_Dup</t>
  </si>
  <si>
    <t xml:space="preserve">20231120_S2_C </t>
  </si>
  <si>
    <t xml:space="preserve">20231120_S2_D </t>
  </si>
  <si>
    <t xml:space="preserve">20231120_S2_E </t>
  </si>
  <si>
    <t xml:space="preserve">20231120_S2_F </t>
  </si>
  <si>
    <t xml:space="preserve">20231120_S2_G </t>
  </si>
  <si>
    <t>20231120_S2_H</t>
  </si>
  <si>
    <t xml:space="preserve">20231120_S2_I </t>
  </si>
  <si>
    <t xml:space="preserve">20231120_S2_J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</si>
</sst>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1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7" fillId="18" borderId="12" xfId="0" applyFont="1" applyFill="1" applyBorder="1" applyAlignment="1" applyProtection="1">
      <alignment horizontal="center" wrapText="1"/>
      <protection locked="0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25"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24" dataDxfId="22" headerRowBorderDxfId="23" tableBorderDxfId="21" totalsRowBorderDxfId="20" headerRowCellStyle="Accent3">
  <autoFilter ref="E1:K16" xr:uid="{B118AAE5-6314-4991-BDCF-17CA9FBC3FF9}"/>
  <tableColumns count="7">
    <tableColumn id="1" xr3:uid="{5D36B30D-77B8-4D5D-9895-480D061267C8}" name="Last Name" dataDxfId="19"/>
    <tableColumn id="2" xr3:uid="{A6E9D35F-FE71-4119-B014-9E48C54984B4}" name="First Name" dataDxfId="18"/>
    <tableColumn id="3" xr3:uid="{3999A4BB-7307-470B-A6E4-445EE30963B1}" name="Branch" dataDxfId="17"/>
    <tableColumn id="4" xr3:uid="{7CB69ADB-FD93-4D3B-B155-F71BE7E3770F}" name="ID Number" dataDxfId="16"/>
    <tableColumn id="5" xr3:uid="{940639FA-9D60-4218-AF21-AAC1E4B69678}" name="Address" dataDxfId="15"/>
    <tableColumn id="6" xr3:uid="{6B88A187-DB08-469F-9EAA-D4B0D564CB1A}" name="email Address" dataDxfId="14"/>
    <tableColumn id="7" xr3:uid="{2758765F-F6B7-49E9-A496-3CB036C89C91}" name="Phone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opLeftCell="A5" workbookViewId="0">
      <selection activeCell="G19" sqref="G19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IC13C-241218-10KansasROARCarbon-1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25.5">
      <c r="B7" s="37" t="s">
        <v>20</v>
      </c>
      <c r="C7" s="651" t="s">
        <v>365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368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322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366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367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60" t="s">
        <v>98</v>
      </c>
      <c r="C34" s="661"/>
      <c r="D34" s="662"/>
    </row>
    <row r="35" spans="2:4" ht="13">
      <c r="B35" s="34" t="s">
        <v>100</v>
      </c>
      <c r="C35" s="665" t="s">
        <v>99</v>
      </c>
      <c r="D35" s="666"/>
    </row>
    <row r="36" spans="2:4" ht="13">
      <c r="B36" s="35" t="s">
        <v>105</v>
      </c>
      <c r="C36" s="667" t="s">
        <v>104</v>
      </c>
      <c r="D36" s="668"/>
    </row>
    <row r="37" spans="2:4" ht="13">
      <c r="B37" s="35" t="s">
        <v>120</v>
      </c>
      <c r="C37" s="667" t="s">
        <v>122</v>
      </c>
      <c r="D37" s="668"/>
    </row>
    <row r="38" spans="2:4" ht="13">
      <c r="B38" s="48" t="s">
        <v>121</v>
      </c>
      <c r="C38" s="667" t="s">
        <v>106</v>
      </c>
      <c r="D38" s="668"/>
    </row>
    <row r="39" spans="2:4" ht="13">
      <c r="B39" s="644" t="s">
        <v>146</v>
      </c>
      <c r="C39" s="669" t="s">
        <v>108</v>
      </c>
      <c r="D39" s="670"/>
    </row>
    <row r="40" spans="2:4" ht="13">
      <c r="B40" s="645" t="s">
        <v>101</v>
      </c>
      <c r="C40" s="654" t="s">
        <v>107</v>
      </c>
      <c r="D40" s="655"/>
    </row>
    <row r="41" spans="2:4" ht="15">
      <c r="B41" s="437" t="s">
        <v>102</v>
      </c>
      <c r="C41" s="656" t="s">
        <v>147</v>
      </c>
      <c r="D41" s="657"/>
    </row>
    <row r="42" spans="2:4" ht="15">
      <c r="B42" s="437" t="s">
        <v>103</v>
      </c>
      <c r="C42" s="656" t="s">
        <v>148</v>
      </c>
      <c r="D42" s="657"/>
    </row>
    <row r="43" spans="2:4" ht="14.5">
      <c r="B43" s="437" t="s">
        <v>179</v>
      </c>
      <c r="C43" s="658" t="s">
        <v>180</v>
      </c>
      <c r="D43" s="659"/>
    </row>
    <row r="44" spans="2:4" ht="13">
      <c r="B44" s="646" t="s">
        <v>340</v>
      </c>
      <c r="C44" s="663" t="s">
        <v>342</v>
      </c>
      <c r="D44" s="664"/>
    </row>
    <row r="45" spans="2:4" ht="13.5" thickBot="1">
      <c r="B45" s="647" t="s">
        <v>341</v>
      </c>
      <c r="C45" s="652" t="s">
        <v>343</v>
      </c>
      <c r="D45" s="65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workbookViewId="0">
      <selection activeCell="C40" sqref="C40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1" t="str">
        <f>COVER!C2</f>
        <v>IC13C-241218-10KansasROARCarbon-1</v>
      </c>
      <c r="D2" s="672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369</v>
      </c>
      <c r="C4" s="574">
        <v>25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370</v>
      </c>
      <c r="C5" s="574">
        <v>25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371</v>
      </c>
      <c r="C6" s="574">
        <v>25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372</v>
      </c>
      <c r="C7" s="574">
        <v>25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373</v>
      </c>
      <c r="C8" s="574">
        <v>25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374</v>
      </c>
      <c r="C9" s="574">
        <v>25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375</v>
      </c>
      <c r="C10" s="574">
        <v>25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376</v>
      </c>
      <c r="C11" s="574">
        <v>25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377</v>
      </c>
      <c r="C12" s="574">
        <v>25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378</v>
      </c>
      <c r="C13" s="574">
        <v>25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379</v>
      </c>
      <c r="C14" s="574">
        <v>25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380</v>
      </c>
      <c r="C15" s="574">
        <v>25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381</v>
      </c>
      <c r="C16" s="574">
        <v>25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382</v>
      </c>
      <c r="C17" s="574">
        <v>25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383</v>
      </c>
      <c r="C18" s="574">
        <v>25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384</v>
      </c>
      <c r="C19" s="574">
        <v>25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385</v>
      </c>
      <c r="C20" s="574">
        <v>25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386</v>
      </c>
      <c r="C21" s="574">
        <v>25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387</v>
      </c>
      <c r="C22" s="574">
        <v>25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388</v>
      </c>
      <c r="C23" s="574">
        <v>25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389</v>
      </c>
      <c r="C24" s="574">
        <v>25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390</v>
      </c>
      <c r="C25" s="574">
        <v>25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391</v>
      </c>
      <c r="C26" s="574">
        <v>25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392</v>
      </c>
      <c r="C27" s="574">
        <v>25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393</v>
      </c>
      <c r="C28" s="574">
        <v>25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394</v>
      </c>
      <c r="C29" s="574">
        <v>25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395</v>
      </c>
      <c r="C30" s="574">
        <v>25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396</v>
      </c>
      <c r="C31" s="574">
        <v>25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397</v>
      </c>
      <c r="C32" s="574">
        <v>25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398</v>
      </c>
      <c r="C33" s="574">
        <v>25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399</v>
      </c>
      <c r="C34" s="574">
        <v>25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400</v>
      </c>
      <c r="C35" s="574">
        <v>25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401</v>
      </c>
      <c r="C36" s="574">
        <v>25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402</v>
      </c>
      <c r="C37" s="574">
        <v>25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403</v>
      </c>
      <c r="C38" s="574">
        <v>25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 t="s">
        <v>404</v>
      </c>
      <c r="C39" s="434">
        <v>25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abSelected="1" workbookViewId="0">
      <selection activeCell="E66" sqref="E66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" thickTop="1" thickBot="1">
      <c r="A2" s="9"/>
      <c r="B2" s="154" t="s">
        <v>10</v>
      </c>
      <c r="C2" s="375" t="str">
        <f>COVER!C2</f>
        <v>IC13C-241218-10KansasROARCarbon-1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13C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3" t="s">
        <v>35</v>
      </c>
      <c r="F10" s="674"/>
      <c r="G10" s="675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241218</v>
      </c>
      <c r="T11" s="2"/>
    </row>
    <row r="12" spans="1:50" ht="14.5">
      <c r="A12" s="169" t="s">
        <v>181</v>
      </c>
      <c r="B12" s="162"/>
      <c r="C12" s="636" t="s">
        <v>355</v>
      </c>
      <c r="D12" s="642">
        <f>VLOOKUP(C12,Tables!A2:C17,3,FALSE)</f>
        <v>2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13C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IC13C241218-101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IC13C241218-102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IC13C241218-103</v>
      </c>
      <c r="B19" s="179" t="s">
        <v>39</v>
      </c>
      <c r="C19" s="180" t="str">
        <f>$C$9</f>
        <v>ISIRF Ulva</v>
      </c>
      <c r="D19" s="303">
        <f>$D$9</f>
        <v>1.2</v>
      </c>
      <c r="E19" s="464">
        <v>1.3149999999999999</v>
      </c>
      <c r="F19" s="181">
        <f t="shared" ref="F19:F72" si="0">F18+1</f>
        <v>3</v>
      </c>
      <c r="G19">
        <f>D19-D19*0.1</f>
        <v>1.08</v>
      </c>
      <c r="H19" s="33">
        <f>D19+D19*0.1</f>
        <v>1.3199999999999998</v>
      </c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IC13C241218-104</v>
      </c>
      <c r="B20" s="179" t="s">
        <v>40</v>
      </c>
      <c r="C20" s="180" t="str">
        <f>$C$10</f>
        <v>ISIRF Chitin</v>
      </c>
      <c r="D20" s="303">
        <f>$D$10</f>
        <v>1</v>
      </c>
      <c r="E20" s="464">
        <v>1.004</v>
      </c>
      <c r="F20" s="181">
        <f t="shared" si="0"/>
        <v>4</v>
      </c>
      <c r="G20">
        <f t="shared" ref="G20:G72" si="1">D20-D20*0.1</f>
        <v>0.9</v>
      </c>
      <c r="H20" s="33">
        <f t="shared" ref="H20:H72" si="2">D20+D20*0.1</f>
        <v>1.1000000000000001</v>
      </c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IC13C241218-105</v>
      </c>
      <c r="B21" s="179" t="s">
        <v>41</v>
      </c>
      <c r="C21" s="180" t="str">
        <f>$C$11</f>
        <v>ISIRF Bamboo</v>
      </c>
      <c r="D21" s="303">
        <f>$D$11</f>
        <v>1.5</v>
      </c>
      <c r="E21" s="465">
        <v>1.4650000000000001</v>
      </c>
      <c r="F21" s="181">
        <f t="shared" si="0"/>
        <v>5</v>
      </c>
      <c r="G21">
        <f t="shared" si="1"/>
        <v>1.35</v>
      </c>
      <c r="H21" s="33">
        <f t="shared" si="2"/>
        <v>1.65</v>
      </c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IC13C241218-106</v>
      </c>
      <c r="B22" s="179" t="s">
        <v>42</v>
      </c>
      <c r="C22" s="180" t="str">
        <f>C12</f>
        <v>NBS 1572 Citrus Leaf</v>
      </c>
      <c r="D22" s="303">
        <f>D12</f>
        <v>2</v>
      </c>
      <c r="E22" s="465">
        <v>1.94</v>
      </c>
      <c r="F22" s="181">
        <f t="shared" si="0"/>
        <v>6</v>
      </c>
      <c r="G22">
        <f t="shared" si="1"/>
        <v>1.8</v>
      </c>
      <c r="H22" s="33">
        <f t="shared" si="2"/>
        <v>2.2000000000000002</v>
      </c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IC13C241218-107</v>
      </c>
      <c r="B23" s="179" t="s">
        <v>43</v>
      </c>
      <c r="C23" s="410" t="str">
        <f>IF('Investigator Data'!B4="","","R1-"&amp;'Investigator Data'!B4)</f>
        <v xml:space="preserve">R1-20231120_E1_A </v>
      </c>
      <c r="D23" s="304">
        <f>IF('Investigator Data'!C4="",$D$8,'Investigator Data'!C4)</f>
        <v>25</v>
      </c>
      <c r="E23" s="465">
        <v>23.707000000000001</v>
      </c>
      <c r="F23" s="181">
        <f t="shared" si="0"/>
        <v>7</v>
      </c>
      <c r="G23">
        <f t="shared" si="1"/>
        <v>22.5</v>
      </c>
      <c r="H23" s="33">
        <f t="shared" si="2"/>
        <v>27.5</v>
      </c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IC13C241218-108</v>
      </c>
      <c r="B24" s="179" t="s">
        <v>44</v>
      </c>
      <c r="C24" s="182" t="str">
        <f>IF('Investigator Data'!B5="","",'Investigator Data'!B5)</f>
        <v xml:space="preserve">20231120_E1_B </v>
      </c>
      <c r="D24" s="304">
        <f>IF('Investigator Data'!C5="",$D$8,'Investigator Data'!C5)</f>
        <v>25</v>
      </c>
      <c r="E24" s="465">
        <v>23.760999999999999</v>
      </c>
      <c r="F24" s="181">
        <f t="shared" si="0"/>
        <v>8</v>
      </c>
      <c r="G24">
        <f t="shared" si="1"/>
        <v>22.5</v>
      </c>
      <c r="H24" s="33">
        <f t="shared" si="2"/>
        <v>27.5</v>
      </c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IC13C241218-109</v>
      </c>
      <c r="B25" s="179" t="s">
        <v>187</v>
      </c>
      <c r="C25" s="182" t="str">
        <f>IF('Investigator Data'!B6="","",'Investigator Data'!B6)</f>
        <v xml:space="preserve">20231120_E1_C </v>
      </c>
      <c r="D25" s="304">
        <f>IF('Investigator Data'!C6="",$D$8,'Investigator Data'!C6)</f>
        <v>25</v>
      </c>
      <c r="E25" s="465">
        <v>24.626999999999999</v>
      </c>
      <c r="F25" s="181">
        <f t="shared" si="0"/>
        <v>9</v>
      </c>
      <c r="G25">
        <f t="shared" si="1"/>
        <v>22.5</v>
      </c>
      <c r="H25" s="33">
        <f t="shared" si="2"/>
        <v>27.5</v>
      </c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IC13C241218-1010</v>
      </c>
      <c r="B26" s="179" t="s">
        <v>188</v>
      </c>
      <c r="C26" s="182" t="str">
        <f>IF('Investigator Data'!B7="","",'Investigator Data'!B7)</f>
        <v xml:space="preserve">20231120_E1_D </v>
      </c>
      <c r="D26" s="304">
        <f>IF('Investigator Data'!C7="",$D$8,'Investigator Data'!C7)</f>
        <v>25</v>
      </c>
      <c r="E26" s="465">
        <v>25.37</v>
      </c>
      <c r="F26" s="181">
        <f t="shared" si="0"/>
        <v>10</v>
      </c>
      <c r="G26">
        <f t="shared" si="1"/>
        <v>22.5</v>
      </c>
      <c r="H26" s="33">
        <f t="shared" si="2"/>
        <v>27.5</v>
      </c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IC13C241218-1011</v>
      </c>
      <c r="B27" s="179" t="s">
        <v>189</v>
      </c>
      <c r="C27" s="182" t="str">
        <f>IF('Investigator Data'!B8="","",'Investigator Data'!B8)</f>
        <v xml:space="preserve">20231120_E1_E </v>
      </c>
      <c r="D27" s="304">
        <f>IF('Investigator Data'!C8="",$D$8,'Investigator Data'!C8)</f>
        <v>25</v>
      </c>
      <c r="E27" s="465">
        <v>24.204999999999998</v>
      </c>
      <c r="F27" s="181">
        <f t="shared" si="0"/>
        <v>11</v>
      </c>
      <c r="G27">
        <f t="shared" si="1"/>
        <v>22.5</v>
      </c>
      <c r="H27" s="33">
        <f t="shared" si="2"/>
        <v>27.5</v>
      </c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IC13C241218-1012</v>
      </c>
      <c r="B28" s="179" t="s">
        <v>190</v>
      </c>
      <c r="C28" s="182" t="str">
        <f>IF('Investigator Data'!B9="","",'Investigator Data'!B9)</f>
        <v xml:space="preserve">20231120_E1_F </v>
      </c>
      <c r="D28" s="304">
        <f>IF('Investigator Data'!C9="",$D$8,'Investigator Data'!C9)</f>
        <v>25</v>
      </c>
      <c r="E28" s="465">
        <v>24.661000000000001</v>
      </c>
      <c r="F28" s="181">
        <f t="shared" si="0"/>
        <v>12</v>
      </c>
      <c r="G28">
        <f t="shared" si="1"/>
        <v>22.5</v>
      </c>
      <c r="H28" s="33">
        <f t="shared" si="2"/>
        <v>27.5</v>
      </c>
      <c r="T28" s="2"/>
    </row>
    <row r="29" spans="1:20" ht="13">
      <c r="A29" s="178" t="str">
        <f>"IC"&amp;COVER!C$15&amp;COVER!C$23&amp;"-"&amp;COVER!C$22&amp;F29</f>
        <v>IC13C241218-1013</v>
      </c>
      <c r="B29" s="179" t="s">
        <v>45</v>
      </c>
      <c r="C29" s="182" t="str">
        <f>IF('Investigator Data'!B10="","",'Investigator Data'!B10)</f>
        <v xml:space="preserve">20231120_E1_G </v>
      </c>
      <c r="D29" s="304">
        <f>IF('Investigator Data'!C10="",$D$8,'Investigator Data'!C10)</f>
        <v>25</v>
      </c>
      <c r="E29" s="465">
        <v>25.129000000000001</v>
      </c>
      <c r="F29" s="181">
        <f t="shared" si="0"/>
        <v>13</v>
      </c>
      <c r="G29">
        <f t="shared" si="1"/>
        <v>22.5</v>
      </c>
      <c r="H29" s="33">
        <f t="shared" si="2"/>
        <v>27.5</v>
      </c>
      <c r="T29" s="2"/>
    </row>
    <row r="30" spans="1:20" ht="13">
      <c r="A30" s="178" t="str">
        <f>"IC"&amp;COVER!C$15&amp;COVER!C$23&amp;"-"&amp;COVER!C$22&amp;F30</f>
        <v>IC13C241218-1014</v>
      </c>
      <c r="B30" s="179" t="s">
        <v>46</v>
      </c>
      <c r="C30" s="182" t="str">
        <f>IF('Investigator Data'!B11="","",'Investigator Data'!B11)</f>
        <v xml:space="preserve">20231120_E1_H </v>
      </c>
      <c r="D30" s="304">
        <f>IF('Investigator Data'!C11="",$D$8,'Investigator Data'!C11)</f>
        <v>25</v>
      </c>
      <c r="E30" s="465">
        <v>24.126000000000001</v>
      </c>
      <c r="F30" s="181">
        <f t="shared" si="0"/>
        <v>14</v>
      </c>
      <c r="G30">
        <f t="shared" si="1"/>
        <v>22.5</v>
      </c>
      <c r="H30" s="33">
        <f t="shared" si="2"/>
        <v>27.5</v>
      </c>
      <c r="T30" s="2"/>
    </row>
    <row r="31" spans="1:20" ht="13">
      <c r="A31" s="178" t="str">
        <f>"IC"&amp;COVER!C$15&amp;COVER!C$23&amp;"-"&amp;COVER!C$22&amp;F31</f>
        <v>IC13C241218-1015</v>
      </c>
      <c r="B31" s="179" t="s">
        <v>47</v>
      </c>
      <c r="C31" s="182" t="str">
        <f>IF('Investigator Data'!B12="","",'Investigator Data'!B12)</f>
        <v xml:space="preserve">20231120_E1_I </v>
      </c>
      <c r="D31" s="304">
        <f>IF('Investigator Data'!C12="",$D$8,'Investigator Data'!C12)</f>
        <v>25</v>
      </c>
      <c r="E31" s="465">
        <v>24.285</v>
      </c>
      <c r="F31" s="181">
        <f t="shared" si="0"/>
        <v>15</v>
      </c>
      <c r="G31">
        <f t="shared" si="1"/>
        <v>22.5</v>
      </c>
      <c r="H31" s="33">
        <f t="shared" si="2"/>
        <v>27.5</v>
      </c>
      <c r="T31" s="2"/>
    </row>
    <row r="32" spans="1:20" ht="13">
      <c r="A32" s="178" t="str">
        <f>"IC"&amp;COVER!C$15&amp;COVER!C$23&amp;"-"&amp;COVER!C$22&amp;F32</f>
        <v>IC13C241218-1016</v>
      </c>
      <c r="B32" s="179" t="s">
        <v>48</v>
      </c>
      <c r="C32" s="180" t="str">
        <f>$C$9</f>
        <v>ISIRF Ulva</v>
      </c>
      <c r="D32" s="303">
        <f>$D$9</f>
        <v>1.2</v>
      </c>
      <c r="E32" s="465">
        <v>1.149</v>
      </c>
      <c r="F32" s="181">
        <f t="shared" si="0"/>
        <v>16</v>
      </c>
      <c r="G32">
        <f t="shared" si="1"/>
        <v>1.08</v>
      </c>
      <c r="H32" s="33">
        <f t="shared" si="2"/>
        <v>1.3199999999999998</v>
      </c>
      <c r="T32" s="2"/>
    </row>
    <row r="33" spans="1:20" ht="13">
      <c r="A33" s="178" t="str">
        <f>"IC"&amp;COVER!C$15&amp;COVER!C$23&amp;"-"&amp;COVER!C$22&amp;F33</f>
        <v>IC13C241218-1017</v>
      </c>
      <c r="B33" s="179" t="s">
        <v>49</v>
      </c>
      <c r="C33" s="182" t="str">
        <f>IF('Investigator Data'!B13="","",'Investigator Data'!B13)</f>
        <v>20231120_E2_A</v>
      </c>
      <c r="D33" s="304">
        <f>IF('Investigator Data'!C13="",$D$8,'Investigator Data'!C13)</f>
        <v>25</v>
      </c>
      <c r="E33" s="465">
        <v>26.753</v>
      </c>
      <c r="F33" s="181">
        <f t="shared" si="0"/>
        <v>17</v>
      </c>
      <c r="G33">
        <f t="shared" si="1"/>
        <v>22.5</v>
      </c>
      <c r="H33" s="33">
        <f t="shared" si="2"/>
        <v>27.5</v>
      </c>
      <c r="T33" s="2"/>
    </row>
    <row r="34" spans="1:20" ht="13">
      <c r="A34" s="178" t="str">
        <f>"IC"&amp;COVER!C$15&amp;COVER!C$23&amp;"-"&amp;COVER!C$22&amp;F34</f>
        <v>IC13C241218-1018</v>
      </c>
      <c r="B34" s="179" t="s">
        <v>50</v>
      </c>
      <c r="C34" s="182" t="str">
        <f>IF('Investigator Data'!B14="","",'Investigator Data'!B14)</f>
        <v xml:space="preserve">20231120_E2_B </v>
      </c>
      <c r="D34" s="304">
        <f>IF('Investigator Data'!C14="",$D$8,'Investigator Data'!C14)</f>
        <v>25</v>
      </c>
      <c r="E34" s="465">
        <v>26.521000000000001</v>
      </c>
      <c r="F34" s="181">
        <f t="shared" si="0"/>
        <v>18</v>
      </c>
      <c r="G34">
        <f t="shared" si="1"/>
        <v>22.5</v>
      </c>
      <c r="H34" s="33">
        <f t="shared" si="2"/>
        <v>27.5</v>
      </c>
      <c r="T34" s="2"/>
    </row>
    <row r="35" spans="1:20" ht="13">
      <c r="A35" s="178" t="str">
        <f>"IC"&amp;COVER!C$15&amp;COVER!C$23&amp;"-"&amp;COVER!C$22&amp;F35</f>
        <v>IC13C241218-1019</v>
      </c>
      <c r="B35" s="179" t="s">
        <v>51</v>
      </c>
      <c r="C35" s="182" t="str">
        <f>IF('Investigator Data'!B15="","",'Investigator Data'!B15)</f>
        <v xml:space="preserve">20231120_E2_C </v>
      </c>
      <c r="D35" s="304">
        <f>IF('Investigator Data'!C15="",$D$8,'Investigator Data'!C15)</f>
        <v>25</v>
      </c>
      <c r="E35" s="465">
        <v>23.106000000000002</v>
      </c>
      <c r="F35" s="181">
        <f t="shared" si="0"/>
        <v>19</v>
      </c>
      <c r="G35">
        <f t="shared" si="1"/>
        <v>22.5</v>
      </c>
      <c r="H35" s="33">
        <f t="shared" si="2"/>
        <v>27.5</v>
      </c>
      <c r="T35" s="2"/>
    </row>
    <row r="36" spans="1:20" ht="13">
      <c r="A36" s="178" t="str">
        <f>"IC"&amp;COVER!C$15&amp;COVER!C$23&amp;"-"&amp;COVER!C$22&amp;F36</f>
        <v>IC13C241218-1020</v>
      </c>
      <c r="B36" s="179" t="s">
        <v>52</v>
      </c>
      <c r="C36" s="182" t="str">
        <f>IF('Investigator Data'!B16="","",'Investigator Data'!B16)</f>
        <v xml:space="preserve">20231120_E2_D </v>
      </c>
      <c r="D36" s="304">
        <f>IF('Investigator Data'!C16="",$D$8,'Investigator Data'!C16)</f>
        <v>25</v>
      </c>
      <c r="E36" s="465">
        <v>26.448</v>
      </c>
      <c r="F36" s="181">
        <f t="shared" si="0"/>
        <v>20</v>
      </c>
      <c r="G36">
        <f t="shared" si="1"/>
        <v>22.5</v>
      </c>
      <c r="H36" s="33">
        <f t="shared" si="2"/>
        <v>27.5</v>
      </c>
      <c r="T36" s="2"/>
    </row>
    <row r="37" spans="1:20" ht="13">
      <c r="A37" s="178" t="str">
        <f>"IC"&amp;COVER!C$15&amp;COVER!C$23&amp;"-"&amp;COVER!C$22&amp;F37</f>
        <v>IC13C241218-1021</v>
      </c>
      <c r="B37" s="179" t="s">
        <v>191</v>
      </c>
      <c r="C37" s="410" t="str">
        <f>IF('Investigator Data'!B17="","","R2-"&amp;'Investigator Data'!B17)</f>
        <v xml:space="preserve">R2-20231120_E2_E </v>
      </c>
      <c r="D37" s="304">
        <f>IF('Investigator Data'!C17="",$D$8,'Investigator Data'!C17)</f>
        <v>25</v>
      </c>
      <c r="E37" s="465">
        <v>26.295999999999999</v>
      </c>
      <c r="F37" s="181">
        <f t="shared" si="0"/>
        <v>21</v>
      </c>
      <c r="G37">
        <f t="shared" si="1"/>
        <v>22.5</v>
      </c>
      <c r="H37" s="33">
        <f t="shared" si="2"/>
        <v>27.5</v>
      </c>
      <c r="T37" s="2"/>
    </row>
    <row r="38" spans="1:20" ht="13">
      <c r="A38" s="178" t="str">
        <f>"IC"&amp;COVER!C$15&amp;COVER!C$23&amp;"-"&amp;COVER!C$22&amp;F38</f>
        <v>IC13C241218-1022</v>
      </c>
      <c r="B38" s="179" t="s">
        <v>192</v>
      </c>
      <c r="C38" s="410" t="str">
        <f>IF('Investigator Data'!B17="","","R2-"&amp;'Investigator Data'!B17)</f>
        <v xml:space="preserve">R2-20231120_E2_E </v>
      </c>
      <c r="D38" s="304">
        <f>IF('Investigator Data'!C17="",$D$8,'Investigator Data'!C17)</f>
        <v>25</v>
      </c>
      <c r="E38" s="465">
        <v>24.864000000000001</v>
      </c>
      <c r="F38" s="181">
        <f t="shared" si="0"/>
        <v>22</v>
      </c>
      <c r="G38">
        <f t="shared" si="1"/>
        <v>22.5</v>
      </c>
      <c r="H38" s="33">
        <f t="shared" si="2"/>
        <v>27.5</v>
      </c>
      <c r="T38" s="2"/>
    </row>
    <row r="39" spans="1:20" ht="13">
      <c r="A39" s="178" t="str">
        <f>"IC"&amp;COVER!C$15&amp;COVER!C$23&amp;"-"&amp;COVER!C$22&amp;F39</f>
        <v>IC13C241218-1023</v>
      </c>
      <c r="B39" s="179" t="s">
        <v>193</v>
      </c>
      <c r="C39" s="182" t="str">
        <f>IF('Investigator Data'!B18="","",'Investigator Data'!B18)</f>
        <v xml:space="preserve">20231120_E2_F </v>
      </c>
      <c r="D39" s="304">
        <f>IF('Investigator Data'!C18="",$D$8,'Investigator Data'!C18)</f>
        <v>25</v>
      </c>
      <c r="E39" s="465">
        <v>24.242000000000001</v>
      </c>
      <c r="F39" s="181">
        <f t="shared" si="0"/>
        <v>23</v>
      </c>
      <c r="G39">
        <f t="shared" si="1"/>
        <v>22.5</v>
      </c>
      <c r="H39" s="33">
        <f t="shared" si="2"/>
        <v>27.5</v>
      </c>
      <c r="T39" s="2"/>
    </row>
    <row r="40" spans="1:20" ht="13">
      <c r="A40" s="178" t="str">
        <f>"IC"&amp;COVER!C$15&amp;COVER!C$23&amp;"-"&amp;COVER!C$22&amp;F40</f>
        <v>IC13C241218-1024</v>
      </c>
      <c r="B40" s="179" t="s">
        <v>194</v>
      </c>
      <c r="C40" s="182" t="str">
        <f>IF('Investigator Data'!B19="","",'Investigator Data'!B19)</f>
        <v xml:space="preserve">20231120_E2_G </v>
      </c>
      <c r="D40" s="304">
        <f>IF('Investigator Data'!C19="",$D$8,'Investigator Data'!C19)</f>
        <v>25</v>
      </c>
      <c r="E40" s="465">
        <v>25.155000000000001</v>
      </c>
      <c r="F40" s="181">
        <f t="shared" si="0"/>
        <v>24</v>
      </c>
      <c r="G40">
        <f t="shared" si="1"/>
        <v>22.5</v>
      </c>
      <c r="H40" s="33">
        <f t="shared" si="2"/>
        <v>27.5</v>
      </c>
      <c r="T40" s="2"/>
    </row>
    <row r="41" spans="1:20" ht="13">
      <c r="A41" s="178" t="str">
        <f>"IC"&amp;COVER!C$15&amp;COVER!C$23&amp;"-"&amp;COVER!C$22&amp;F41</f>
        <v>IC13C241218-1025</v>
      </c>
      <c r="B41" s="179" t="s">
        <v>174</v>
      </c>
      <c r="C41" s="182" t="str">
        <f>IF('Investigator Data'!B20="","",'Investigator Data'!B20)</f>
        <v xml:space="preserve">20231120_E3_A </v>
      </c>
      <c r="D41" s="304">
        <f>IF('Investigator Data'!C20="",$D$8,'Investigator Data'!C20)</f>
        <v>25</v>
      </c>
      <c r="E41" s="465">
        <v>25.538</v>
      </c>
      <c r="F41" s="181">
        <f t="shared" si="0"/>
        <v>25</v>
      </c>
      <c r="G41">
        <f t="shared" si="1"/>
        <v>22.5</v>
      </c>
      <c r="H41" s="33">
        <f t="shared" si="2"/>
        <v>27.5</v>
      </c>
      <c r="T41" s="2"/>
    </row>
    <row r="42" spans="1:20" ht="13">
      <c r="A42" s="178" t="str">
        <f>"IC"&amp;COVER!C$15&amp;COVER!C$23&amp;"-"&amp;COVER!C$22&amp;F42</f>
        <v>IC13C241218-1026</v>
      </c>
      <c r="B42" s="179" t="s">
        <v>53</v>
      </c>
      <c r="C42" s="182" t="str">
        <f>IF('Investigator Data'!B21="","",'Investigator Data'!B21)</f>
        <v xml:space="preserve">20231120_E3_B </v>
      </c>
      <c r="D42" s="304">
        <f>IF('Investigator Data'!C21="",$D$8,'Investigator Data'!C21)</f>
        <v>25</v>
      </c>
      <c r="E42" s="465">
        <v>24.550999999999998</v>
      </c>
      <c r="F42" s="181">
        <f t="shared" si="0"/>
        <v>26</v>
      </c>
      <c r="G42">
        <f t="shared" si="1"/>
        <v>22.5</v>
      </c>
      <c r="H42" s="33">
        <f t="shared" si="2"/>
        <v>27.5</v>
      </c>
      <c r="T42" s="2"/>
    </row>
    <row r="43" spans="1:20" ht="13">
      <c r="A43" s="178" t="str">
        <f>"IC"&amp;COVER!C$15&amp;COVER!C$23&amp;"-"&amp;COVER!C$22&amp;F43</f>
        <v>IC13C241218-1027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>
        <f t="shared" si="1"/>
        <v>0</v>
      </c>
      <c r="H43" s="33">
        <f t="shared" si="2"/>
        <v>0</v>
      </c>
      <c r="T43" s="2"/>
    </row>
    <row r="44" spans="1:20" ht="13">
      <c r="A44" s="178" t="str">
        <f>"IC"&amp;COVER!C$15&amp;COVER!C$23&amp;"-"&amp;COVER!C$22&amp;F44</f>
        <v>IC13C241218-1028</v>
      </c>
      <c r="B44" s="179" t="s">
        <v>55</v>
      </c>
      <c r="C44" s="180" t="str">
        <f>$C$9</f>
        <v>ISIRF Ulva</v>
      </c>
      <c r="D44" s="303">
        <f>$D$9</f>
        <v>1.2</v>
      </c>
      <c r="E44" s="465">
        <v>1.1919999999999999</v>
      </c>
      <c r="F44" s="181">
        <f t="shared" si="0"/>
        <v>28</v>
      </c>
      <c r="G44">
        <f t="shared" si="1"/>
        <v>1.08</v>
      </c>
      <c r="H44" s="33">
        <f t="shared" si="2"/>
        <v>1.3199999999999998</v>
      </c>
      <c r="T44" s="2"/>
    </row>
    <row r="45" spans="1:20" ht="13">
      <c r="A45" s="178" t="str">
        <f>"IC"&amp;COVER!C$15&amp;COVER!C$23&amp;"-"&amp;COVER!C$22&amp;F45</f>
        <v>IC13C241218-1029</v>
      </c>
      <c r="B45" s="179" t="s">
        <v>56</v>
      </c>
      <c r="C45" s="180" t="str">
        <f>C10</f>
        <v>ISIRF Chitin</v>
      </c>
      <c r="D45" s="303">
        <f>$D$10</f>
        <v>1</v>
      </c>
      <c r="E45" s="465">
        <v>0.96299999999999997</v>
      </c>
      <c r="F45" s="181">
        <f t="shared" si="0"/>
        <v>29</v>
      </c>
      <c r="G45">
        <f t="shared" si="1"/>
        <v>0.9</v>
      </c>
      <c r="H45" s="33">
        <f t="shared" si="2"/>
        <v>1.1000000000000001</v>
      </c>
      <c r="T45" s="2"/>
    </row>
    <row r="46" spans="1:20" ht="13">
      <c r="A46" s="178" t="str">
        <f>"IC"&amp;COVER!C$15&amp;COVER!C$23&amp;"-"&amp;COVER!C$22&amp;F46</f>
        <v>IC13C241218-1030</v>
      </c>
      <c r="B46" s="179" t="s">
        <v>57</v>
      </c>
      <c r="C46" s="180" t="str">
        <f>C11</f>
        <v>ISIRF Bamboo</v>
      </c>
      <c r="D46" s="303">
        <f>$D$11</f>
        <v>1.5</v>
      </c>
      <c r="E46" s="465">
        <v>1.4470000000000001</v>
      </c>
      <c r="F46" s="181">
        <f t="shared" si="0"/>
        <v>30</v>
      </c>
      <c r="G46">
        <f t="shared" si="1"/>
        <v>1.35</v>
      </c>
      <c r="H46" s="33">
        <f t="shared" si="2"/>
        <v>1.65</v>
      </c>
      <c r="T46" s="2"/>
    </row>
    <row r="47" spans="1:20" ht="13">
      <c r="A47" s="178" t="str">
        <f>"IC"&amp;COVER!C$15&amp;COVER!C$23&amp;"-"&amp;COVER!C$22&amp;F47</f>
        <v>IC13C241218-1031</v>
      </c>
      <c r="B47" s="179" t="s">
        <v>58</v>
      </c>
      <c r="C47" s="180" t="str">
        <f>C12</f>
        <v>NBS 1572 Citrus Leaf</v>
      </c>
      <c r="D47" s="303">
        <f>$D$12</f>
        <v>2</v>
      </c>
      <c r="E47" s="465">
        <v>2.1030000000000002</v>
      </c>
      <c r="F47" s="181">
        <f t="shared" si="0"/>
        <v>31</v>
      </c>
      <c r="G47">
        <f t="shared" si="1"/>
        <v>1.8</v>
      </c>
      <c r="H47" s="33">
        <f t="shared" si="2"/>
        <v>2.2000000000000002</v>
      </c>
      <c r="T47" s="2"/>
    </row>
    <row r="48" spans="1:20" ht="13">
      <c r="A48" s="178" t="str">
        <f>"IC"&amp;COVER!C$15&amp;COVER!C$23&amp;"-"&amp;COVER!C$22&amp;F48</f>
        <v>IC13C241218-1032</v>
      </c>
      <c r="B48" s="179" t="s">
        <v>59</v>
      </c>
      <c r="C48" s="183" t="str">
        <f>IF('Investigator Data'!B22="","",'Investigator Data'!B22)</f>
        <v xml:space="preserve">20231120_E3_C </v>
      </c>
      <c r="D48" s="304">
        <f>IF('Investigator Data'!C22="",$D$8,'Investigator Data'!C22)</f>
        <v>25</v>
      </c>
      <c r="E48" s="465">
        <v>26.626000000000001</v>
      </c>
      <c r="F48" s="181">
        <f t="shared" si="0"/>
        <v>32</v>
      </c>
      <c r="G48">
        <f t="shared" si="1"/>
        <v>22.5</v>
      </c>
      <c r="H48" s="33">
        <f t="shared" si="2"/>
        <v>27.5</v>
      </c>
      <c r="T48" s="2"/>
    </row>
    <row r="49" spans="1:20" ht="13">
      <c r="A49" s="178" t="str">
        <f>"IC"&amp;COVER!C$15&amp;COVER!C$23&amp;"-"&amp;COVER!C$22&amp;F49</f>
        <v>IC13C241218-1033</v>
      </c>
      <c r="B49" s="179" t="s">
        <v>195</v>
      </c>
      <c r="C49" s="183" t="str">
        <f>IF('Investigator Data'!B23="","",'Investigator Data'!B23)</f>
        <v xml:space="preserve">20231120_E3_D </v>
      </c>
      <c r="D49" s="304">
        <f>IF('Investigator Data'!C23="",$D$8,'Investigator Data'!C23)</f>
        <v>25</v>
      </c>
      <c r="E49" s="465">
        <v>24.141999999999999</v>
      </c>
      <c r="F49" s="181">
        <f t="shared" si="0"/>
        <v>33</v>
      </c>
      <c r="G49">
        <f t="shared" si="1"/>
        <v>22.5</v>
      </c>
      <c r="H49" s="33">
        <f t="shared" si="2"/>
        <v>27.5</v>
      </c>
      <c r="T49" s="2"/>
    </row>
    <row r="50" spans="1:20" ht="13">
      <c r="A50" s="178" t="str">
        <f>"IC"&amp;COVER!C$15&amp;COVER!C$23&amp;"-"&amp;COVER!C$22&amp;F50</f>
        <v>IC13C241218-1034</v>
      </c>
      <c r="B50" s="179" t="s">
        <v>196</v>
      </c>
      <c r="C50" s="183" t="str">
        <f>IF('Investigator Data'!B24="","",'Investigator Data'!B24)</f>
        <v xml:space="preserve">20231120_E3_E </v>
      </c>
      <c r="D50" s="304">
        <f>IF('Investigator Data'!C24="",$D$8,'Investigator Data'!C24)</f>
        <v>25</v>
      </c>
      <c r="E50" s="465">
        <v>25.998999999999999</v>
      </c>
      <c r="F50" s="181">
        <f t="shared" si="0"/>
        <v>34</v>
      </c>
      <c r="G50">
        <f t="shared" si="1"/>
        <v>22.5</v>
      </c>
      <c r="H50" s="33">
        <f t="shared" si="2"/>
        <v>27.5</v>
      </c>
      <c r="T50" s="2"/>
    </row>
    <row r="51" spans="1:20" ht="13">
      <c r="A51" s="178" t="str">
        <f>"IC"&amp;COVER!C$15&amp;COVER!C$23&amp;"-"&amp;COVER!C$22&amp;F51</f>
        <v>IC13C241218-1035</v>
      </c>
      <c r="B51" s="179" t="s">
        <v>197</v>
      </c>
      <c r="C51" s="183" t="str">
        <f>IF('Investigator Data'!B25="","",'Investigator Data'!B25)</f>
        <v xml:space="preserve">20231120_E3_F </v>
      </c>
      <c r="D51" s="304">
        <f>IF('Investigator Data'!C25="",$D$8,'Investigator Data'!C25)</f>
        <v>25</v>
      </c>
      <c r="E51" s="465">
        <v>26.472999999999999</v>
      </c>
      <c r="F51" s="181">
        <f t="shared" si="0"/>
        <v>35</v>
      </c>
      <c r="G51">
        <f t="shared" si="1"/>
        <v>22.5</v>
      </c>
      <c r="H51" s="33">
        <f t="shared" si="2"/>
        <v>27.5</v>
      </c>
      <c r="T51" s="2"/>
    </row>
    <row r="52" spans="1:20" ht="13">
      <c r="A52" s="178" t="str">
        <f>"IC"&amp;COVER!C$15&amp;COVER!C$23&amp;"-"&amp;COVER!C$22&amp;F52</f>
        <v>IC13C241218-1036</v>
      </c>
      <c r="B52" s="179" t="s">
        <v>198</v>
      </c>
      <c r="C52" s="183" t="str">
        <f>IF('Investigator Data'!B26="","",'Investigator Data'!B26)</f>
        <v xml:space="preserve">20231120_E3_G </v>
      </c>
      <c r="D52" s="304">
        <f>IF('Investigator Data'!C26="",$D$8,'Investigator Data'!C26)</f>
        <v>25</v>
      </c>
      <c r="E52" s="465">
        <v>25.308</v>
      </c>
      <c r="F52" s="181">
        <f t="shared" si="0"/>
        <v>36</v>
      </c>
      <c r="G52">
        <f t="shared" si="1"/>
        <v>22.5</v>
      </c>
      <c r="H52" s="33">
        <f t="shared" si="2"/>
        <v>27.5</v>
      </c>
      <c r="T52" s="2"/>
    </row>
    <row r="53" spans="1:20" ht="13">
      <c r="A53" s="178" t="str">
        <f>"IC"&amp;COVER!C$15&amp;COVER!C$23&amp;"-"&amp;COVER!C$22&amp;F53</f>
        <v>IC13C241218-1037</v>
      </c>
      <c r="B53" s="179" t="s">
        <v>60</v>
      </c>
      <c r="C53" s="183" t="str">
        <f>IF('Investigator Data'!B27="","",'Investigator Data'!B27)</f>
        <v xml:space="preserve">20231120_E3_H </v>
      </c>
      <c r="D53" s="304">
        <f>IF('Investigator Data'!C27="",$D$8,'Investigator Data'!C27)</f>
        <v>25</v>
      </c>
      <c r="E53" s="465">
        <v>26.344000000000001</v>
      </c>
      <c r="F53" s="181">
        <f t="shared" si="0"/>
        <v>37</v>
      </c>
      <c r="G53">
        <f t="shared" si="1"/>
        <v>22.5</v>
      </c>
      <c r="H53" s="33">
        <f t="shared" si="2"/>
        <v>27.5</v>
      </c>
      <c r="T53" s="2"/>
    </row>
    <row r="54" spans="1:20" ht="13">
      <c r="A54" s="178" t="str">
        <f>"IC"&amp;COVER!C$15&amp;COVER!C$23&amp;"-"&amp;COVER!C$22&amp;F54</f>
        <v>IC13C241218-1038</v>
      </c>
      <c r="B54" s="179" t="s">
        <v>61</v>
      </c>
      <c r="C54" s="183" t="str">
        <f>IF('Investigator Data'!B28="","",'Investigator Data'!B28)</f>
        <v xml:space="preserve">20231120_E3_I </v>
      </c>
      <c r="D54" s="304">
        <f>IF('Investigator Data'!C28="",$D$8,'Investigator Data'!C28)</f>
        <v>25</v>
      </c>
      <c r="E54" s="465">
        <v>26.710999999999999</v>
      </c>
      <c r="F54" s="181">
        <f t="shared" si="0"/>
        <v>38</v>
      </c>
      <c r="G54">
        <f t="shared" si="1"/>
        <v>22.5</v>
      </c>
      <c r="H54" s="33">
        <f t="shared" si="2"/>
        <v>27.5</v>
      </c>
      <c r="T54" s="2"/>
    </row>
    <row r="55" spans="1:20" ht="13">
      <c r="A55" s="178" t="str">
        <f>"IC"&amp;COVER!C$15&amp;COVER!C$23&amp;"-"&amp;COVER!C$22&amp;F55</f>
        <v>IC13C241218-1039</v>
      </c>
      <c r="B55" s="179" t="s">
        <v>62</v>
      </c>
      <c r="C55" s="183" t="str">
        <f>IF('Investigator Data'!B29="","",'Investigator Data'!B29)</f>
        <v xml:space="preserve">20231120_S2_A </v>
      </c>
      <c r="D55" s="304">
        <f>IF('Investigator Data'!C29="",$D$8,'Investigator Data'!C29)</f>
        <v>25</v>
      </c>
      <c r="E55" s="465">
        <v>25.202999999999999</v>
      </c>
      <c r="F55" s="181">
        <f t="shared" si="0"/>
        <v>39</v>
      </c>
      <c r="G55">
        <f t="shared" si="1"/>
        <v>22.5</v>
      </c>
      <c r="H55" s="33">
        <f t="shared" si="2"/>
        <v>27.5</v>
      </c>
      <c r="T55" s="2"/>
    </row>
    <row r="56" spans="1:20" ht="13">
      <c r="A56" s="178" t="str">
        <f>"IC"&amp;COVER!C$15&amp;COVER!C$23&amp;"-"&amp;COVER!C$22&amp;F56</f>
        <v>IC13C241218-1040</v>
      </c>
      <c r="B56" s="179" t="s">
        <v>63</v>
      </c>
      <c r="C56" s="183" t="str">
        <f>IF('Investigator Data'!B30="","",'Investigator Data'!B30)</f>
        <v xml:space="preserve">20231120_S2_B </v>
      </c>
      <c r="D56" s="304">
        <f>IF('Investigator Data'!C30="",$D$8,'Investigator Data'!C30)</f>
        <v>25</v>
      </c>
      <c r="E56" s="465">
        <v>26.536000000000001</v>
      </c>
      <c r="F56" s="181">
        <f t="shared" si="0"/>
        <v>40</v>
      </c>
      <c r="G56">
        <f t="shared" si="1"/>
        <v>22.5</v>
      </c>
      <c r="H56" s="33">
        <f t="shared" si="2"/>
        <v>27.5</v>
      </c>
      <c r="T56" s="2"/>
    </row>
    <row r="57" spans="1:20" ht="13">
      <c r="A57" s="178" t="str">
        <f>"IC"&amp;COVER!C$15&amp;COVER!C$23&amp;"-"&amp;COVER!C$22&amp;F57</f>
        <v>IC13C241218-1041</v>
      </c>
      <c r="B57" s="179" t="s">
        <v>64</v>
      </c>
      <c r="C57" s="180" t="str">
        <f>$C$9</f>
        <v>ISIRF Ulva</v>
      </c>
      <c r="D57" s="303">
        <f>$D$9</f>
        <v>1.2</v>
      </c>
      <c r="E57" s="465">
        <v>1.2490000000000001</v>
      </c>
      <c r="F57" s="181">
        <f t="shared" si="0"/>
        <v>41</v>
      </c>
      <c r="G57">
        <f t="shared" si="1"/>
        <v>1.08</v>
      </c>
      <c r="H57" s="33">
        <f t="shared" si="2"/>
        <v>1.3199999999999998</v>
      </c>
      <c r="T57" s="2"/>
    </row>
    <row r="58" spans="1:20" ht="13">
      <c r="A58" s="178" t="str">
        <f>"IC"&amp;COVER!C$15&amp;COVER!C$23&amp;"-"&amp;COVER!C$22&amp;F58</f>
        <v>IC13C241218-1042</v>
      </c>
      <c r="B58" s="179" t="s">
        <v>65</v>
      </c>
      <c r="C58" s="183" t="str">
        <f>IF('Investigator Data'!B31="","",'Investigator Data'!B31)</f>
        <v>20231120_S2_B_Dup</v>
      </c>
      <c r="D58" s="304">
        <f>IF('Investigator Data'!C31="",$D$8,'Investigator Data'!C31)</f>
        <v>25</v>
      </c>
      <c r="E58" s="465">
        <v>25.638999999999999</v>
      </c>
      <c r="F58" s="181">
        <f t="shared" si="0"/>
        <v>42</v>
      </c>
      <c r="G58">
        <f t="shared" si="1"/>
        <v>22.5</v>
      </c>
      <c r="H58" s="33">
        <f t="shared" si="2"/>
        <v>27.5</v>
      </c>
      <c r="I58" s="2">
        <f>((19.97-20)/2)*100</f>
        <v>-1.5000000000000568</v>
      </c>
      <c r="T58" s="2"/>
    </row>
    <row r="59" spans="1:20" ht="13">
      <c r="A59" s="178" t="str">
        <f>"IC"&amp;COVER!C$15&amp;COVER!C$23&amp;"-"&amp;COVER!C$22&amp;F59</f>
        <v>IC13C241218-1043</v>
      </c>
      <c r="B59" s="179" t="s">
        <v>11</v>
      </c>
      <c r="C59" s="183" t="str">
        <f>IF('Investigator Data'!B32="","",'Investigator Data'!B32)</f>
        <v xml:space="preserve">20231120_S2_C </v>
      </c>
      <c r="D59" s="304">
        <f>IF('Investigator Data'!C32="",$D$8,'Investigator Data'!C32)</f>
        <v>25</v>
      </c>
      <c r="E59" s="465">
        <v>25.55</v>
      </c>
      <c r="F59" s="181">
        <f t="shared" si="0"/>
        <v>43</v>
      </c>
      <c r="G59">
        <f t="shared" si="1"/>
        <v>22.5</v>
      </c>
      <c r="H59" s="33">
        <f t="shared" si="2"/>
        <v>27.5</v>
      </c>
      <c r="T59" s="2"/>
    </row>
    <row r="60" spans="1:20" ht="13">
      <c r="A60" s="178" t="str">
        <f>"IC"&amp;COVER!C$15&amp;COVER!C$23&amp;"-"&amp;COVER!C$22&amp;F60</f>
        <v>IC13C241218-1044</v>
      </c>
      <c r="B60" s="179" t="s">
        <v>12</v>
      </c>
      <c r="C60" s="183" t="str">
        <f>IF('Investigator Data'!B33="","",'Investigator Data'!B33)</f>
        <v xml:space="preserve">20231120_S2_D </v>
      </c>
      <c r="D60" s="304">
        <f>IF('Investigator Data'!C33="",$D$8,'Investigator Data'!C33)</f>
        <v>25</v>
      </c>
      <c r="E60" s="465">
        <v>25.119</v>
      </c>
      <c r="F60" s="181">
        <f t="shared" si="0"/>
        <v>44</v>
      </c>
      <c r="G60">
        <f t="shared" si="1"/>
        <v>22.5</v>
      </c>
      <c r="H60" s="33">
        <f t="shared" si="2"/>
        <v>27.5</v>
      </c>
      <c r="T60" s="2"/>
    </row>
    <row r="61" spans="1:20" ht="13">
      <c r="A61" s="178" t="str">
        <f>"IC"&amp;COVER!C$15&amp;COVER!C$23&amp;"-"&amp;COVER!C$22&amp;F61</f>
        <v>IC13C241218-1045</v>
      </c>
      <c r="B61" s="179" t="s">
        <v>199</v>
      </c>
      <c r="C61" s="183" t="str">
        <f>IF('Investigator Data'!B34="","",'Investigator Data'!B34)</f>
        <v xml:space="preserve">20231120_S2_E </v>
      </c>
      <c r="D61" s="304">
        <f>IF('Investigator Data'!C34="",$D$8,'Investigator Data'!C34)</f>
        <v>25</v>
      </c>
      <c r="E61" s="465">
        <v>24.658000000000001</v>
      </c>
      <c r="F61" s="181">
        <f t="shared" si="0"/>
        <v>45</v>
      </c>
      <c r="G61">
        <f t="shared" si="1"/>
        <v>22.5</v>
      </c>
      <c r="H61" s="33">
        <f t="shared" si="2"/>
        <v>27.5</v>
      </c>
      <c r="T61" s="2"/>
    </row>
    <row r="62" spans="1:20" ht="13">
      <c r="A62" s="178" t="str">
        <f>"IC"&amp;COVER!C$15&amp;COVER!C$23&amp;"-"&amp;COVER!C$22&amp;F62</f>
        <v>IC13C241218-1046</v>
      </c>
      <c r="B62" s="179" t="s">
        <v>200</v>
      </c>
      <c r="C62" s="183" t="str">
        <f>IF('Investigator Data'!B35="","",'Investigator Data'!B35)</f>
        <v xml:space="preserve">20231120_S2_F </v>
      </c>
      <c r="D62" s="304">
        <f>IF('Investigator Data'!C35="",$D$8,'Investigator Data'!C35)</f>
        <v>25</v>
      </c>
      <c r="E62" s="465">
        <v>23.902999999999999</v>
      </c>
      <c r="F62" s="181">
        <f t="shared" si="0"/>
        <v>46</v>
      </c>
      <c r="G62">
        <f t="shared" si="1"/>
        <v>22.5</v>
      </c>
      <c r="H62" s="33">
        <f t="shared" si="2"/>
        <v>27.5</v>
      </c>
      <c r="T62" s="2"/>
    </row>
    <row r="63" spans="1:20" ht="13">
      <c r="A63" s="178" t="str">
        <f>"IC"&amp;COVER!C$15&amp;COVER!C$23&amp;"-"&amp;COVER!C$22&amp;F63</f>
        <v>IC13C241218-1047</v>
      </c>
      <c r="B63" s="179" t="s">
        <v>201</v>
      </c>
      <c r="C63" s="183" t="str">
        <f>IF('Investigator Data'!B36="","",'Investigator Data'!B36)</f>
        <v xml:space="preserve">20231120_S2_G </v>
      </c>
      <c r="D63" s="304">
        <f>IF('Investigator Data'!C36="",$D$8,'Investigator Data'!C36)</f>
        <v>25</v>
      </c>
      <c r="E63" s="465">
        <v>25.427</v>
      </c>
      <c r="F63" s="181">
        <f t="shared" si="0"/>
        <v>47</v>
      </c>
      <c r="G63">
        <f t="shared" si="1"/>
        <v>22.5</v>
      </c>
      <c r="H63" s="33">
        <f t="shared" si="2"/>
        <v>27.5</v>
      </c>
      <c r="T63" s="2"/>
    </row>
    <row r="64" spans="1:20" ht="13">
      <c r="A64" s="178" t="str">
        <f>"IC"&amp;COVER!C$15&amp;COVER!C$23&amp;"-"&amp;COVER!C$22&amp;F64</f>
        <v>IC13C241218-1048</v>
      </c>
      <c r="B64" s="179" t="s">
        <v>202</v>
      </c>
      <c r="C64" s="183" t="str">
        <f>IF('Investigator Data'!B37="","",'Investigator Data'!B37)</f>
        <v>20231120_S2_H</v>
      </c>
      <c r="D64" s="304">
        <f>IF('Investigator Data'!C37="",$D$8,'Investigator Data'!C37)</f>
        <v>25</v>
      </c>
      <c r="E64" s="465">
        <v>24.318999999999999</v>
      </c>
      <c r="F64" s="181">
        <f t="shared" si="0"/>
        <v>48</v>
      </c>
      <c r="G64">
        <f t="shared" si="1"/>
        <v>22.5</v>
      </c>
      <c r="H64" s="33">
        <f t="shared" si="2"/>
        <v>27.5</v>
      </c>
      <c r="T64" s="2"/>
    </row>
    <row r="65" spans="1:20" ht="13">
      <c r="A65" s="178" t="str">
        <f>"IC"&amp;COVER!C$15&amp;COVER!C$23&amp;"-"&amp;COVER!C$22&amp;F65</f>
        <v>IC13C241218-1049</v>
      </c>
      <c r="B65" s="179" t="s">
        <v>13</v>
      </c>
      <c r="C65" s="183" t="str">
        <f>IF('Investigator Data'!B38="","",'Investigator Data'!B38)</f>
        <v xml:space="preserve">20231120_S2_I </v>
      </c>
      <c r="D65" s="304">
        <f>IF('Investigator Data'!C38="",$D$8,'Investigator Data'!C38)</f>
        <v>25</v>
      </c>
      <c r="E65" s="465">
        <v>25.628</v>
      </c>
      <c r="F65" s="181">
        <f t="shared" si="0"/>
        <v>49</v>
      </c>
      <c r="G65">
        <f t="shared" si="1"/>
        <v>22.5</v>
      </c>
      <c r="H65" s="33">
        <f t="shared" si="2"/>
        <v>27.5</v>
      </c>
      <c r="T65" s="2"/>
    </row>
    <row r="66" spans="1:20" ht="13">
      <c r="A66" s="178" t="str">
        <f>"IC"&amp;COVER!C$15&amp;COVER!C$23&amp;"-"&amp;COVER!C$22&amp;F66</f>
        <v>IC13C241218-1050</v>
      </c>
      <c r="B66" s="179" t="s">
        <v>167</v>
      </c>
      <c r="C66" s="183" t="str">
        <f>IF('Investigator Data'!B39="","",'Investigator Data'!B39)</f>
        <v xml:space="preserve">20231120_S2_J </v>
      </c>
      <c r="D66" s="304">
        <f>IF('Investigator Data'!C39="",$D$8,'Investigator Data'!C39)</f>
        <v>25</v>
      </c>
      <c r="E66" s="465">
        <v>24.797000000000001</v>
      </c>
      <c r="F66" s="181">
        <f t="shared" si="0"/>
        <v>50</v>
      </c>
      <c r="G66">
        <f t="shared" si="1"/>
        <v>22.5</v>
      </c>
      <c r="H66" s="33">
        <f t="shared" si="2"/>
        <v>27.5</v>
      </c>
    </row>
    <row r="67" spans="1:20" ht="13">
      <c r="A67" s="178" t="str">
        <f>"IC"&amp;COVER!C$15&amp;COVER!C$23&amp;"-"&amp;COVER!C$22&amp;F67</f>
        <v>IC13C241218-1051</v>
      </c>
      <c r="B67" s="179" t="s">
        <v>168</v>
      </c>
      <c r="C67" s="410" t="str">
        <f>IF('Investigator Data'!B4="","","R1-"&amp;'Investigator Data'!B4)</f>
        <v xml:space="preserve">R1-20231120_E1_A </v>
      </c>
      <c r="D67" s="304">
        <f>IF('Investigator Data'!C4="",$D$8,'Investigator Data'!C4)</f>
        <v>25</v>
      </c>
      <c r="E67" s="465">
        <v>24.913</v>
      </c>
      <c r="F67" s="181">
        <f t="shared" si="0"/>
        <v>51</v>
      </c>
      <c r="G67">
        <f t="shared" si="1"/>
        <v>22.5</v>
      </c>
      <c r="H67" s="33">
        <f t="shared" si="2"/>
        <v>27.5</v>
      </c>
    </row>
    <row r="68" spans="1:20" ht="13">
      <c r="A68" s="178" t="str">
        <f>"IC"&amp;COVER!C$15&amp;COVER!C$23&amp;"-"&amp;COVER!C$22&amp;F68</f>
        <v>IC13C241218-1052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  <c r="G68">
        <f t="shared" si="1"/>
        <v>0</v>
      </c>
      <c r="H68" s="33">
        <f t="shared" si="2"/>
        <v>0</v>
      </c>
    </row>
    <row r="69" spans="1:20" ht="13">
      <c r="A69" s="178" t="str">
        <f>"IC"&amp;COVER!C$15&amp;COVER!C$23&amp;"-"&amp;COVER!C$22&amp;F69</f>
        <v>IC13C241218-1053</v>
      </c>
      <c r="B69" s="179" t="s">
        <v>170</v>
      </c>
      <c r="C69" s="180" t="str">
        <f>$C$9</f>
        <v>ISIRF Ulva</v>
      </c>
      <c r="D69" s="303">
        <f>$D$9</f>
        <v>1.2</v>
      </c>
      <c r="E69" s="466">
        <v>1.302</v>
      </c>
      <c r="F69" s="181">
        <f t="shared" si="0"/>
        <v>53</v>
      </c>
      <c r="G69">
        <f t="shared" si="1"/>
        <v>1.08</v>
      </c>
      <c r="H69" s="33">
        <f t="shared" si="2"/>
        <v>1.3199999999999998</v>
      </c>
    </row>
    <row r="70" spans="1:20" ht="13">
      <c r="A70" s="178" t="str">
        <f>"IC"&amp;COVER!C$15&amp;COVER!C$23&amp;"-"&amp;COVER!C$22&amp;F70</f>
        <v>IC13C241218-1054</v>
      </c>
      <c r="B70" s="179" t="s">
        <v>171</v>
      </c>
      <c r="C70" s="180" t="str">
        <f>$C$10</f>
        <v>ISIRF Chitin</v>
      </c>
      <c r="D70" s="303">
        <f>$D$10</f>
        <v>1</v>
      </c>
      <c r="E70" s="466">
        <v>1.018</v>
      </c>
      <c r="F70" s="181">
        <f t="shared" si="0"/>
        <v>54</v>
      </c>
      <c r="G70">
        <f t="shared" si="1"/>
        <v>0.9</v>
      </c>
      <c r="H70" s="33">
        <f t="shared" si="2"/>
        <v>1.1000000000000001</v>
      </c>
    </row>
    <row r="71" spans="1:20" ht="13">
      <c r="A71" s="178" t="str">
        <f>"IC"&amp;COVER!C$15&amp;COVER!C$23&amp;"-"&amp;COVER!C$22&amp;F71</f>
        <v>IC13C241218-1055</v>
      </c>
      <c r="B71" s="179" t="s">
        <v>172</v>
      </c>
      <c r="C71" s="180" t="str">
        <f>$C$11</f>
        <v>ISIRF Bamboo</v>
      </c>
      <c r="D71" s="303">
        <f>$D$11</f>
        <v>1.5</v>
      </c>
      <c r="E71" s="465">
        <v>1.5649999999999999</v>
      </c>
      <c r="F71" s="181">
        <f t="shared" si="0"/>
        <v>55</v>
      </c>
      <c r="G71">
        <f t="shared" si="1"/>
        <v>1.35</v>
      </c>
      <c r="H71" s="33">
        <f t="shared" si="2"/>
        <v>1.65</v>
      </c>
    </row>
    <row r="72" spans="1:20" ht="13">
      <c r="A72" s="442" t="str">
        <f>"IC"&amp;COVER!C$15&amp;COVER!C$23&amp;"-"&amp;COVER!C$22&amp;F72</f>
        <v>IC13C241218-1056</v>
      </c>
      <c r="B72" s="443" t="s">
        <v>173</v>
      </c>
      <c r="C72" s="444" t="str">
        <f>C12</f>
        <v>NBS 1572 Citrus Leaf</v>
      </c>
      <c r="D72" s="445">
        <f>$D$12</f>
        <v>2</v>
      </c>
      <c r="E72" s="467">
        <v>2.0230000000000001</v>
      </c>
      <c r="F72" s="446">
        <f t="shared" si="0"/>
        <v>56</v>
      </c>
      <c r="G72">
        <f t="shared" si="1"/>
        <v>1.8</v>
      </c>
      <c r="H72" s="33">
        <f t="shared" si="2"/>
        <v>2.2000000000000002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17:E18">
    <cfRule type="expression" dxfId="12" priority="3" stopIfTrue="1">
      <formula>C17=""</formula>
    </cfRule>
  </conditionalFormatting>
  <conditionalFormatting sqref="E23:E72">
    <cfRule type="expression" dxfId="11" priority="1" stopIfTrue="1">
      <formula>C23=""</formula>
    </cfRule>
  </conditionalFormatting>
  <pageMargins left="0.44" right="0.46" top="0.64" bottom="0.46" header="0.34" footer="0.45"/>
  <pageSetup scale="75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IC13C-241218-10KansasROARCarbon-1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1572 Citrus Leaf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20231120_E1_A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 xml:space="preserve">20231120_E2_E 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1572 Citrus Leaf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20231120_E1_A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 xml:space="preserve">20231120_E2_E 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6"/>
      <c r="Q38" s="677"/>
      <c r="R38" s="678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1572 Citrus Leaf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1572 Citrus Leaf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1572 Citrus Leaf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R1-20231120_E1_A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R1-20231120_E1_A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 xml:space="preserve">R2-20231120_E2_E 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 xml:space="preserve">R2-20231120_E2_E 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6:G11">
    <cfRule type="cellIs" dxfId="10" priority="1" operator="greaterThan">
      <formula>0.3</formula>
    </cfRule>
  </conditionalFormatting>
  <conditionalFormatting sqref="G15:G20">
    <cfRule type="cellIs" dxfId="9" priority="2" operator="greaterThan">
      <formula>0.3</formula>
    </cfRule>
  </conditionalFormatting>
  <conditionalFormatting sqref="O5">
    <cfRule type="cellIs" dxfId="8" priority="6" operator="greaterThan">
      <formula>0.3</formula>
    </cfRule>
  </conditionalFormatting>
  <conditionalFormatting sqref="O6">
    <cfRule type="cellIs" dxfId="7" priority="5" operator="greaterThan">
      <formula>1</formula>
    </cfRule>
  </conditionalFormatting>
  <conditionalFormatting sqref="O8">
    <cfRule type="cellIs" dxfId="6" priority="4" operator="greaterThan">
      <formula>"abs(0.6)"</formula>
    </cfRule>
  </conditionalFormatting>
  <conditionalFormatting sqref="O9">
    <cfRule type="cellIs" dxfId="5" priority="3" operator="greaterThan">
      <formula>0.5</formula>
    </cfRule>
  </conditionalFormatting>
  <conditionalFormatting sqref="O14:O15">
    <cfRule type="cellIs" dxfId="4" priority="10" operator="greaterThan">
      <formula>0.3</formula>
    </cfRule>
  </conditionalFormatting>
  <conditionalFormatting sqref="O17">
    <cfRule type="cellIs" dxfId="3" priority="9" operator="greaterThan">
      <formula>"abs(0.6)"</formula>
    </cfRule>
  </conditionalFormatting>
  <conditionalFormatting sqref="O18">
    <cfRule type="cellIs" dxfId="2" priority="8" operator="greaterThan">
      <formula>0.5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IC13C-241218-10KansasROARCarbon-1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1572 Citrus Leaf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R1-20231120_E1_A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20231120_E1_B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20231120_E1_C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20231120_E1_D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 xml:space="preserve">20231120_E1_E 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 xml:space="preserve">20231120_E1_F 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 xml:space="preserve">20231120_E1_G 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20231120_E1_H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 xml:space="preserve">20231120_E1_I 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>20231120_E2_A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 xml:space="preserve">20231120_E2_B 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20231120_E2_C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20231120_E2_D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 xml:space="preserve">R2-20231120_E2_E 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 xml:space="preserve">R2-20231120_E2_E 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20231120_E2_F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20231120_E2_G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 xml:space="preserve">20231120_E3_A 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 xml:space="preserve">20231120_E3_B 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1572 Citrus Leaf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 xml:space="preserve">20231120_E3_C 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20231120_E3_D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20231120_E3_E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20231120_E3_F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20231120_E3_G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20231120_E3_H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20231120_E3_I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20231120_S2_A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20231120_S2_B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>20231120_S2_B_Dup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 xml:space="preserve">20231120_S2_C 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20231120_S2_D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 xml:space="preserve">20231120_S2_E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20231120_S2_F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20231120_S2_G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>20231120_S2_H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 xml:space="preserve">20231120_S2_I 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 xml:space="preserve">20231120_S2_J 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R1-20231120_E1_A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1572 Citrus Leaf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" priority="2" operator="notBetween">
      <formula>1</formula>
      <formula>40</formula>
    </cfRule>
  </conditionalFormatting>
  <conditionalFormatting sqref="F6:F61">
    <cfRule type="cellIs" dxfId="0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IC13C-241218-10KansasROARCarbon-1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1572 Citrus Leaf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1572 Citrus Leaf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1572 Citrus Leaf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1572 Citrus Leaf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IC13C-241218-10KansasROARCarbon-1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1572 Citrus Leaf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1572 Citrus Leaf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1572 Citrus Leaf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1572 Citrus Leaf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44224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9" t="s">
        <v>321</v>
      </c>
      <c r="F27" s="680"/>
    </row>
    <row r="28" spans="1:8">
      <c r="E28" s="620" t="str">
        <f ca="1">TEXT(E24,"yymmdd")</f>
        <v>250129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777AE3-FED0-4751-ACCC-DAF9D5947B68}">
  <ds:schemaRefs>
    <ds:schemaRef ds:uri="4ffa91fb-a0ff-4ac5-b2db-65c790d184a4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6c74a2d-1fa5-4d4e-9abe-6a07335fa29f"/>
    <ds:schemaRef ds:uri="http://schemas.microsoft.com/office/2006/metadata/properties"/>
    <ds:schemaRef ds:uri="http://www.w3.org/XML/1998/namespace"/>
    <ds:schemaRef ds:uri="http://purl.org/dc/terms/"/>
    <ds:schemaRef ds:uri="http://schemas.microsoft.com/sharepoint/v3"/>
    <ds:schemaRef ds:uri="f7dc0521-1f3b-405e-a9d3-ebbbf74d10ad"/>
    <ds:schemaRef ds:uri="http://schemas.microsoft.com/sharepoint/v3/fields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</cp:lastModifiedBy>
  <cp:lastPrinted>2024-10-21T22:13:22Z</cp:lastPrinted>
  <dcterms:created xsi:type="dcterms:W3CDTF">2000-03-01T21:58:50Z</dcterms:created>
  <dcterms:modified xsi:type="dcterms:W3CDTF">2025-01-29T22:36:10Z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