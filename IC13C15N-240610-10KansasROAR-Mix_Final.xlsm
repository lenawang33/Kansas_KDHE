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/>
  <workbookPr date1904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sepa-my.sharepoint.com/personal/wang_lena_epa_gov/Documents/Profile/Documents/Kansas_Roar/"/>
    </mc:Choice>
  </mc:AlternateContent>
  <xr:revisionPtr revIDLastSave="0" documentId="8_{4AEE60AD-DCC2-42B2-9170-E3541DDC1AF5}" xr6:coauthVersionLast="47" xr6:coauthVersionMax="47" xr10:uidLastSave="{00000000-0000-0000-0000-000000000000}"/>
  <bookViews>
    <workbookView xWindow="-110" yWindow="-110" windowWidth="19420" windowHeight="10300" tabRatio="679" activeTab="1" xr2:uid="{00000000-000D-0000-FFFF-FFFF00000000}"/>
  </bookViews>
  <sheets>
    <sheet name="COVER" sheetId="6394" r:id="rId1"/>
    <sheet name="Investigator Data" sheetId="6399" r:id="rId2"/>
    <sheet name="Weigh Sheet" sheetId="6393" r:id="rId3"/>
    <sheet name="Investigator QA Data" sheetId="6395" r:id="rId4"/>
    <sheet name="ISIRF RAW" sheetId="6397" r:id="rId5"/>
    <sheet name="ISIRF 15N" sheetId="6396" r:id="rId6"/>
    <sheet name="ISIRF 13C" sheetId="6398" r:id="rId7"/>
    <sheet name="Tables" sheetId="6401" r:id="rId8"/>
    <sheet name="Revisions" sheetId="6400" r:id="rId9"/>
  </sheets>
  <definedNames>
    <definedName name="_xlnm.Print_Area" localSheetId="0">COVER!$A$1:$C$43</definedName>
    <definedName name="_xlnm.Print_Area" localSheetId="1">'Investigator Data'!$A$2:$I$39</definedName>
    <definedName name="_xlnm.Print_Area" localSheetId="2">'Weigh Sheet'!$A$1:$G$72</definedName>
    <definedName name="_xlnm.Print_Titles" localSheetId="2">'Weigh Sheet'!$16:$16</definedName>
    <definedName name="Standards">Tables!$A$2:$A$17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7" i="6395" l="1"/>
  <c r="O9" i="6395"/>
  <c r="D33" i="6396"/>
  <c r="C33" i="6396"/>
  <c r="D12" i="6393" l="1"/>
  <c r="D11" i="6393"/>
  <c r="D10" i="6393"/>
  <c r="D9" i="6393"/>
  <c r="G14" i="6393" l="1"/>
  <c r="C22" i="6394"/>
  <c r="C2" i="6394" s="1"/>
  <c r="C13" i="6394"/>
  <c r="C12" i="6394"/>
  <c r="C11" i="6394"/>
  <c r="C10" i="6394"/>
  <c r="E24" i="6401"/>
  <c r="E28" i="6401" s="1"/>
  <c r="G4" i="6399" l="1"/>
  <c r="F4" i="6399"/>
  <c r="E4" i="6399"/>
  <c r="D4" i="6399"/>
  <c r="H4" i="6399" l="1"/>
  <c r="G19" i="6399"/>
  <c r="F19" i="6399"/>
  <c r="E19" i="6399"/>
  <c r="D19" i="6399"/>
  <c r="H19" i="6399" s="1"/>
  <c r="A50" i="6395" l="1"/>
  <c r="A49" i="6395"/>
  <c r="A48" i="6395"/>
  <c r="A47" i="6395"/>
  <c r="A46" i="6395"/>
  <c r="A45" i="6395"/>
  <c r="A44" i="6395"/>
  <c r="A43" i="6395"/>
  <c r="A42" i="6395"/>
  <c r="A41" i="6395"/>
  <c r="A40" i="6395"/>
  <c r="A39" i="6395"/>
  <c r="A38" i="6395"/>
  <c r="A37" i="6395"/>
  <c r="A36" i="6395"/>
  <c r="A35" i="6395"/>
  <c r="A34" i="6395"/>
  <c r="A33" i="6395"/>
  <c r="D67" i="6393" l="1"/>
  <c r="D66" i="6393"/>
  <c r="D65" i="6393"/>
  <c r="D64" i="6393"/>
  <c r="D63" i="6393"/>
  <c r="D62" i="6393"/>
  <c r="D61" i="6393"/>
  <c r="D60" i="6393"/>
  <c r="D59" i="6393"/>
  <c r="D58" i="6393"/>
  <c r="D56" i="6393"/>
  <c r="D55" i="6393"/>
  <c r="D54" i="6393"/>
  <c r="D53" i="6393"/>
  <c r="D52" i="6393"/>
  <c r="D51" i="6393"/>
  <c r="D50" i="6393"/>
  <c r="D49" i="6393"/>
  <c r="D48" i="6393"/>
  <c r="D42" i="6393"/>
  <c r="D41" i="6393"/>
  <c r="D40" i="6393"/>
  <c r="D39" i="6393"/>
  <c r="D38" i="6393"/>
  <c r="D37" i="6393"/>
  <c r="D36" i="6393"/>
  <c r="D35" i="6393"/>
  <c r="D34" i="6393"/>
  <c r="D33" i="6393"/>
  <c r="D31" i="6393"/>
  <c r="D30" i="6393"/>
  <c r="D29" i="6393"/>
  <c r="D28" i="6393"/>
  <c r="D27" i="6393"/>
  <c r="D26" i="6393"/>
  <c r="D25" i="6393"/>
  <c r="D24" i="6393"/>
  <c r="D23" i="6393"/>
  <c r="K24" i="6398" l="1"/>
  <c r="O46" i="6395" s="1"/>
  <c r="J24" i="6398"/>
  <c r="N46" i="6395" s="1"/>
  <c r="J23" i="6398"/>
  <c r="N45" i="6395" s="1"/>
  <c r="J22" i="6398"/>
  <c r="N44" i="6395" s="1"/>
  <c r="K18" i="6398"/>
  <c r="O40" i="6395" s="1"/>
  <c r="J18" i="6398"/>
  <c r="N40" i="6395" s="1"/>
  <c r="J17" i="6398"/>
  <c r="N39" i="6395" s="1"/>
  <c r="J16" i="6398"/>
  <c r="N38" i="6395" s="1"/>
  <c r="G23" i="6399"/>
  <c r="F23" i="6399"/>
  <c r="E23" i="6399"/>
  <c r="D23" i="6399"/>
  <c r="H23" i="6399" s="1"/>
  <c r="H31" i="6398" l="1"/>
  <c r="H33" i="6398"/>
  <c r="E31" i="6398"/>
  <c r="I8" i="6395" s="1"/>
  <c r="E33" i="6398"/>
  <c r="I6" i="6395" s="1"/>
  <c r="F31" i="6398"/>
  <c r="J8" i="6395" s="1"/>
  <c r="F33" i="6398"/>
  <c r="J6" i="6395" s="1"/>
  <c r="G39" i="6399"/>
  <c r="F39" i="6399"/>
  <c r="E39" i="6399"/>
  <c r="D39" i="6399"/>
  <c r="G38" i="6399"/>
  <c r="F38" i="6399"/>
  <c r="E38" i="6399"/>
  <c r="D38" i="6399"/>
  <c r="G37" i="6399"/>
  <c r="F37" i="6399"/>
  <c r="E37" i="6399"/>
  <c r="D37" i="6399"/>
  <c r="G36" i="6399"/>
  <c r="F36" i="6399"/>
  <c r="E36" i="6399"/>
  <c r="D36" i="6399"/>
  <c r="G35" i="6399"/>
  <c r="F35" i="6399"/>
  <c r="E35" i="6399"/>
  <c r="D35" i="6399"/>
  <c r="G34" i="6399"/>
  <c r="F34" i="6399"/>
  <c r="E34" i="6399"/>
  <c r="D34" i="6399"/>
  <c r="G33" i="6399"/>
  <c r="F33" i="6399"/>
  <c r="E33" i="6399"/>
  <c r="D33" i="6399"/>
  <c r="G32" i="6399"/>
  <c r="F32" i="6399"/>
  <c r="E32" i="6399"/>
  <c r="D32" i="6399"/>
  <c r="G31" i="6399"/>
  <c r="F31" i="6399"/>
  <c r="E31" i="6399"/>
  <c r="D31" i="6399"/>
  <c r="G30" i="6399"/>
  <c r="F30" i="6399"/>
  <c r="E30" i="6399"/>
  <c r="D30" i="6399"/>
  <c r="G29" i="6399"/>
  <c r="F29" i="6399"/>
  <c r="E29" i="6399"/>
  <c r="D29" i="6399"/>
  <c r="G28" i="6399"/>
  <c r="F28" i="6399"/>
  <c r="E28" i="6399"/>
  <c r="D28" i="6399"/>
  <c r="G27" i="6399"/>
  <c r="F27" i="6399"/>
  <c r="E27" i="6399"/>
  <c r="D27" i="6399"/>
  <c r="G26" i="6399"/>
  <c r="F26" i="6399"/>
  <c r="E26" i="6399"/>
  <c r="D26" i="6399"/>
  <c r="G25" i="6399"/>
  <c r="F25" i="6399"/>
  <c r="E25" i="6399"/>
  <c r="D25" i="6399"/>
  <c r="G24" i="6399"/>
  <c r="F24" i="6399"/>
  <c r="E24" i="6399"/>
  <c r="D24" i="6399"/>
  <c r="G22" i="6399"/>
  <c r="F22" i="6399"/>
  <c r="E22" i="6399"/>
  <c r="D22" i="6399"/>
  <c r="G21" i="6399"/>
  <c r="F21" i="6399"/>
  <c r="E21" i="6399"/>
  <c r="D21" i="6399"/>
  <c r="G18" i="6399"/>
  <c r="F18" i="6399"/>
  <c r="E18" i="6399"/>
  <c r="D18" i="6399"/>
  <c r="G17" i="6399"/>
  <c r="F17" i="6399"/>
  <c r="E17" i="6399"/>
  <c r="D17" i="6399"/>
  <c r="G16" i="6399"/>
  <c r="F16" i="6399"/>
  <c r="E16" i="6399"/>
  <c r="D16" i="6399"/>
  <c r="G15" i="6399"/>
  <c r="F15" i="6399"/>
  <c r="E15" i="6399"/>
  <c r="D15" i="6399"/>
  <c r="G14" i="6399"/>
  <c r="F14" i="6399"/>
  <c r="E14" i="6399"/>
  <c r="D14" i="6399"/>
  <c r="G13" i="6399"/>
  <c r="F13" i="6399"/>
  <c r="E13" i="6399"/>
  <c r="D13" i="6399"/>
  <c r="G12" i="6399"/>
  <c r="F12" i="6399"/>
  <c r="E12" i="6399"/>
  <c r="D12" i="6399"/>
  <c r="G11" i="6399"/>
  <c r="F11" i="6399"/>
  <c r="E11" i="6399"/>
  <c r="D11" i="6399"/>
  <c r="G10" i="6399"/>
  <c r="F10" i="6399"/>
  <c r="E10" i="6399"/>
  <c r="D10" i="6399"/>
  <c r="G9" i="6399"/>
  <c r="F9" i="6399"/>
  <c r="E9" i="6399"/>
  <c r="D9" i="6399"/>
  <c r="G8" i="6399"/>
  <c r="F8" i="6399"/>
  <c r="E8" i="6399"/>
  <c r="D8" i="6399"/>
  <c r="G7" i="6399"/>
  <c r="F7" i="6399"/>
  <c r="E7" i="6399"/>
  <c r="D7" i="6399"/>
  <c r="G6" i="6399"/>
  <c r="F6" i="6399"/>
  <c r="E6" i="6399"/>
  <c r="D6" i="6399"/>
  <c r="G5" i="6399"/>
  <c r="F5" i="6399"/>
  <c r="E5" i="6399"/>
  <c r="D5" i="6399"/>
  <c r="O50" i="6395"/>
  <c r="N50" i="6395"/>
  <c r="M50" i="6395"/>
  <c r="L50" i="6395"/>
  <c r="K50" i="6395"/>
  <c r="J50" i="6395"/>
  <c r="I50" i="6395"/>
  <c r="H50" i="6395"/>
  <c r="G50" i="6395"/>
  <c r="F50" i="6395"/>
  <c r="B50" i="6395"/>
  <c r="O49" i="6395"/>
  <c r="N49" i="6395"/>
  <c r="M49" i="6395"/>
  <c r="L49" i="6395"/>
  <c r="K49" i="6395"/>
  <c r="J49" i="6395"/>
  <c r="I49" i="6395"/>
  <c r="H49" i="6395"/>
  <c r="G49" i="6395"/>
  <c r="F49" i="6395"/>
  <c r="B49" i="6395"/>
  <c r="O48" i="6395"/>
  <c r="N48" i="6395"/>
  <c r="M48" i="6395"/>
  <c r="L48" i="6395"/>
  <c r="K48" i="6395"/>
  <c r="J48" i="6395"/>
  <c r="I48" i="6395"/>
  <c r="H48" i="6395"/>
  <c r="G48" i="6395"/>
  <c r="F48" i="6395"/>
  <c r="B48" i="6395"/>
  <c r="O47" i="6395"/>
  <c r="N47" i="6395"/>
  <c r="K47" i="6395"/>
  <c r="M47" i="6395"/>
  <c r="L47" i="6395"/>
  <c r="J47" i="6395"/>
  <c r="I47" i="6395"/>
  <c r="H47" i="6395"/>
  <c r="G47" i="6395"/>
  <c r="F47" i="6395"/>
  <c r="B47" i="6395"/>
  <c r="R50" i="6395"/>
  <c r="R48" i="6395"/>
  <c r="E46" i="6395"/>
  <c r="E45" i="6395"/>
  <c r="E44" i="6395"/>
  <c r="R37" i="6395"/>
  <c r="P37" i="6395"/>
  <c r="R36" i="6395"/>
  <c r="P36" i="6395"/>
  <c r="R35" i="6395"/>
  <c r="P35" i="6395"/>
  <c r="R34" i="6395"/>
  <c r="P34" i="6395"/>
  <c r="P33" i="6395"/>
  <c r="H29" i="6398"/>
  <c r="F29" i="6398"/>
  <c r="E29" i="6398"/>
  <c r="G29" i="6398" s="1"/>
  <c r="D29" i="6398"/>
  <c r="C29" i="6398"/>
  <c r="B29" i="6398"/>
  <c r="H28" i="6398"/>
  <c r="L10" i="6395" s="1"/>
  <c r="F28" i="6398"/>
  <c r="J10" i="6395" s="1"/>
  <c r="E28" i="6398"/>
  <c r="D28" i="6398"/>
  <c r="G10" i="6395" s="1"/>
  <c r="C28" i="6398"/>
  <c r="F10" i="6395" s="1"/>
  <c r="B28" i="6398"/>
  <c r="E10" i="6395" s="1"/>
  <c r="A33" i="6398"/>
  <c r="A32" i="6398"/>
  <c r="A31" i="6398"/>
  <c r="A30" i="6398"/>
  <c r="I24" i="6398"/>
  <c r="M46" i="6395" s="1"/>
  <c r="H24" i="6398"/>
  <c r="L46" i="6395" s="1"/>
  <c r="G24" i="6398"/>
  <c r="F24" i="6398"/>
  <c r="B24" i="6398"/>
  <c r="A24" i="6398"/>
  <c r="K23" i="6398"/>
  <c r="O45" i="6395" s="1"/>
  <c r="I23" i="6398"/>
  <c r="M45" i="6395" s="1"/>
  <c r="H23" i="6398"/>
  <c r="L45" i="6395" s="1"/>
  <c r="G23" i="6398"/>
  <c r="F23" i="6398"/>
  <c r="B23" i="6398"/>
  <c r="A23" i="6398"/>
  <c r="K22" i="6398"/>
  <c r="O44" i="6395" s="1"/>
  <c r="I22" i="6398"/>
  <c r="M44" i="6395" s="1"/>
  <c r="H22" i="6398"/>
  <c r="L44" i="6395" s="1"/>
  <c r="G22" i="6398"/>
  <c r="F22" i="6398"/>
  <c r="B22" i="6398"/>
  <c r="A22" i="6398"/>
  <c r="K21" i="6398"/>
  <c r="O43" i="6395" s="1"/>
  <c r="J21" i="6398"/>
  <c r="N43" i="6395" s="1"/>
  <c r="I21" i="6398"/>
  <c r="M43" i="6395" s="1"/>
  <c r="H21" i="6398"/>
  <c r="L43" i="6395" s="1"/>
  <c r="G21" i="6398"/>
  <c r="F21" i="6398"/>
  <c r="B21" i="6398"/>
  <c r="A21" i="6398"/>
  <c r="K20" i="6398"/>
  <c r="O42" i="6395" s="1"/>
  <c r="J20" i="6398"/>
  <c r="N42" i="6395" s="1"/>
  <c r="I20" i="6398"/>
  <c r="M42" i="6395" s="1"/>
  <c r="H20" i="6398"/>
  <c r="L42" i="6395" s="1"/>
  <c r="G20" i="6398"/>
  <c r="F20" i="6398"/>
  <c r="B20" i="6398"/>
  <c r="A20" i="6398"/>
  <c r="F19" i="6398"/>
  <c r="B19" i="6398"/>
  <c r="A19" i="6398"/>
  <c r="I18" i="6398"/>
  <c r="M40" i="6395" s="1"/>
  <c r="H18" i="6398"/>
  <c r="L40" i="6395" s="1"/>
  <c r="G18" i="6398"/>
  <c r="F18" i="6398"/>
  <c r="B18" i="6398"/>
  <c r="A18" i="6398"/>
  <c r="K17" i="6398"/>
  <c r="O39" i="6395" s="1"/>
  <c r="I17" i="6398"/>
  <c r="M39" i="6395" s="1"/>
  <c r="H17" i="6398"/>
  <c r="L39" i="6395" s="1"/>
  <c r="G17" i="6398"/>
  <c r="F17" i="6398"/>
  <c r="B17" i="6398"/>
  <c r="A17" i="6398"/>
  <c r="F16" i="6398"/>
  <c r="B16" i="6398"/>
  <c r="A16" i="6398"/>
  <c r="K15" i="6398"/>
  <c r="O37" i="6395" s="1"/>
  <c r="J15" i="6398"/>
  <c r="N37" i="6395" s="1"/>
  <c r="I15" i="6398"/>
  <c r="M37" i="6395" s="1"/>
  <c r="H15" i="6398"/>
  <c r="L37" i="6395" s="1"/>
  <c r="G15" i="6398"/>
  <c r="F15" i="6398"/>
  <c r="B15" i="6398"/>
  <c r="A15" i="6398"/>
  <c r="K14" i="6398"/>
  <c r="O36" i="6395" s="1"/>
  <c r="J14" i="6398"/>
  <c r="N36" i="6395" s="1"/>
  <c r="I14" i="6398"/>
  <c r="M36" i="6395" s="1"/>
  <c r="H14" i="6398"/>
  <c r="L36" i="6395" s="1"/>
  <c r="G14" i="6398"/>
  <c r="F14" i="6398"/>
  <c r="B14" i="6398"/>
  <c r="A14" i="6398"/>
  <c r="K13" i="6398"/>
  <c r="O35" i="6395" s="1"/>
  <c r="J13" i="6398"/>
  <c r="N35" i="6395" s="1"/>
  <c r="I13" i="6398"/>
  <c r="M35" i="6395" s="1"/>
  <c r="H13" i="6398"/>
  <c r="L35" i="6395" s="1"/>
  <c r="G13" i="6398"/>
  <c r="F13" i="6398"/>
  <c r="B13" i="6398"/>
  <c r="A13" i="6398"/>
  <c r="K12" i="6398"/>
  <c r="O34" i="6395" s="1"/>
  <c r="J12" i="6398"/>
  <c r="N34" i="6395" s="1"/>
  <c r="I12" i="6398"/>
  <c r="M34" i="6395" s="1"/>
  <c r="H12" i="6398"/>
  <c r="L34" i="6395" s="1"/>
  <c r="G12" i="6398"/>
  <c r="F12" i="6398"/>
  <c r="B12" i="6398"/>
  <c r="A12" i="6398"/>
  <c r="B11" i="6398"/>
  <c r="A11" i="6398"/>
  <c r="G31" i="6398" l="1"/>
  <c r="K8" i="6395" s="1"/>
  <c r="G28" i="6398"/>
  <c r="K10" i="6395" s="1"/>
  <c r="I10" i="6395"/>
  <c r="H5" i="6399"/>
  <c r="H6" i="6399"/>
  <c r="H7" i="6399"/>
  <c r="H8" i="6399"/>
  <c r="H9" i="6399"/>
  <c r="H10" i="6399"/>
  <c r="H11" i="6399"/>
  <c r="H13" i="6399"/>
  <c r="H15" i="6399"/>
  <c r="H17" i="6399"/>
  <c r="H21" i="6399"/>
  <c r="H24" i="6399"/>
  <c r="H26" i="6399"/>
  <c r="H28" i="6399"/>
  <c r="H30" i="6399"/>
  <c r="H32" i="6399"/>
  <c r="H34" i="6399"/>
  <c r="H36" i="6399"/>
  <c r="H38" i="6399"/>
  <c r="G33" i="6398"/>
  <c r="K6" i="6395" s="1"/>
  <c r="H12" i="6399"/>
  <c r="H14" i="6399"/>
  <c r="H16" i="6399"/>
  <c r="H18" i="6399"/>
  <c r="H22" i="6399"/>
  <c r="H25" i="6399"/>
  <c r="H27" i="6399"/>
  <c r="H29" i="6399"/>
  <c r="H31" i="6399"/>
  <c r="H33" i="6399"/>
  <c r="H35" i="6399"/>
  <c r="H37" i="6399"/>
  <c r="H39" i="6399"/>
  <c r="C33" i="6398"/>
  <c r="F6" i="6395" s="1"/>
  <c r="B33" i="6398"/>
  <c r="E6" i="6395" s="1"/>
  <c r="L6" i="6395"/>
  <c r="D33" i="6398"/>
  <c r="G6" i="6395" s="1"/>
  <c r="A33" i="6396"/>
  <c r="B24" i="6396"/>
  <c r="B46" i="6395" s="1"/>
  <c r="A24" i="6396"/>
  <c r="B23" i="6396"/>
  <c r="B45" i="6395" s="1"/>
  <c r="A23" i="6396"/>
  <c r="B22" i="6396"/>
  <c r="B44" i="6395" s="1"/>
  <c r="A22" i="6396"/>
  <c r="B21" i="6396"/>
  <c r="B43" i="6395" s="1"/>
  <c r="A21" i="6396"/>
  <c r="B20" i="6396"/>
  <c r="B42" i="6395" s="1"/>
  <c r="A20" i="6396"/>
  <c r="B19" i="6396"/>
  <c r="B41" i="6395" s="1"/>
  <c r="A19" i="6396"/>
  <c r="B18" i="6396"/>
  <c r="B40" i="6395" s="1"/>
  <c r="A18" i="6396"/>
  <c r="B17" i="6396"/>
  <c r="B39" i="6395" s="1"/>
  <c r="A17" i="6396"/>
  <c r="B16" i="6396"/>
  <c r="B38" i="6395" s="1"/>
  <c r="A16" i="6396"/>
  <c r="B15" i="6396"/>
  <c r="B37" i="6395" s="1"/>
  <c r="A15" i="6396"/>
  <c r="B14" i="6396"/>
  <c r="B36" i="6395" s="1"/>
  <c r="A14" i="6396"/>
  <c r="B13" i="6396"/>
  <c r="B35" i="6395" s="1"/>
  <c r="A13" i="6396"/>
  <c r="B12" i="6396"/>
  <c r="B34" i="6395" s="1"/>
  <c r="A12" i="6396"/>
  <c r="B11" i="6396"/>
  <c r="B33" i="6395" s="1"/>
  <c r="A11" i="6396"/>
  <c r="H29" i="6396" l="1"/>
  <c r="F29" i="6396"/>
  <c r="E29" i="6396"/>
  <c r="G29" i="6396" s="1"/>
  <c r="D29" i="6396"/>
  <c r="C29" i="6396"/>
  <c r="B29" i="6396"/>
  <c r="H28" i="6396"/>
  <c r="L19" i="6395" s="1"/>
  <c r="F28" i="6396"/>
  <c r="J19" i="6395" s="1"/>
  <c r="E28" i="6396"/>
  <c r="B28" i="6396"/>
  <c r="E19" i="6395" s="1"/>
  <c r="D28" i="6396"/>
  <c r="G19" i="6395" s="1"/>
  <c r="C28" i="6396"/>
  <c r="F19" i="6395" s="1"/>
  <c r="G28" i="6396" l="1"/>
  <c r="K19" i="6395" s="1"/>
  <c r="I19" i="6395"/>
  <c r="G1" i="6393"/>
  <c r="K24" i="6396" l="1"/>
  <c r="K46" i="6395" s="1"/>
  <c r="J24" i="6396"/>
  <c r="J46" i="6395" s="1"/>
  <c r="I24" i="6396"/>
  <c r="I46" i="6395" s="1"/>
  <c r="H24" i="6396"/>
  <c r="H46" i="6395" s="1"/>
  <c r="G24" i="6396"/>
  <c r="G46" i="6395" s="1"/>
  <c r="F24" i="6396"/>
  <c r="F46" i="6395" s="1"/>
  <c r="K23" i="6396"/>
  <c r="K45" i="6395" s="1"/>
  <c r="J23" i="6396"/>
  <c r="J45" i="6395" s="1"/>
  <c r="I23" i="6396"/>
  <c r="I45" i="6395" s="1"/>
  <c r="H23" i="6396"/>
  <c r="H45" i="6395" s="1"/>
  <c r="G23" i="6396"/>
  <c r="G45" i="6395" s="1"/>
  <c r="F23" i="6396"/>
  <c r="F45" i="6395" s="1"/>
  <c r="K22" i="6396"/>
  <c r="J22" i="6396"/>
  <c r="I22" i="6396"/>
  <c r="I44" i="6395" s="1"/>
  <c r="H22" i="6396"/>
  <c r="H44" i="6395" s="1"/>
  <c r="G22" i="6396"/>
  <c r="G44" i="6395" s="1"/>
  <c r="F22" i="6396"/>
  <c r="F44" i="6395" s="1"/>
  <c r="K21" i="6396"/>
  <c r="K43" i="6395" s="1"/>
  <c r="J21" i="6396"/>
  <c r="J43" i="6395" s="1"/>
  <c r="I21" i="6396"/>
  <c r="I43" i="6395" s="1"/>
  <c r="H21" i="6396"/>
  <c r="H43" i="6395" s="1"/>
  <c r="G21" i="6396"/>
  <c r="G43" i="6395" s="1"/>
  <c r="F21" i="6396"/>
  <c r="F43" i="6395" s="1"/>
  <c r="K20" i="6396"/>
  <c r="K42" i="6395" s="1"/>
  <c r="J20" i="6396"/>
  <c r="J42" i="6395" s="1"/>
  <c r="I20" i="6396"/>
  <c r="I42" i="6395" s="1"/>
  <c r="H20" i="6396"/>
  <c r="H42" i="6395" s="1"/>
  <c r="G20" i="6396"/>
  <c r="G42" i="6395" s="1"/>
  <c r="F20" i="6396"/>
  <c r="F42" i="6395" s="1"/>
  <c r="K18" i="6396"/>
  <c r="K40" i="6395" s="1"/>
  <c r="J18" i="6396"/>
  <c r="J40" i="6395" s="1"/>
  <c r="I18" i="6396"/>
  <c r="I40" i="6395" s="1"/>
  <c r="H18" i="6396"/>
  <c r="H40" i="6395" s="1"/>
  <c r="G18" i="6396"/>
  <c r="G40" i="6395" s="1"/>
  <c r="F18" i="6396"/>
  <c r="F40" i="6395" s="1"/>
  <c r="K17" i="6396"/>
  <c r="K39" i="6395" s="1"/>
  <c r="J17" i="6396"/>
  <c r="J39" i="6395" s="1"/>
  <c r="I17" i="6396"/>
  <c r="I39" i="6395" s="1"/>
  <c r="H17" i="6396"/>
  <c r="H39" i="6395" s="1"/>
  <c r="G17" i="6396"/>
  <c r="G39" i="6395" s="1"/>
  <c r="F17" i="6396"/>
  <c r="F39" i="6395" s="1"/>
  <c r="K15" i="6396"/>
  <c r="K37" i="6395" s="1"/>
  <c r="J15" i="6396"/>
  <c r="J37" i="6395" s="1"/>
  <c r="I15" i="6396"/>
  <c r="I37" i="6395" s="1"/>
  <c r="H15" i="6396"/>
  <c r="H37" i="6395" s="1"/>
  <c r="G15" i="6396"/>
  <c r="G37" i="6395" s="1"/>
  <c r="F15" i="6396"/>
  <c r="F37" i="6395" s="1"/>
  <c r="K14" i="6396"/>
  <c r="K36" i="6395" s="1"/>
  <c r="J14" i="6396"/>
  <c r="J36" i="6395" s="1"/>
  <c r="I14" i="6396"/>
  <c r="I36" i="6395" s="1"/>
  <c r="H14" i="6396"/>
  <c r="H36" i="6395" s="1"/>
  <c r="G14" i="6396"/>
  <c r="G36" i="6395" s="1"/>
  <c r="F14" i="6396"/>
  <c r="F36" i="6395" s="1"/>
  <c r="K13" i="6396"/>
  <c r="K35" i="6395" s="1"/>
  <c r="J13" i="6396"/>
  <c r="J35" i="6395" s="1"/>
  <c r="I13" i="6396"/>
  <c r="I35" i="6395" s="1"/>
  <c r="H13" i="6396"/>
  <c r="H35" i="6395" s="1"/>
  <c r="G13" i="6396"/>
  <c r="G35" i="6395" s="1"/>
  <c r="F13" i="6396"/>
  <c r="F35" i="6395" s="1"/>
  <c r="K12" i="6396"/>
  <c r="K34" i="6395" s="1"/>
  <c r="J12" i="6396"/>
  <c r="J34" i="6395" s="1"/>
  <c r="I12" i="6396"/>
  <c r="I34" i="6395" s="1"/>
  <c r="H12" i="6396"/>
  <c r="H34" i="6395" s="1"/>
  <c r="G12" i="6396"/>
  <c r="G34" i="6395" s="1"/>
  <c r="F12" i="6396"/>
  <c r="F34" i="6395" s="1"/>
  <c r="E21" i="6396"/>
  <c r="E43" i="6395" s="1"/>
  <c r="E18" i="6396"/>
  <c r="E40" i="6395" s="1"/>
  <c r="A57" i="6397"/>
  <c r="A32" i="6397"/>
  <c r="D72" i="6393"/>
  <c r="D71" i="6393"/>
  <c r="D70" i="6393"/>
  <c r="D47" i="6393"/>
  <c r="D46" i="6393"/>
  <c r="D45" i="6393"/>
  <c r="J44" i="6395" l="1"/>
  <c r="H33" i="6396"/>
  <c r="L15" i="6395" s="1"/>
  <c r="F33" i="6396"/>
  <c r="J15" i="6395" s="1"/>
  <c r="E33" i="6396"/>
  <c r="K44" i="6395"/>
  <c r="G15" i="6395"/>
  <c r="F15" i="6395"/>
  <c r="B33" i="6396"/>
  <c r="E15" i="6395" s="1"/>
  <c r="O24" i="6395"/>
  <c r="O23" i="6395"/>
  <c r="C66" i="6393"/>
  <c r="C65" i="6393"/>
  <c r="C64" i="6393"/>
  <c r="C63" i="6393"/>
  <c r="A52" i="6397" s="1"/>
  <c r="C62" i="6393"/>
  <c r="A51" i="6397" s="1"/>
  <c r="C61" i="6393"/>
  <c r="A50" i="6397" s="1"/>
  <c r="C60" i="6393"/>
  <c r="A49" i="6397" s="1"/>
  <c r="C59" i="6393"/>
  <c r="A48" i="6397" s="1"/>
  <c r="C58" i="6393"/>
  <c r="A47" i="6397" s="1"/>
  <c r="C72" i="6393"/>
  <c r="A61" i="6397" s="1"/>
  <c r="C31" i="6393"/>
  <c r="C30" i="6393"/>
  <c r="C42" i="6393"/>
  <c r="C47" i="6393"/>
  <c r="A36" i="6397" s="1"/>
  <c r="C46" i="6393"/>
  <c r="A35" i="6397" s="1"/>
  <c r="C45" i="6393"/>
  <c r="A34" i="6397" s="1"/>
  <c r="D22" i="6393"/>
  <c r="C22" i="6393"/>
  <c r="A11" i="6397" s="1"/>
  <c r="F18" i="6393"/>
  <c r="F19" i="6393" s="1"/>
  <c r="F20" i="6393" s="1"/>
  <c r="F21" i="6393" s="1"/>
  <c r="F22" i="6393" s="1"/>
  <c r="A17" i="6393"/>
  <c r="C7" i="6393"/>
  <c r="C5" i="6393"/>
  <c r="C4" i="6393"/>
  <c r="C2" i="6399"/>
  <c r="C56" i="6393"/>
  <c r="A45" i="6397" s="1"/>
  <c r="C55" i="6393"/>
  <c r="A44" i="6397" s="1"/>
  <c r="C54" i="6393"/>
  <c r="A43" i="6397" s="1"/>
  <c r="C53" i="6393"/>
  <c r="A42" i="6397" s="1"/>
  <c r="C52" i="6393"/>
  <c r="A41" i="6397" s="1"/>
  <c r="C51" i="6393"/>
  <c r="A40" i="6397" s="1"/>
  <c r="C50" i="6393"/>
  <c r="A39" i="6397" s="1"/>
  <c r="C49" i="6393"/>
  <c r="A38" i="6397" s="1"/>
  <c r="C48" i="6393"/>
  <c r="A37" i="6397" s="1"/>
  <c r="C41" i="6393"/>
  <c r="A30" i="6397" s="1"/>
  <c r="C40" i="6393"/>
  <c r="A29" i="6397" s="1"/>
  <c r="C39" i="6393"/>
  <c r="A28" i="6397" s="1"/>
  <c r="D57" i="6393"/>
  <c r="D44" i="6393"/>
  <c r="D32" i="6393"/>
  <c r="D20" i="6393"/>
  <c r="D21" i="6393"/>
  <c r="I15" i="6395" l="1"/>
  <c r="G33" i="6396"/>
  <c r="K15" i="6395" s="1"/>
  <c r="D17" i="6398"/>
  <c r="D17" i="6396"/>
  <c r="D39" i="6395" s="1"/>
  <c r="D20" i="6398"/>
  <c r="D20" i="6396"/>
  <c r="D42" i="6395" s="1"/>
  <c r="D22" i="6398"/>
  <c r="D22" i="6396"/>
  <c r="D44" i="6395" s="1"/>
  <c r="D23" i="6398"/>
  <c r="D23" i="6396"/>
  <c r="D45" i="6395" s="1"/>
  <c r="D24" i="6398"/>
  <c r="D24" i="6396"/>
  <c r="D46" i="6395" s="1"/>
  <c r="E3" i="6397"/>
  <c r="A55" i="6397"/>
  <c r="A54" i="6397"/>
  <c r="A19" i="6397"/>
  <c r="A31" i="6397"/>
  <c r="A20" i="6397"/>
  <c r="A53" i="6397"/>
  <c r="F23" i="6393"/>
  <c r="F24" i="6393" s="1"/>
  <c r="F25" i="6393" s="1"/>
  <c r="F26" i="6393" s="1"/>
  <c r="F27" i="6393" s="1"/>
  <c r="F28" i="6393" s="1"/>
  <c r="F29" i="6393" s="1"/>
  <c r="F30" i="6393" s="1"/>
  <c r="F31" i="6393" s="1"/>
  <c r="F32" i="6393" s="1"/>
  <c r="F33" i="6393" s="1"/>
  <c r="F34" i="6393" s="1"/>
  <c r="F35" i="6393" s="1"/>
  <c r="F36" i="6393" s="1"/>
  <c r="F37" i="6393" s="1"/>
  <c r="F38" i="6393" s="1"/>
  <c r="F39" i="6393" s="1"/>
  <c r="F40" i="6393" s="1"/>
  <c r="F41" i="6393" s="1"/>
  <c r="F42" i="6393" s="1"/>
  <c r="A22" i="6393"/>
  <c r="A18" i="6393"/>
  <c r="A19" i="6393"/>
  <c r="D19" i="6393"/>
  <c r="C57" i="6393"/>
  <c r="A46" i="6397" s="1"/>
  <c r="C38" i="6393"/>
  <c r="C37" i="6393"/>
  <c r="C67" i="6393"/>
  <c r="C23" i="6393"/>
  <c r="D7" i="6398"/>
  <c r="H6" i="6395" s="1"/>
  <c r="C11" i="6395"/>
  <c r="C20" i="6395"/>
  <c r="C10" i="6395"/>
  <c r="L11" i="6395"/>
  <c r="K11" i="6395"/>
  <c r="J11" i="6395"/>
  <c r="I11" i="6395"/>
  <c r="G11" i="6395"/>
  <c r="F11" i="6395"/>
  <c r="E11" i="6395"/>
  <c r="J19" i="6398"/>
  <c r="K19" i="6398"/>
  <c r="K16" i="6398"/>
  <c r="O38" i="6395" s="1"/>
  <c r="J11" i="6398"/>
  <c r="K11" i="6398"/>
  <c r="O33" i="6395" s="1"/>
  <c r="I19" i="6398"/>
  <c r="M41" i="6395" s="1"/>
  <c r="H19" i="6398"/>
  <c r="L41" i="6395" s="1"/>
  <c r="G19" i="6398"/>
  <c r="I16" i="6398"/>
  <c r="H16" i="6398"/>
  <c r="G16" i="6398"/>
  <c r="F11" i="6398"/>
  <c r="I11" i="6398"/>
  <c r="M33" i="6395" s="1"/>
  <c r="H11" i="6398"/>
  <c r="L33" i="6395" s="1"/>
  <c r="G11" i="6398"/>
  <c r="J19" i="6396"/>
  <c r="K19" i="6396"/>
  <c r="J16" i="6396"/>
  <c r="J38" i="6395" s="1"/>
  <c r="K16" i="6396"/>
  <c r="K38" i="6395" s="1"/>
  <c r="J11" i="6396"/>
  <c r="J33" i="6395" s="1"/>
  <c r="K11" i="6396"/>
  <c r="K33" i="6395" s="1"/>
  <c r="L20" i="6395"/>
  <c r="K20" i="6395"/>
  <c r="J20" i="6395"/>
  <c r="I20" i="6395"/>
  <c r="G20" i="6395"/>
  <c r="F20" i="6395"/>
  <c r="E20" i="6395"/>
  <c r="I19" i="6396"/>
  <c r="I41" i="6395" s="1"/>
  <c r="H19" i="6396"/>
  <c r="H41" i="6395" s="1"/>
  <c r="G19" i="6396"/>
  <c r="G41" i="6395" s="1"/>
  <c r="F19" i="6396"/>
  <c r="F41" i="6395" s="1"/>
  <c r="I16" i="6396"/>
  <c r="I38" i="6395" s="1"/>
  <c r="H16" i="6396"/>
  <c r="H38" i="6395" s="1"/>
  <c r="G16" i="6396"/>
  <c r="G38" i="6395" s="1"/>
  <c r="F16" i="6396"/>
  <c r="F38" i="6395" s="1"/>
  <c r="I11" i="6396"/>
  <c r="I33" i="6395" s="1"/>
  <c r="H11" i="6396"/>
  <c r="H33" i="6395" s="1"/>
  <c r="G11" i="6396"/>
  <c r="G33" i="6395" s="1"/>
  <c r="F11" i="6396"/>
  <c r="F33" i="6395" s="1"/>
  <c r="C29" i="6393"/>
  <c r="C28" i="6393"/>
  <c r="C27" i="6393"/>
  <c r="C26" i="6393"/>
  <c r="C25" i="6393"/>
  <c r="C24" i="6393"/>
  <c r="C36" i="6393"/>
  <c r="C35" i="6393"/>
  <c r="C34" i="6393"/>
  <c r="C44" i="6393"/>
  <c r="A33" i="6397" s="1"/>
  <c r="C32" i="6393"/>
  <c r="A21" i="6397" s="1"/>
  <c r="C71" i="6393"/>
  <c r="A60" i="6397" s="1"/>
  <c r="C70" i="6393"/>
  <c r="A59" i="6397" s="1"/>
  <c r="D69" i="6393"/>
  <c r="C69" i="6393"/>
  <c r="A58" i="6397" s="1"/>
  <c r="C21" i="6393"/>
  <c r="A10" i="6397" s="1"/>
  <c r="C20" i="6393"/>
  <c r="A9" i="6397" s="1"/>
  <c r="C19" i="6393"/>
  <c r="A8" i="6397" s="1"/>
  <c r="C6" i="6393"/>
  <c r="C7" i="6396"/>
  <c r="D15" i="6395" s="1"/>
  <c r="C7" i="6398"/>
  <c r="D6" i="6395" s="1"/>
  <c r="D6" i="6398"/>
  <c r="H9" i="6395" s="1"/>
  <c r="C6" i="6398"/>
  <c r="D9" i="6395" s="1"/>
  <c r="G12" i="6393"/>
  <c r="D4" i="6398"/>
  <c r="H7" i="6395" s="1"/>
  <c r="D5" i="6398"/>
  <c r="H8" i="6395" s="1"/>
  <c r="C5" i="6398"/>
  <c r="D8" i="6395" s="1"/>
  <c r="C4" i="6398"/>
  <c r="D7" i="6395" s="1"/>
  <c r="D6" i="6396"/>
  <c r="H18" i="6395" s="1"/>
  <c r="C6" i="6396"/>
  <c r="D18" i="6395" s="1"/>
  <c r="D7" i="6396"/>
  <c r="H15" i="6395" s="1"/>
  <c r="D5" i="6396"/>
  <c r="H17" i="6395" s="1"/>
  <c r="C5" i="6396"/>
  <c r="D17" i="6395" s="1"/>
  <c r="D4" i="6396"/>
  <c r="H16" i="6395" s="1"/>
  <c r="C4" i="6396"/>
  <c r="D16" i="6395" s="1"/>
  <c r="C33" i="6393"/>
  <c r="A7" i="6398"/>
  <c r="B1" i="6398"/>
  <c r="A7" i="6396"/>
  <c r="C15" i="6395" s="1"/>
  <c r="A6" i="6396"/>
  <c r="A5" i="6396"/>
  <c r="C17" i="6395" s="1"/>
  <c r="A4" i="6396"/>
  <c r="A6" i="6398"/>
  <c r="C9" i="6395" s="1"/>
  <c r="A5" i="6398"/>
  <c r="C8" i="6395" s="1"/>
  <c r="A4" i="6398"/>
  <c r="G13" i="6393"/>
  <c r="G11" i="6393"/>
  <c r="A1" i="6393"/>
  <c r="R33" i="6395"/>
  <c r="E20" i="6396"/>
  <c r="E42" i="6395" s="1"/>
  <c r="E19" i="6396"/>
  <c r="E41" i="6395" s="1"/>
  <c r="E17" i="6396"/>
  <c r="E39" i="6395" s="1"/>
  <c r="E16" i="6396"/>
  <c r="E38" i="6395" s="1"/>
  <c r="E15" i="6396"/>
  <c r="E37" i="6395" s="1"/>
  <c r="E14" i="6396"/>
  <c r="E36" i="6395" s="1"/>
  <c r="E13" i="6396"/>
  <c r="E35" i="6395" s="1"/>
  <c r="E12" i="6396"/>
  <c r="E34" i="6395" s="1"/>
  <c r="E11" i="6396"/>
  <c r="E33" i="6395" s="1"/>
  <c r="C19" i="6395"/>
  <c r="A32" i="6396"/>
  <c r="A31" i="6396"/>
  <c r="A30" i="6396"/>
  <c r="A7" i="6397"/>
  <c r="A6" i="6397"/>
  <c r="M38" i="6395" l="1"/>
  <c r="L38" i="6395"/>
  <c r="D11" i="6398"/>
  <c r="C7" i="6395" s="1"/>
  <c r="D11" i="6396"/>
  <c r="D33" i="6395" s="1"/>
  <c r="D13" i="6398"/>
  <c r="D13" i="6396"/>
  <c r="D35" i="6395" s="1"/>
  <c r="D16" i="6398"/>
  <c r="D16" i="6396"/>
  <c r="D38" i="6395" s="1"/>
  <c r="D18" i="6398"/>
  <c r="D18" i="6396"/>
  <c r="D40" i="6395" s="1"/>
  <c r="D19" i="6398"/>
  <c r="D19" i="6396"/>
  <c r="D41" i="6395" s="1"/>
  <c r="D21" i="6398"/>
  <c r="D21" i="6396"/>
  <c r="D43" i="6395" s="1"/>
  <c r="D15" i="6398"/>
  <c r="D15" i="6396"/>
  <c r="D37" i="6395" s="1"/>
  <c r="K41" i="6395"/>
  <c r="D32" i="6396"/>
  <c r="G18" i="6395" s="1"/>
  <c r="C32" i="6396"/>
  <c r="F18" i="6395" s="1"/>
  <c r="B32" i="6396"/>
  <c r="E18" i="6395" s="1"/>
  <c r="F32" i="6398"/>
  <c r="J9" i="6395" s="1"/>
  <c r="N41" i="6395"/>
  <c r="H32" i="6398"/>
  <c r="L9" i="6395" s="1"/>
  <c r="E32" i="6398"/>
  <c r="J41" i="6395"/>
  <c r="E32" i="6396"/>
  <c r="G32" i="6396" s="1"/>
  <c r="K18" i="6395" s="1"/>
  <c r="H32" i="6396"/>
  <c r="L18" i="6395" s="1"/>
  <c r="F32" i="6396"/>
  <c r="J18" i="6395" s="1"/>
  <c r="D31" i="6398"/>
  <c r="G8" i="6395" s="1"/>
  <c r="C31" i="6398"/>
  <c r="F8" i="6395" s="1"/>
  <c r="B31" i="6398"/>
  <c r="E8" i="6395" s="1"/>
  <c r="L8" i="6395"/>
  <c r="B32" i="6398"/>
  <c r="E9" i="6395" s="1"/>
  <c r="O41" i="6395"/>
  <c r="C32" i="6398"/>
  <c r="F9" i="6395" s="1"/>
  <c r="D32" i="6398"/>
  <c r="G9" i="6395" s="1"/>
  <c r="D14" i="6398"/>
  <c r="D14" i="6396"/>
  <c r="D36" i="6395" s="1"/>
  <c r="D12" i="6398"/>
  <c r="D12" i="6396"/>
  <c r="D34" i="6395" s="1"/>
  <c r="F31" i="6396"/>
  <c r="J17" i="6395" s="1"/>
  <c r="E31" i="6396"/>
  <c r="H31" i="6396"/>
  <c r="L17" i="6395" s="1"/>
  <c r="B31" i="6396"/>
  <c r="E17" i="6395" s="1"/>
  <c r="D31" i="6396"/>
  <c r="G17" i="6395" s="1"/>
  <c r="C31" i="6396"/>
  <c r="F17" i="6395" s="1"/>
  <c r="A24" i="6397"/>
  <c r="A13" i="6397"/>
  <c r="A15" i="6397"/>
  <c r="A17" i="6397"/>
  <c r="A12" i="6397"/>
  <c r="D47" i="6395" s="1"/>
  <c r="A26" i="6397"/>
  <c r="D49" i="6395" s="1"/>
  <c r="A22" i="6397"/>
  <c r="A23" i="6397"/>
  <c r="A25" i="6397"/>
  <c r="A14" i="6397"/>
  <c r="A16" i="6397"/>
  <c r="A18" i="6397"/>
  <c r="A56" i="6397"/>
  <c r="D48" i="6395" s="1"/>
  <c r="A27" i="6397"/>
  <c r="D50" i="6395" s="1"/>
  <c r="O27" i="6395"/>
  <c r="C6" i="6395"/>
  <c r="C18" i="6395"/>
  <c r="A42" i="6393"/>
  <c r="F43" i="6393"/>
  <c r="F44" i="6393" s="1"/>
  <c r="F45" i="6393" s="1"/>
  <c r="F46" i="6393" s="1"/>
  <c r="F47" i="6393" s="1"/>
  <c r="F48" i="6393" s="1"/>
  <c r="F49" i="6393" s="1"/>
  <c r="F50" i="6393" s="1"/>
  <c r="F51" i="6393" s="1"/>
  <c r="F52" i="6393" s="1"/>
  <c r="F53" i="6393" s="1"/>
  <c r="F54" i="6393" s="1"/>
  <c r="F55" i="6393" s="1"/>
  <c r="F56" i="6393" s="1"/>
  <c r="A20" i="6393"/>
  <c r="C16" i="6395"/>
  <c r="C2" i="6393"/>
  <c r="C30" i="6398"/>
  <c r="F7" i="6395" s="1"/>
  <c r="F30" i="6398"/>
  <c r="J7" i="6395" s="1"/>
  <c r="N33" i="6395"/>
  <c r="D30" i="6396"/>
  <c r="G16" i="6395" s="1"/>
  <c r="E30" i="6396"/>
  <c r="C30" i="6396"/>
  <c r="F16" i="6395" s="1"/>
  <c r="F2" i="6395"/>
  <c r="B1" i="6396"/>
  <c r="H30" i="6398"/>
  <c r="L7" i="6395" s="1"/>
  <c r="B30" i="6396"/>
  <c r="E16" i="6395" s="1"/>
  <c r="D30" i="6398"/>
  <c r="G7" i="6395" s="1"/>
  <c r="H30" i="6396"/>
  <c r="L16" i="6395" s="1"/>
  <c r="F30" i="6396"/>
  <c r="J16" i="6395" s="1"/>
  <c r="B30" i="6398"/>
  <c r="E7" i="6395" s="1"/>
  <c r="O8" i="6395" s="1"/>
  <c r="E30" i="6398"/>
  <c r="I18" i="6395" l="1"/>
  <c r="I7" i="6395"/>
  <c r="G30" i="6398"/>
  <c r="K7" i="6395" s="1"/>
  <c r="I16" i="6395"/>
  <c r="G30" i="6396"/>
  <c r="K16" i="6395" s="1"/>
  <c r="I17" i="6395"/>
  <c r="G31" i="6396"/>
  <c r="K17" i="6395" s="1"/>
  <c r="I9" i="6395"/>
  <c r="G32" i="6398"/>
  <c r="K9" i="6395" s="1"/>
  <c r="O5" i="6395"/>
  <c r="O14" i="6395"/>
  <c r="O26" i="6395"/>
  <c r="F57" i="6393"/>
  <c r="F58" i="6393" s="1"/>
  <c r="F59" i="6393" s="1"/>
  <c r="F60" i="6393" s="1"/>
  <c r="F61" i="6393" s="1"/>
  <c r="F62" i="6393" s="1"/>
  <c r="F63" i="6393" s="1"/>
  <c r="F64" i="6393" s="1"/>
  <c r="A45" i="6393"/>
  <c r="A46" i="6393"/>
  <c r="A21" i="6393"/>
  <c r="O18" i="6395" l="1"/>
  <c r="O15" i="6395"/>
  <c r="O6" i="6395"/>
  <c r="F65" i="6393"/>
  <c r="A64" i="6393"/>
  <c r="A47" i="6393"/>
  <c r="A23" i="6393"/>
  <c r="F66" i="6393" l="1"/>
  <c r="F67" i="6393" s="1"/>
  <c r="F68" i="6393" s="1"/>
  <c r="F69" i="6393" s="1"/>
  <c r="F70" i="6393" s="1"/>
  <c r="F71" i="6393" s="1"/>
  <c r="F72" i="6393" s="1"/>
  <c r="A65" i="6393"/>
  <c r="A24" i="6393"/>
  <c r="A66" i="6393" l="1"/>
  <c r="A25" i="6393"/>
  <c r="A67" i="6393" l="1"/>
  <c r="A26" i="6393"/>
  <c r="A72" i="6393" l="1"/>
  <c r="A68" i="6393"/>
  <c r="A27" i="6393"/>
  <c r="A28" i="6393" l="1"/>
  <c r="A29" i="6393" l="1"/>
  <c r="A30" i="6393" l="1"/>
  <c r="A31" i="6393" l="1"/>
  <c r="A32" i="6393" l="1"/>
  <c r="A33" i="6393" l="1"/>
  <c r="A34" i="6393" l="1"/>
  <c r="A35" i="6393" l="1"/>
  <c r="A36" i="6393" l="1"/>
  <c r="A37" i="6393" l="1"/>
  <c r="A38" i="6393" l="1"/>
  <c r="A39" i="6393" l="1"/>
  <c r="A40" i="6393" l="1"/>
  <c r="A41" i="6393" l="1"/>
  <c r="A43" i="6393" l="1"/>
  <c r="A44" i="6393" l="1"/>
  <c r="A48" i="6393" l="1"/>
  <c r="A49" i="6393" l="1"/>
  <c r="A50" i="6393" l="1"/>
  <c r="A51" i="6393" l="1"/>
  <c r="A52" i="6393" l="1"/>
  <c r="A53" i="6393" l="1"/>
  <c r="A54" i="6393" l="1"/>
  <c r="A55" i="6393" l="1"/>
  <c r="A56" i="6393" l="1"/>
  <c r="A57" i="6393" l="1"/>
  <c r="A58" i="6393" l="1"/>
  <c r="A59" i="6393" l="1"/>
  <c r="A60" i="6393" l="1"/>
  <c r="A61" i="6393" l="1"/>
  <c r="A62" i="6393" l="1"/>
  <c r="A63" i="6393" l="1"/>
  <c r="A69" i="6393" l="1"/>
  <c r="A71" i="6393" l="1"/>
  <c r="A70" i="6393"/>
</calcChain>
</file>

<file path=xl/sharedStrings.xml><?xml version="1.0" encoding="utf-8"?>
<sst xmlns="http://schemas.openxmlformats.org/spreadsheetml/2006/main" count="647" uniqueCount="466">
  <si>
    <t>Standard</t>
  </si>
  <si>
    <t xml:space="preserve">     X</t>
  </si>
  <si>
    <t xml:space="preserve">    N</t>
  </si>
  <si>
    <t xml:space="preserve">   </t>
  </si>
  <si>
    <t xml:space="preserve">        13C</t>
  </si>
  <si>
    <t xml:space="preserve">  s.d.</t>
  </si>
  <si>
    <t xml:space="preserve">        %C</t>
  </si>
  <si>
    <t>METHOD:</t>
  </si>
  <si>
    <t>DATE RUN:</t>
  </si>
  <si>
    <t>Date</t>
  </si>
  <si>
    <t>FILE NAME:</t>
  </si>
  <si>
    <t>D7</t>
  </si>
  <si>
    <t>D8</t>
  </si>
  <si>
    <t>E1</t>
  </si>
  <si>
    <t>Actual</t>
  </si>
  <si>
    <t>Meas.</t>
  </si>
  <si>
    <t>Affiliation:</t>
  </si>
  <si>
    <t>Email:</t>
  </si>
  <si>
    <t>Phone:</t>
  </si>
  <si>
    <t>Address:</t>
  </si>
  <si>
    <t>Project Description:</t>
  </si>
  <si>
    <t>Sample ID</t>
  </si>
  <si>
    <t>Sample Wt.</t>
  </si>
  <si>
    <t>Investigator:</t>
  </si>
  <si>
    <t>DATE SUBMITTED:</t>
  </si>
  <si>
    <t>REP1 (‰)</t>
  </si>
  <si>
    <t>REP2 (‰)</t>
  </si>
  <si>
    <t>DIRECTIONS:</t>
  </si>
  <si>
    <t>WEIGH INFO:</t>
  </si>
  <si>
    <t>Weigh Person:</t>
  </si>
  <si>
    <t>ANALYST:</t>
  </si>
  <si>
    <t>Sample Description:</t>
  </si>
  <si>
    <t>#Samples</t>
  </si>
  <si>
    <t>ISIRF#</t>
  </si>
  <si>
    <t>blank</t>
  </si>
  <si>
    <t>ISIRF USE ONLY</t>
  </si>
  <si>
    <t>Well#</t>
  </si>
  <si>
    <t>A1</t>
  </si>
  <si>
    <t>A2</t>
  </si>
  <si>
    <t>A3</t>
  </si>
  <si>
    <t>A4</t>
  </si>
  <si>
    <t>A5</t>
  </si>
  <si>
    <t>A6</t>
  </si>
  <si>
    <t>A7</t>
  </si>
  <si>
    <t>A8</t>
  </si>
  <si>
    <t>B1</t>
  </si>
  <si>
    <t>B2</t>
  </si>
  <si>
    <t>B3</t>
  </si>
  <si>
    <t>B4</t>
  </si>
  <si>
    <t>B5</t>
  </si>
  <si>
    <t>B6</t>
  </si>
  <si>
    <t>B7</t>
  </si>
  <si>
    <t>B8</t>
  </si>
  <si>
    <t>C2</t>
  </si>
  <si>
    <t>C3</t>
  </si>
  <si>
    <t>C4</t>
  </si>
  <si>
    <t>C5</t>
  </si>
  <si>
    <t>C6</t>
  </si>
  <si>
    <t>C7</t>
  </si>
  <si>
    <t>C8</t>
  </si>
  <si>
    <t>D1</t>
  </si>
  <si>
    <t>D2</t>
  </si>
  <si>
    <t>D3</t>
  </si>
  <si>
    <t>D4</t>
  </si>
  <si>
    <t>D5</t>
  </si>
  <si>
    <t>D6</t>
  </si>
  <si>
    <t>Sample #</t>
  </si>
  <si>
    <t>%C</t>
  </si>
  <si>
    <t>%N</t>
  </si>
  <si>
    <t>QA Summary 13C:</t>
  </si>
  <si>
    <t>QA Summary 15N:</t>
  </si>
  <si>
    <t>Enriched Samples? (Y or N):</t>
  </si>
  <si>
    <t>HazardousSamples? (Y or N):</t>
  </si>
  <si>
    <t>1. Obtain the ISIRF Solid Submission Form from the mass spectrometer operator.</t>
  </si>
  <si>
    <t>Rep 1</t>
  </si>
  <si>
    <t>Run date</t>
  </si>
  <si>
    <t>File name</t>
  </si>
  <si>
    <t>Run type</t>
  </si>
  <si>
    <t>Wt. (mg)</t>
  </si>
  <si>
    <t>Carbon Standards</t>
  </si>
  <si>
    <t>Nitrogen Standards</t>
  </si>
  <si>
    <t xml:space="preserve">Precision of carbon data </t>
  </si>
  <si>
    <t>Accuracy of carbon data</t>
  </si>
  <si>
    <t xml:space="preserve">Precision of nitrogen data </t>
  </si>
  <si>
    <t>Accuracy of nitrogen data</t>
  </si>
  <si>
    <t>Sample</t>
  </si>
  <si>
    <t>Conc Cal Std - Isotope QC Std</t>
  </si>
  <si>
    <t>Conc QC Std - Isotope High Cal Std</t>
  </si>
  <si>
    <t>Conc QC Std - Isotope Low Cal Std</t>
  </si>
  <si>
    <t>[C] %</t>
  </si>
  <si>
    <t>[N] %</t>
  </si>
  <si>
    <t>Quality Assurance data for Carbon:</t>
  </si>
  <si>
    <t>Replicate Sample 1</t>
  </si>
  <si>
    <t>Replicate Sample 2</t>
  </si>
  <si>
    <t>N</t>
  </si>
  <si>
    <t>Quality Assurance Data for Nitrogen:</t>
  </si>
  <si>
    <t>Notes:</t>
  </si>
  <si>
    <t>Notes</t>
  </si>
  <si>
    <t>INDEX</t>
  </si>
  <si>
    <t>Contents</t>
  </si>
  <si>
    <t>Tab</t>
  </si>
  <si>
    <t>ISIRF Raw</t>
  </si>
  <si>
    <t>ISIRF 15N</t>
  </si>
  <si>
    <t>ISIRF 13C</t>
  </si>
  <si>
    <t>PI Project and sample discription</t>
  </si>
  <si>
    <t xml:space="preserve">Cover  </t>
  </si>
  <si>
    <t>Printable Sheet for hand entering weights</t>
  </si>
  <si>
    <t>ISIRF use for raw data entery</t>
  </si>
  <si>
    <t>PI and ISIRF Quality Assurance Information</t>
  </si>
  <si>
    <t>Sample Wt (mg)</t>
  </si>
  <si>
    <r>
      <t>N</t>
    </r>
    <r>
      <rPr>
        <b/>
        <vertAlign val="subscript"/>
        <sz val="10"/>
        <rFont val="Geneva"/>
      </rPr>
      <t xml:space="preserve">2 </t>
    </r>
    <r>
      <rPr>
        <b/>
        <sz val="10"/>
        <rFont val="Geneva"/>
        <family val="2"/>
      </rPr>
      <t>Area</t>
    </r>
  </si>
  <si>
    <r>
      <t>CO</t>
    </r>
    <r>
      <rPr>
        <b/>
        <vertAlign val="subscript"/>
        <sz val="10"/>
        <rFont val="Geneva"/>
      </rPr>
      <t xml:space="preserve">2 </t>
    </r>
    <r>
      <rPr>
        <b/>
        <sz val="10"/>
        <rFont val="Geneva"/>
        <family val="2"/>
      </rPr>
      <t>Area</t>
    </r>
  </si>
  <si>
    <t>Wt % C</t>
  </si>
  <si>
    <t>13C ‰ pdb</t>
  </si>
  <si>
    <t xml:space="preserve">13C ‰ pdb Corrected </t>
  </si>
  <si>
    <t>Wt % N</t>
  </si>
  <si>
    <t>15N ‰ Air</t>
  </si>
  <si>
    <t xml:space="preserve">15N ‰ Air Corrected </t>
  </si>
  <si>
    <t>Line</t>
  </si>
  <si>
    <t>Standard and replicate data</t>
  </si>
  <si>
    <t>Investigator Data</t>
  </si>
  <si>
    <t>Weigh Sheet</t>
  </si>
  <si>
    <t>PI Sample identification, and Results</t>
  </si>
  <si>
    <t>Date: (YYMMDD)</t>
  </si>
  <si>
    <t>Seq.</t>
  </si>
  <si>
    <t>Cal-H.Std:</t>
  </si>
  <si>
    <t>Cal-L.Std:</t>
  </si>
  <si>
    <t>Analyses:</t>
  </si>
  <si>
    <t>Sample Name</t>
  </si>
  <si>
    <t>Cal-H.STD</t>
  </si>
  <si>
    <t>Cal-L.STD</t>
  </si>
  <si>
    <t>Avg</t>
  </si>
  <si>
    <t>Seq #</t>
  </si>
  <si>
    <r>
      <t>CO</t>
    </r>
    <r>
      <rPr>
        <b/>
        <vertAlign val="subscript"/>
        <sz val="10"/>
        <rFont val="Geneva"/>
        <family val="2"/>
      </rPr>
      <t>2</t>
    </r>
    <r>
      <rPr>
        <b/>
        <sz val="10"/>
        <rFont val="Geneva"/>
      </rPr>
      <t xml:space="preserve"> Area</t>
    </r>
  </si>
  <si>
    <t>Variance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</si>
  <si>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  <family val="2"/>
      </rPr>
      <t>13</t>
    </r>
    <r>
      <rPr>
        <b/>
        <sz val="9"/>
        <rFont val="Geneva"/>
      </rPr>
      <t>C</t>
    </r>
  </si>
  <si>
    <t>Run Type</t>
  </si>
  <si>
    <t>QC.STD</t>
  </si>
  <si>
    <t>NIST Certified Isotope Standard - QC</t>
  </si>
  <si>
    <t>Var.</t>
  </si>
  <si>
    <r>
      <t>N</t>
    </r>
    <r>
      <rPr>
        <b/>
        <vertAlign val="subscript"/>
        <sz val="10"/>
        <rFont val="Geneva"/>
        <family val="2"/>
      </rPr>
      <t>2</t>
    </r>
    <r>
      <rPr>
        <b/>
        <sz val="10"/>
        <rFont val="Geneva"/>
      </rPr>
      <t xml:space="preserve"> Area</t>
    </r>
  </si>
  <si>
    <t xml:space="preserve">      </t>
  </si>
  <si>
    <t>var.</t>
  </si>
  <si>
    <t>var</t>
  </si>
  <si>
    <r>
      <t>d</t>
    </r>
    <r>
      <rPr>
        <b/>
        <vertAlign val="superscript"/>
        <sz val="9"/>
        <rFont val="Geneva"/>
        <family val="2"/>
      </rPr>
      <t>15</t>
    </r>
    <r>
      <rPr>
        <b/>
        <sz val="9"/>
        <rFont val="Geneva"/>
      </rPr>
      <t>N</t>
    </r>
  </si>
  <si>
    <t>User Data</t>
  </si>
  <si>
    <t>Investigator QA Data</t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</si>
  <si>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Geneva"/>
        <family val="2"/>
      </rPr>
      <t>15</t>
    </r>
    <r>
      <rPr>
        <sz val="10"/>
        <rFont val="Geneva"/>
      </rPr>
      <t>N summary</t>
    </r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</si>
  <si>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Geneva"/>
        <family val="2"/>
      </rPr>
      <t>13</t>
    </r>
    <r>
      <rPr>
        <sz val="10"/>
        <rFont val="Geneva"/>
      </rPr>
      <t>C summary</t>
    </r>
  </si>
  <si>
    <r>
      <t xml:space="preserve">Calibration Info.  </t>
    </r>
    <r>
      <rPr>
        <b/>
        <sz val="10"/>
        <rFont val="Geneva"/>
        <family val="2"/>
      </rPr>
      <t xml:space="preserve">Balance: </t>
    </r>
  </si>
  <si>
    <t>Project Code &amp; Tray ID for file name:</t>
  </si>
  <si>
    <t>Investigator ID#</t>
  </si>
  <si>
    <t>WRITE FULL FILE NAME ON TRAY!!</t>
  </si>
  <si>
    <t>Sample Description (Matrix):</t>
  </si>
  <si>
    <t>6. Have Weigh person submit samples and Weigh Sheet to the IRMS operator.</t>
  </si>
  <si>
    <t>Sample %N, %C:</t>
  </si>
  <si>
    <t>Sample Weight: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</si>
  <si>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</si>
  <si>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</si>
  <si>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  <family val="2"/>
      </rPr>
      <t>13</t>
    </r>
    <r>
      <rPr>
        <b/>
        <sz val="9"/>
        <rFont val="Geneva"/>
      </rPr>
      <t>C</t>
    </r>
  </si>
  <si>
    <t>Intrcpt</t>
  </si>
  <si>
    <t>Target Wt.</t>
  </si>
  <si>
    <t>Rep 14</t>
  </si>
  <si>
    <r>
      <t xml:space="preserve">2. Fill in the yellow shaded regions of the </t>
    </r>
    <r>
      <rPr>
        <b/>
        <u/>
        <sz val="10"/>
        <rFont val="Arial"/>
        <family val="2"/>
      </rPr>
      <t>Cover</t>
    </r>
    <r>
      <rPr>
        <sz val="10"/>
        <rFont val="Arial"/>
        <family val="2"/>
      </rPr>
      <t xml:space="preserve">, and </t>
    </r>
    <r>
      <rPr>
        <b/>
        <u/>
        <sz val="10"/>
        <rFont val="Arial"/>
        <family val="2"/>
      </rPr>
      <t>Investigator Data</t>
    </r>
    <r>
      <rPr>
        <sz val="10"/>
        <rFont val="Arial"/>
        <family val="2"/>
      </rPr>
      <t xml:space="preserve"> Sheets (34 samples maximum).</t>
    </r>
  </si>
  <si>
    <t>QC.Std:</t>
  </si>
  <si>
    <t>QA STD</t>
  </si>
  <si>
    <t>Sample Cup</t>
  </si>
  <si>
    <t>E2</t>
  </si>
  <si>
    <t>E3</t>
  </si>
  <si>
    <t>E4</t>
  </si>
  <si>
    <t>E5</t>
  </si>
  <si>
    <t>E6</t>
  </si>
  <si>
    <t>E7</t>
  </si>
  <si>
    <t>E8</t>
  </si>
  <si>
    <t>C1</t>
  </si>
  <si>
    <t>Balance Log Book</t>
  </si>
  <si>
    <t>Tin</t>
  </si>
  <si>
    <t>5 X 9</t>
  </si>
  <si>
    <t>Analyses (13C, 15N, 34S):</t>
  </si>
  <si>
    <t>ISIRF 34S</t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</si>
  <si>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Symbol"/>
        <family val="1"/>
        <charset val="2"/>
      </rPr>
      <t>34</t>
    </r>
    <r>
      <rPr>
        <sz val="10"/>
        <rFont val="Geneva"/>
      </rPr>
      <t>S summary</t>
    </r>
  </si>
  <si>
    <t>QA Std:</t>
  </si>
  <si>
    <r>
      <rPr>
        <b/>
        <sz val="10"/>
        <rFont val="Calibri"/>
        <family val="2"/>
      </rPr>
      <t>δ</t>
    </r>
    <r>
      <rPr>
        <b/>
        <vertAlign val="superscript"/>
        <sz val="10"/>
        <rFont val="Arial"/>
        <family val="2"/>
      </rPr>
      <t>13</t>
    </r>
    <r>
      <rPr>
        <b/>
        <sz val="10"/>
        <rFont val="Arial"/>
        <family val="2"/>
      </rPr>
      <t>C</t>
    </r>
  </si>
  <si>
    <r>
      <rPr>
        <b/>
        <sz val="10"/>
        <rFont val="Calibri"/>
        <family val="2"/>
      </rPr>
      <t>δ</t>
    </r>
    <r>
      <rPr>
        <b/>
        <vertAlign val="superscript"/>
        <sz val="10"/>
        <rFont val="Arial"/>
        <family val="2"/>
      </rPr>
      <t>15</t>
    </r>
    <r>
      <rPr>
        <b/>
        <sz val="10"/>
        <rFont val="Arial"/>
        <family val="2"/>
      </rPr>
      <t>N</t>
    </r>
  </si>
  <si>
    <t>%S</t>
  </si>
  <si>
    <t>Mass 28 nA</t>
  </si>
  <si>
    <t>Mass 44 nA</t>
  </si>
  <si>
    <t>A9</t>
  </si>
  <si>
    <t>A10</t>
  </si>
  <si>
    <t>A11</t>
  </si>
  <si>
    <t>A12</t>
  </si>
  <si>
    <t>B9</t>
  </si>
  <si>
    <t>B10</t>
  </si>
  <si>
    <t>B11</t>
  </si>
  <si>
    <t>B12</t>
  </si>
  <si>
    <t>C9</t>
  </si>
  <si>
    <t>C10</t>
  </si>
  <si>
    <t>C11</t>
  </si>
  <si>
    <t>C12</t>
  </si>
  <si>
    <t>D9</t>
  </si>
  <si>
    <t>D10</t>
  </si>
  <si>
    <t>D11</t>
  </si>
  <si>
    <t>D12</t>
  </si>
  <si>
    <t>Mass 64 nA</t>
  </si>
  <si>
    <r>
      <t>SO</t>
    </r>
    <r>
      <rPr>
        <b/>
        <vertAlign val="subscript"/>
        <sz val="10"/>
        <rFont val="Geneva"/>
      </rPr>
      <t>2</t>
    </r>
    <r>
      <rPr>
        <b/>
        <sz val="10"/>
        <rFont val="Geneva"/>
      </rPr>
      <t xml:space="preserve"> Area</t>
    </r>
  </si>
  <si>
    <t>Wt % S</t>
  </si>
  <si>
    <t>34S ‰ pdb</t>
  </si>
  <si>
    <t xml:space="preserve">34S ‰ pdb Corrected 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</si>
  <si>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Arial"/>
        <family val="2"/>
      </rPr>
      <t>34</t>
    </r>
    <r>
      <rPr>
        <b/>
        <sz val="9"/>
        <rFont val="Arial"/>
        <family val="2"/>
      </rPr>
      <t>S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</si>
  <si>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Arial"/>
        <family val="2"/>
      </rPr>
      <t>34</t>
    </r>
    <r>
      <rPr>
        <b/>
        <sz val="9"/>
        <rFont val="Arial"/>
        <family val="2"/>
      </rPr>
      <t>S</t>
    </r>
  </si>
  <si>
    <t>Quality Assurance Data for Sulfur:</t>
  </si>
  <si>
    <t>Mass 28 nAmp</t>
  </si>
  <si>
    <t>Filename</t>
  </si>
  <si>
    <r>
      <t>δ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</si>
  <si>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t>Check QC</t>
  </si>
  <si>
    <r>
      <rPr>
        <b/>
        <sz val="9"/>
        <rFont val="Calibri"/>
        <family val="2"/>
      </rPr>
      <t>δ</t>
    </r>
    <r>
      <rPr>
        <b/>
        <vertAlign val="superscript"/>
        <sz val="9"/>
        <rFont val="Geneva"/>
      </rPr>
      <t>13</t>
    </r>
    <r>
      <rPr>
        <b/>
        <sz val="9"/>
        <rFont val="Geneva"/>
      </rPr>
      <t>C</t>
    </r>
  </si>
  <si>
    <r>
      <t>d</t>
    </r>
    <r>
      <rPr>
        <b/>
        <vertAlign val="superscript"/>
        <sz val="10"/>
        <rFont val="Arial"/>
        <family val="2"/>
      </rPr>
      <t>13</t>
    </r>
    <r>
      <rPr>
        <b/>
        <sz val="10"/>
        <rFont val="Arial"/>
        <family val="2"/>
      </rPr>
      <t>C</t>
    </r>
  </si>
  <si>
    <r>
      <t>d</t>
    </r>
    <r>
      <rPr>
        <b/>
        <vertAlign val="superscript"/>
        <sz val="10"/>
        <rFont val="Arial"/>
        <family val="2"/>
      </rPr>
      <t>15</t>
    </r>
    <r>
      <rPr>
        <b/>
        <sz val="10"/>
        <rFont val="Arial"/>
        <family val="2"/>
      </rPr>
      <t>N</t>
    </r>
  </si>
  <si>
    <r>
      <t>d</t>
    </r>
    <r>
      <rPr>
        <b/>
        <vertAlign val="superscript"/>
        <sz val="10"/>
        <rFont val="Arial"/>
        <family val="2"/>
      </rPr>
      <t>34</t>
    </r>
    <r>
      <rPr>
        <b/>
        <sz val="10"/>
        <rFont val="Arial"/>
        <family val="2"/>
      </rPr>
      <t>S</t>
    </r>
  </si>
  <si>
    <t xml:space="preserve">Precision of Sulfur data </t>
  </si>
  <si>
    <t>Accuracy of Sulfur data</t>
  </si>
  <si>
    <t>[S] %</t>
  </si>
  <si>
    <r>
      <t>d</t>
    </r>
    <r>
      <rPr>
        <vertAlign val="superscript"/>
        <sz val="10"/>
        <rFont val="Arial"/>
        <family val="2"/>
      </rPr>
      <t>34</t>
    </r>
    <r>
      <rPr>
        <sz val="10"/>
        <rFont val="Arial"/>
        <family val="2"/>
      </rPr>
      <t>S</t>
    </r>
  </si>
  <si>
    <r>
      <t>d</t>
    </r>
    <r>
      <rPr>
        <vertAlign val="superscript"/>
        <sz val="10"/>
        <rFont val="Arial"/>
        <family val="2"/>
      </rPr>
      <t>13</t>
    </r>
    <r>
      <rPr>
        <sz val="10"/>
        <rFont val="Arial"/>
        <family val="2"/>
      </rPr>
      <t>C</t>
    </r>
  </si>
  <si>
    <r>
      <t>d</t>
    </r>
    <r>
      <rPr>
        <vertAlign val="superscript"/>
        <sz val="10"/>
        <rFont val="Arial"/>
        <family val="2"/>
      </rPr>
      <t>15</t>
    </r>
    <r>
      <rPr>
        <sz val="10"/>
        <rFont val="Arial"/>
        <family val="2"/>
      </rPr>
      <t>N</t>
    </r>
  </si>
  <si>
    <t>Mass 28 Area</t>
  </si>
  <si>
    <t>Mass 44 nAmp</t>
  </si>
  <si>
    <t>Mass 44 Area</t>
  </si>
  <si>
    <t>Rep-1</t>
  </si>
  <si>
    <t>Rep-2</t>
  </si>
  <si>
    <r>
      <rPr>
        <b/>
        <sz val="9"/>
        <rFont val="Calibri"/>
        <family val="2"/>
      </rPr>
      <t>δ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</si>
  <si>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t>r.s.d.</t>
  </si>
  <si>
    <t>r.s.d</t>
  </si>
  <si>
    <t xml:space="preserve"> r. s.d.</t>
  </si>
  <si>
    <t xml:space="preserve">  r.s.d.</t>
  </si>
  <si>
    <t>Mode of Operation</t>
  </si>
  <si>
    <t>NBS/NIST</t>
  </si>
  <si>
    <t>Ammonium Sulfate</t>
  </si>
  <si>
    <t>Bamboo</t>
  </si>
  <si>
    <t>Bovine Liver</t>
  </si>
  <si>
    <t>Chitin</t>
  </si>
  <si>
    <t>Citrus Leaf</t>
  </si>
  <si>
    <t>Corn Stalk</t>
  </si>
  <si>
    <t>Graphite</t>
  </si>
  <si>
    <t>L-Glutamic</t>
  </si>
  <si>
    <t>Pine Needles</t>
  </si>
  <si>
    <t>Sorghum Flour</t>
  </si>
  <si>
    <t>Sucrose</t>
  </si>
  <si>
    <t>Tibetan Hair</t>
  </si>
  <si>
    <t>ISIRF Ulva</t>
  </si>
  <si>
    <t>Ulva</t>
  </si>
  <si>
    <t>Wheat Flour</t>
  </si>
  <si>
    <t>CO2 Dilution:  @ 40 psi</t>
  </si>
  <si>
    <t>C/N</t>
  </si>
  <si>
    <t>ISIRF Bamboo</t>
  </si>
  <si>
    <t>ISIRF Chitin</t>
  </si>
  <si>
    <t>nahlik.amanda@epa.gov</t>
  </si>
  <si>
    <t>Last Name</t>
  </si>
  <si>
    <t>First Name</t>
  </si>
  <si>
    <t>Branch</t>
  </si>
  <si>
    <t>ID Number</t>
  </si>
  <si>
    <t>Address</t>
  </si>
  <si>
    <t>email Address</t>
  </si>
  <si>
    <t>Phone</t>
  </si>
  <si>
    <t>Anderson</t>
  </si>
  <si>
    <t>Chris</t>
  </si>
  <si>
    <t>EEB</t>
  </si>
  <si>
    <t>Corvallis Anx A16</t>
  </si>
  <si>
    <t>andersen.Christian@epa.gov</t>
  </si>
  <si>
    <t>Brooks</t>
  </si>
  <si>
    <r>
      <t>Rene</t>
    </r>
    <r>
      <rPr>
        <sz val="11"/>
        <rFont val="Calibri"/>
        <family val="2"/>
      </rPr>
      <t>é</t>
    </r>
  </si>
  <si>
    <t>Corvallis Bldg 74</t>
  </si>
  <si>
    <t>brooks.reneej@epa.gov</t>
  </si>
  <si>
    <t>Compton</t>
  </si>
  <si>
    <t>Jana</t>
  </si>
  <si>
    <t>FEB</t>
  </si>
  <si>
    <t>Corvallis MOD 130</t>
  </si>
  <si>
    <t>compton.jana@epa.gov</t>
  </si>
  <si>
    <t>Dewitt</t>
  </si>
  <si>
    <t>Ted</t>
  </si>
  <si>
    <t>PCEB</t>
  </si>
  <si>
    <t>Newport A-102</t>
  </si>
  <si>
    <t>dewitt.ted@epa.gov</t>
  </si>
  <si>
    <t>Faulkner</t>
  </si>
  <si>
    <t>Bart</t>
  </si>
  <si>
    <t>Ada</t>
  </si>
  <si>
    <t>Forshey</t>
  </si>
  <si>
    <t>Ken</t>
  </si>
  <si>
    <t>Johnson</t>
  </si>
  <si>
    <t>Mark</t>
  </si>
  <si>
    <t>Corvallis PEB 112</t>
  </si>
  <si>
    <t>johnson.markg@epa.gov</t>
  </si>
  <si>
    <t>Kaldy</t>
  </si>
  <si>
    <t>Jim</t>
  </si>
  <si>
    <t>CEB</t>
  </si>
  <si>
    <t>Newport A-124</t>
  </si>
  <si>
    <t>kaldy.james@epa.gov</t>
  </si>
  <si>
    <t>Lee</t>
  </si>
  <si>
    <t>Henry</t>
  </si>
  <si>
    <t>Corvallis PEB 117</t>
  </si>
  <si>
    <t>McKane</t>
  </si>
  <si>
    <t>Bob</t>
  </si>
  <si>
    <t>Corvallis SSB 202</t>
  </si>
  <si>
    <t>Nahlik</t>
  </si>
  <si>
    <t>Amanda</t>
  </si>
  <si>
    <t>Olszyk</t>
  </si>
  <si>
    <t>Dave</t>
  </si>
  <si>
    <t>Corvallis SSB 206</t>
  </si>
  <si>
    <t>Rugh</t>
  </si>
  <si>
    <t>QA QC</t>
  </si>
  <si>
    <t>ISIRF</t>
  </si>
  <si>
    <t>rugh.william@epa.gov</t>
  </si>
  <si>
    <t>Weitzman</t>
  </si>
  <si>
    <t>Julie</t>
  </si>
  <si>
    <t>EEB/WQPB</t>
  </si>
  <si>
    <t>Atlanta, GA (R4 Office)</t>
  </si>
  <si>
    <t>weitzman.julie@epa.gov</t>
  </si>
  <si>
    <t>Logical</t>
  </si>
  <si>
    <t>Yes</t>
  </si>
  <si>
    <t>No</t>
  </si>
  <si>
    <t>Todays Date</t>
  </si>
  <si>
    <t>Text conversion to date</t>
  </si>
  <si>
    <t>13C</t>
  </si>
  <si>
    <t>15N</t>
  </si>
  <si>
    <t>13C15N</t>
  </si>
  <si>
    <t>34S</t>
  </si>
  <si>
    <t>Janice Chatfield</t>
  </si>
  <si>
    <t>Lisandra Trine</t>
  </si>
  <si>
    <t>William Rugh</t>
  </si>
  <si>
    <t>Other</t>
  </si>
  <si>
    <t xml:space="preserve">4. ISIRF will identify standards and sample weights needed, and print the weighsheet. </t>
  </si>
  <si>
    <t>5. ISIRF will give your weigh sheet to the trained weigh person identified above.</t>
  </si>
  <si>
    <t>Sample %N</t>
  </si>
  <si>
    <t>Sample %C</t>
  </si>
  <si>
    <t>Sample %S</t>
  </si>
  <si>
    <t>Targ. Wt</t>
  </si>
  <si>
    <t>New version.  Drop down boxes added and look-up for SRM included.</t>
  </si>
  <si>
    <t>wdr</t>
  </si>
  <si>
    <t>Changes and comments</t>
  </si>
  <si>
    <t>initals</t>
  </si>
  <si>
    <t>Tables</t>
  </si>
  <si>
    <t>Revisions</t>
  </si>
  <si>
    <t>ISIRF use for updated tables</t>
  </si>
  <si>
    <t>ISIRF revision summary</t>
  </si>
  <si>
    <t>Trine</t>
  </si>
  <si>
    <t>Corvallis Main-201</t>
  </si>
  <si>
    <t>Trine.Lisandra@epa.gov</t>
  </si>
  <si>
    <t>Corvallis Main-208</t>
  </si>
  <si>
    <t>NIST 8550 Am Sulf</t>
  </si>
  <si>
    <t>NIST 8551 Am Sulf</t>
  </si>
  <si>
    <t>NIST 8541 Graphite</t>
  </si>
  <si>
    <t>NIST 8542 Sucrose</t>
  </si>
  <si>
    <t>B2157 Wheat Flour</t>
  </si>
  <si>
    <t>B2159 Sorghum Flour</t>
  </si>
  <si>
    <t>NBS 1577 Bovine Liver</t>
  </si>
  <si>
    <t>NBS 1572 Citrus Leaf</t>
  </si>
  <si>
    <t>NBS 8412 Corn Stalk</t>
  </si>
  <si>
    <t>NBS 1575 Pine Needles</t>
  </si>
  <si>
    <t>NIST 8573 Glutamic</t>
  </si>
  <si>
    <t>NIST 8574 Glutamic</t>
  </si>
  <si>
    <t>USGS 42 Tib Hair</t>
  </si>
  <si>
    <t>PESD Project:</t>
  </si>
  <si>
    <r>
      <t xml:space="preserve">3. </t>
    </r>
    <r>
      <rPr>
        <b/>
        <u/>
        <sz val="10"/>
        <rFont val="Arial"/>
        <family val="2"/>
      </rPr>
      <t xml:space="preserve">Rename this file </t>
    </r>
    <r>
      <rPr>
        <sz val="10"/>
        <rFont val="Arial"/>
        <family val="2"/>
      </rPr>
      <t>with the File name in dark tan box above, and e-mail to Lisandra Trine</t>
    </r>
  </si>
  <si>
    <t>ISIRF Isotope Cube INLET SUBMISSION FORM -- AS OF 4/29/2024</t>
  </si>
  <si>
    <t>Kansas ROAR and Oregon PINE</t>
  </si>
  <si>
    <t xml:space="preserve">20240407_W1_G </t>
  </si>
  <si>
    <t xml:space="preserve">20240407_W1_H </t>
  </si>
  <si>
    <t>160824_L013_FAR1</t>
  </si>
  <si>
    <t>160824_L013_FAR2</t>
  </si>
  <si>
    <t>160824_L013_FAR3</t>
  </si>
  <si>
    <t>160824_L013_FAR4</t>
  </si>
  <si>
    <t>160317_L017A_S1</t>
  </si>
  <si>
    <t>160317_L017A_S2</t>
  </si>
  <si>
    <t>160317_L017B_S1</t>
  </si>
  <si>
    <t>160317_L017B_S2</t>
  </si>
  <si>
    <t>160317_L017C_S1</t>
  </si>
  <si>
    <t>160317_L017C_S2</t>
  </si>
  <si>
    <t>160317_L017FAR1</t>
  </si>
  <si>
    <t>160317_L017FAR2</t>
  </si>
  <si>
    <t>160317_L017FAR3</t>
  </si>
  <si>
    <t>160317_L017FAR4</t>
  </si>
  <si>
    <t>170323_L007C_S2</t>
  </si>
  <si>
    <t>KansasROAR-Mix</t>
  </si>
  <si>
    <t>The Kansas ROAR projects investigates soil health practices influences over nitrate leaching (Soil Samples collected from 0-8 inches in Kansas farmlands)</t>
  </si>
  <si>
    <t>Soil</t>
  </si>
  <si>
    <t>240610</t>
  </si>
  <si>
    <t>C</t>
  </si>
  <si>
    <t>-</t>
  </si>
  <si>
    <t>E2-Fin- P - 27  New 7/23/24</t>
  </si>
  <si>
    <t>E2-Fin- P - 27  Old 7/23/24</t>
  </si>
  <si>
    <t>E2-Fin- P - 27 Sheath 7/23/24</t>
  </si>
  <si>
    <t>E2-Fin- P - 28  New 7/23/24</t>
  </si>
  <si>
    <t>E2-Fin- P - 28  Old 7/23/24</t>
  </si>
  <si>
    <t>E2-Fin- P - 28 Sheath 7/23/24</t>
  </si>
  <si>
    <t>E2-Fin- P - 29  New 7/23/24</t>
  </si>
  <si>
    <t>E2-Fin- P - 29  Old 7/23/24</t>
  </si>
  <si>
    <t>E2-Fin- P - 29 Sheath 7/23/24</t>
  </si>
  <si>
    <t>E2-Fin- P - 30  New 7/23/24</t>
  </si>
  <si>
    <t>E2-Fin- P - 30  Old 7/23/24</t>
  </si>
  <si>
    <t>E2-Fin- P - 30 Sheath 7/23/24</t>
  </si>
  <si>
    <t>E2-Fin- P - 19  New 7/23/24</t>
  </si>
  <si>
    <t>E2-Fin- P - 19  Old 7/23/24</t>
  </si>
  <si>
    <t>E2-Fin- P - 19 Sheath 7/23/24</t>
  </si>
  <si>
    <t>E2-Fin- P - 7  New 7/23/24</t>
  </si>
  <si>
    <t>E2-Fin- P - 7  Old 7/23/24</t>
  </si>
  <si>
    <t>IC13C15N-240610-10KansasROAR-Mix_1.raw</t>
  </si>
  <si>
    <t>IC13C15N-240610-10KansasROAR-Mix_2.raw</t>
  </si>
  <si>
    <t>IC13C15N-240610-10KansasROAR-Mix_3.raw</t>
  </si>
  <si>
    <t>IC13C15N-240610-10KansasROAR-Mix_4.raw</t>
  </si>
  <si>
    <t>IC13C15N-240610-10KansasROAR-Mix_5.raw</t>
  </si>
  <si>
    <t>IC13C15N-240610-10KansasROAR-Mix_6.raw</t>
  </si>
  <si>
    <t>IC13C15N-240610-10KansasROAR-Mix_7.raw</t>
  </si>
  <si>
    <t>IC13C15N-240610-10KansasROAR-Mix_8.raw</t>
  </si>
  <si>
    <t>IC13C15N-240610-10KansasROAR-Mix_9.raw</t>
  </si>
  <si>
    <t>IC13C15N-240610-10KansasROAR-Mix_10.raw</t>
  </si>
  <si>
    <t>IC13C15N-240610-10KansasROAR-Mix_11.raw</t>
  </si>
  <si>
    <t>IC13C15N-240610-10KansasROAR-Mix_12.raw</t>
  </si>
  <si>
    <t>IC13C15N-240610-10KansasROAR-Mix_13.raw</t>
  </si>
  <si>
    <t>IC13C15N-240610-10KansasROAR-Mix_14.raw</t>
  </si>
  <si>
    <t>IC13C15N-240610-10KansasROAR-Mix_15.raw</t>
  </si>
  <si>
    <t>IC13C15N-240610-10KansasROAR-Mix_16.raw</t>
  </si>
  <si>
    <t>IC13C15N-240610-10KansasROAR-Mix_17.raw</t>
  </si>
  <si>
    <t>IC13C15N-240610-10KansasROAR-Mix_18.raw</t>
  </si>
  <si>
    <t>IC13C15N-240610-10KansasROAR-Mix_19.raw</t>
  </si>
  <si>
    <t>IC13C15N-240610-10KansasROAR-Mix_20.raw</t>
  </si>
  <si>
    <t>IC13C15N-240610-10KansasROAR-Mix_21.raw</t>
  </si>
  <si>
    <t>IC13C15N-240610-10KansasROAR-Mix_22.raw</t>
  </si>
  <si>
    <t>IC13C15N-240610-10KansasROAR-Mix_23.raw</t>
  </si>
  <si>
    <t>IC13C15N-240610-10KansasROAR-Mix_24.raw</t>
  </si>
  <si>
    <t>IC13C15N-240610-10KansasROAR-Mix_25.raw</t>
  </si>
  <si>
    <t>IC13C15N-240610-10KansasROAR-Mix_26.raw</t>
  </si>
  <si>
    <t>IC13C15N-240610-10KansasROAR-Mix_27.raw</t>
  </si>
  <si>
    <t>IC13C15N-240610-10KansasROAR-Mix_28.raw</t>
  </si>
  <si>
    <t>IC13C15N-240610-10KansasROAR-Mix_29.raw</t>
  </si>
  <si>
    <t>IC13C15N-240610-10KansasROAR-Mix_30.raw</t>
  </si>
  <si>
    <t>IC13C15N-240610-10KansasROAR-Mix_31.raw</t>
  </si>
  <si>
    <t>IC13C15N-240610-10KansasROAR-Mix_32.raw</t>
  </si>
  <si>
    <t>IC13C15N-240610-10KansasROAR-Mix_33.raw</t>
  </si>
  <si>
    <t>IC13C15N-240610-10KansasROAR-Mix_34.raw</t>
  </si>
  <si>
    <t>IC13C15N-240610-10KansasROAR-Mix_35.raw</t>
  </si>
  <si>
    <t>IC13C15N-240610-10KansasROAR-Mix_36.raw</t>
  </si>
  <si>
    <t>IC13C15N-240610-10KansasROAR-Mix_37.raw</t>
  </si>
  <si>
    <t>IC13C15N-240610-10KansasROAR-Mix_38.raw</t>
  </si>
  <si>
    <t>IC13C15N-240610-10KansasROAR-Mix_39.raw</t>
  </si>
  <si>
    <t>IC13C15N-240610-10KansasROAR-Mix_40.raw</t>
  </si>
  <si>
    <t>IC13C15N-240610-10KansasROAR-Mix_41.raw</t>
  </si>
  <si>
    <t>IC13C15N-240610-10KansasROAR-Mix_42.raw</t>
  </si>
  <si>
    <t>IC13C15N-240610-10KansasROAR-Mix_43.raw</t>
  </si>
  <si>
    <t>IC13C15N-240610-10KansasROAR-Mix_44.raw</t>
  </si>
  <si>
    <t>IC13C15N-240610-10KansasROAR-Mix_45.raw</t>
  </si>
  <si>
    <t>IC13C15N-240610-10KansasROAR-Mix_46.raw</t>
  </si>
  <si>
    <t>IC13C15N-240610-10KansasROAR-Mix_47.raw</t>
  </si>
  <si>
    <t>IC13C15N-240610-10KansasROAR-Mix_48.raw</t>
  </si>
  <si>
    <t>IC13C15N-240610-10KansasROAR-Mix_49.raw</t>
  </si>
  <si>
    <t>IC13C15N-240610-10KansasROAR-Mix_50.raw</t>
  </si>
  <si>
    <t>IC13C15N-240610-10KansasROAR-Mix_51.raw</t>
  </si>
  <si>
    <t>IC13C15N-240610-10KansasROAR-Mix_52.raw</t>
  </si>
  <si>
    <t>IC13C15N-240610-10KansasROAR-Mix_53.raw</t>
  </si>
  <si>
    <t>IC13C15N-240610-10KansasROAR-Mix_54.raw</t>
  </si>
  <si>
    <t>IC13C15N-240610-10KansasROAR-Mix_55.raw</t>
  </si>
  <si>
    <t>IC13C15N-240610-10KansasROAR-Mix_56.raw</t>
  </si>
  <si>
    <t>Isotope QC</t>
  </si>
  <si>
    <t>Jim Kaldy - Experiment 2 NPI</t>
  </si>
  <si>
    <t>LSDT</t>
  </si>
  <si>
    <t>Sample was too large, not ~30mg. Voltage was too high (about 73nA). Will need re run.</t>
  </si>
  <si>
    <t>had a lot of organic matter in the sample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</si>
</sst>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164" formatCode="0.000"/>
    <numFmt numFmtId="165" formatCode="m/d/yy;@"/>
    <numFmt numFmtId="166" formatCode="0.000E+00"/>
    <numFmt numFmtId="167" formatCode="m/d/yy\ h:mm;@"/>
    <numFmt numFmtId="168" formatCode="yymmdd"/>
  </numFmts>
  <fonts count="44">
    <font>
      <sz val="10"/>
      <name val="Geneva"/>
    </font>
    <font>
      <sz val="11"/>
      <color theme="1"/>
      <name val="Calibri"/>
      <family val="2"/>
      <scheme val="minor"/>
    </font>
    <font>
      <b/>
      <sz val="10"/>
      <name val="Geneva"/>
    </font>
    <font>
      <sz val="10"/>
      <name val="Geneva"/>
    </font>
    <font>
      <b/>
      <u/>
      <sz val="10"/>
      <name val="Geneva"/>
    </font>
    <font>
      <b/>
      <sz val="9"/>
      <name val="Geneva"/>
    </font>
    <font>
      <b/>
      <sz val="10"/>
      <name val="Arial"/>
      <family val="2"/>
    </font>
    <font>
      <sz val="10"/>
      <name val="Arial"/>
      <family val="2"/>
    </font>
    <font>
      <sz val="10"/>
      <name val="Geneva"/>
    </font>
    <font>
      <b/>
      <vertAlign val="subscript"/>
      <sz val="10"/>
      <name val="Geneva"/>
    </font>
    <font>
      <b/>
      <u/>
      <sz val="10"/>
      <name val="Arial"/>
      <family val="2"/>
    </font>
    <font>
      <sz val="9"/>
      <name val="Geneva"/>
    </font>
    <font>
      <b/>
      <sz val="9"/>
      <name val="Arial"/>
      <family val="2"/>
    </font>
    <font>
      <b/>
      <sz val="10"/>
      <name val="Geneva"/>
      <family val="2"/>
    </font>
    <font>
      <sz val="10"/>
      <name val="Geneva"/>
      <family val="2"/>
    </font>
    <font>
      <sz val="9"/>
      <name val="Geneva"/>
      <family val="2"/>
    </font>
    <font>
      <b/>
      <sz val="9"/>
      <name val="Geneva"/>
      <family val="2"/>
    </font>
    <font>
      <b/>
      <vertAlign val="subscript"/>
      <sz val="10"/>
      <name val="Geneva"/>
      <family val="2"/>
    </font>
    <font>
      <b/>
      <sz val="9"/>
      <name val="Symbol"/>
      <family val="1"/>
      <charset val="2"/>
    </font>
    <font>
      <b/>
      <vertAlign val="superscript"/>
      <sz val="9"/>
      <name val="Geneva"/>
      <family val="2"/>
    </font>
    <font>
      <b/>
      <sz val="10"/>
      <name val="Symbol"/>
      <family val="1"/>
      <charset val="2"/>
    </font>
    <font>
      <b/>
      <vertAlign val="superscript"/>
      <sz val="10"/>
      <name val="Arial"/>
      <family val="2"/>
    </font>
    <font>
      <sz val="10"/>
      <name val="Symbol"/>
      <family val="1"/>
      <charset val="2"/>
    </font>
    <font>
      <vertAlign val="superscript"/>
      <sz val="10"/>
      <name val="Arial"/>
      <family val="2"/>
    </font>
    <font>
      <vertAlign val="superscript"/>
      <sz val="10"/>
      <name val="Geneva"/>
      <family val="2"/>
    </font>
    <font>
      <b/>
      <u/>
      <sz val="10"/>
      <name val="Geneva"/>
      <family val="2"/>
    </font>
    <font>
      <b/>
      <sz val="10"/>
      <color indexed="10"/>
      <name val="Geneva"/>
      <family val="2"/>
    </font>
    <font>
      <b/>
      <vertAlign val="superscript"/>
      <sz val="9"/>
      <name val="Geneva"/>
    </font>
    <font>
      <vertAlign val="superscript"/>
      <sz val="10"/>
      <name val="Symbol"/>
      <family val="1"/>
      <charset val="2"/>
    </font>
    <font>
      <b/>
      <sz val="10"/>
      <name val="Calibri"/>
      <family val="2"/>
    </font>
    <font>
      <b/>
      <vertAlign val="superscript"/>
      <sz val="9"/>
      <name val="Arial"/>
      <family val="2"/>
    </font>
    <font>
      <b/>
      <sz val="9"/>
      <name val="Calibri"/>
      <family val="2"/>
    </font>
    <font>
      <sz val="11"/>
      <color rgb="FFFA7D00"/>
      <name val="Calibri"/>
      <family val="2"/>
      <scheme val="minor"/>
    </font>
    <font>
      <b/>
      <sz val="10"/>
      <name val="MS Sans Serif"/>
    </font>
    <font>
      <b/>
      <sz val="10"/>
      <color rgb="FF0000FF"/>
      <name val="MS Sans Serif"/>
    </font>
    <font>
      <sz val="11"/>
      <name val="Calibri"/>
      <family val="2"/>
      <scheme val="minor"/>
    </font>
    <font>
      <b/>
      <sz val="10"/>
      <name val="MS Sans Serif"/>
      <family val="2"/>
    </font>
    <font>
      <b/>
      <sz val="10"/>
      <color rgb="FF0000FF"/>
      <name val="MS Sans Serif"/>
      <family val="2"/>
    </font>
    <font>
      <i/>
      <sz val="8"/>
      <name val="Arial"/>
      <family val="2"/>
    </font>
    <font>
      <i/>
      <sz val="10"/>
      <name val="Arial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name val="MS Sans Serif"/>
      <family val="2"/>
    </font>
    <font>
      <sz val="11"/>
      <color rgb="FF9C0006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</fills>
  <borders count="2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ashed">
        <color indexed="64"/>
      </bottom>
      <diagonal/>
    </border>
    <border>
      <left style="double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double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/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dash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ashed">
        <color indexed="64"/>
      </bottom>
      <diagonal/>
    </border>
    <border>
      <left style="thin">
        <color indexed="64"/>
      </left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ouble">
        <color indexed="64"/>
      </bottom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 style="double">
        <color indexed="64"/>
      </right>
      <top style="dashed">
        <color indexed="64"/>
      </top>
      <bottom style="double">
        <color rgb="FFFF800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double">
        <color auto="1"/>
      </right>
      <top style="hair">
        <color indexed="64"/>
      </top>
      <bottom/>
      <diagonal/>
    </border>
  </borders>
  <cellStyleXfs count="9">
    <xf numFmtId="0" fontId="0" fillId="0" borderId="0"/>
    <xf numFmtId="0" fontId="32" fillId="0" borderId="213" applyNumberFormat="0" applyFill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1" fillId="13" borderId="0" applyNumberFormat="0" applyBorder="0" applyAlignment="0" applyProtection="0"/>
    <xf numFmtId="0" fontId="4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43" fillId="19" borderId="0" applyNumberFormat="0" applyBorder="0" applyAlignment="0" applyProtection="0"/>
  </cellStyleXfs>
  <cellXfs count="688">
    <xf numFmtId="0" fontId="0" fillId="0" borderId="0" xfId="0"/>
    <xf numFmtId="0" fontId="2" fillId="0" borderId="0" xfId="0" applyFont="1" applyBorder="1"/>
    <xf numFmtId="0" fontId="0" fillId="0" borderId="0" xfId="0" applyBorder="1"/>
    <xf numFmtId="0" fontId="2" fillId="0" borderId="0" xfId="0" applyFont="1" applyBorder="1" applyAlignment="1">
      <alignment horizontal="left"/>
    </xf>
    <xf numFmtId="0" fontId="0" fillId="0" borderId="0" xfId="0" applyNumberFormat="1" applyBorder="1"/>
    <xf numFmtId="0" fontId="3" fillId="0" borderId="0" xfId="0" applyFont="1" applyBorder="1"/>
    <xf numFmtId="49" fontId="0" fillId="0" borderId="0" xfId="0" applyNumberFormat="1" applyBorder="1"/>
    <xf numFmtId="0" fontId="3" fillId="0" borderId="0" xfId="0" applyNumberFormat="1" applyFont="1" applyBorder="1" applyAlignment="1">
      <alignment horizontal="left"/>
    </xf>
    <xf numFmtId="0" fontId="3" fillId="2" borderId="0" xfId="0" applyFont="1" applyFill="1" applyBorder="1"/>
    <xf numFmtId="0" fontId="0" fillId="0" borderId="0" xfId="0" applyBorder="1" applyProtection="1"/>
    <xf numFmtId="0" fontId="0" fillId="3" borderId="0" xfId="0" applyFill="1" applyBorder="1" applyAlignment="1">
      <alignment horizontal="right"/>
    </xf>
    <xf numFmtId="0" fontId="2" fillId="3" borderId="0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right"/>
    </xf>
    <xf numFmtId="0" fontId="6" fillId="0" borderId="0" xfId="0" applyFont="1" applyBorder="1"/>
    <xf numFmtId="0" fontId="8" fillId="0" borderId="0" xfId="0" applyFont="1" applyBorder="1"/>
    <xf numFmtId="0" fontId="7" fillId="0" borderId="0" xfId="0" applyFont="1" applyBorder="1"/>
    <xf numFmtId="0" fontId="6" fillId="0" borderId="0" xfId="0" applyFont="1" applyFill="1" applyBorder="1" applyAlignment="1">
      <alignment horizontal="right"/>
    </xf>
    <xf numFmtId="0" fontId="6" fillId="0" borderId="0" xfId="0" applyNumberFormat="1" applyFont="1" applyFill="1" applyBorder="1"/>
    <xf numFmtId="0" fontId="0" fillId="2" borderId="0" xfId="0" applyFill="1" applyBorder="1"/>
    <xf numFmtId="0" fontId="0" fillId="0" borderId="0" xfId="0" applyBorder="1" applyAlignment="1">
      <alignment wrapText="1"/>
    </xf>
    <xf numFmtId="0" fontId="6" fillId="4" borderId="3" xfId="0" applyNumberFormat="1" applyFont="1" applyFill="1" applyBorder="1"/>
    <xf numFmtId="0" fontId="0" fillId="4" borderId="4" xfId="0" applyFill="1" applyBorder="1"/>
    <xf numFmtId="0" fontId="7" fillId="0" borderId="0" xfId="0" applyFont="1" applyBorder="1" applyProtection="1">
      <protection locked="0"/>
    </xf>
    <xf numFmtId="0" fontId="6" fillId="0" borderId="0" xfId="0" applyFont="1" applyBorder="1" applyProtection="1">
      <protection locked="0"/>
    </xf>
    <xf numFmtId="0" fontId="6" fillId="0" borderId="0" xfId="0" applyFont="1" applyFill="1" applyBorder="1"/>
    <xf numFmtId="0" fontId="7" fillId="0" borderId="0" xfId="0" applyFont="1" applyFill="1" applyBorder="1"/>
    <xf numFmtId="0" fontId="7" fillId="0" borderId="0" xfId="0" applyFont="1"/>
    <xf numFmtId="0" fontId="7" fillId="0" borderId="0" xfId="0" applyFont="1" applyFill="1" applyBorder="1" applyProtection="1">
      <protection locked="0"/>
    </xf>
    <xf numFmtId="0" fontId="4" fillId="0" borderId="0" xfId="0" applyFont="1" applyBorder="1"/>
    <xf numFmtId="0" fontId="8" fillId="0" borderId="0" xfId="0" applyFont="1" applyFill="1" applyBorder="1"/>
    <xf numFmtId="0" fontId="11" fillId="0" borderId="0" xfId="0" applyFont="1" applyBorder="1"/>
    <xf numFmtId="0" fontId="11" fillId="0" borderId="0" xfId="0" applyFont="1"/>
    <xf numFmtId="0" fontId="11" fillId="0" borderId="0" xfId="0" applyFont="1" applyFill="1" applyBorder="1"/>
    <xf numFmtId="0" fontId="0" fillId="0" borderId="0" xfId="0" applyFill="1" applyBorder="1"/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left"/>
    </xf>
    <xf numFmtId="0" fontId="6" fillId="4" borderId="14" xfId="0" applyNumberFormat="1" applyFont="1" applyFill="1" applyBorder="1" applyAlignment="1">
      <alignment horizontal="left"/>
    </xf>
    <xf numFmtId="0" fontId="6" fillId="4" borderId="15" xfId="0" applyNumberFormat="1" applyFont="1" applyFill="1" applyBorder="1" applyAlignment="1">
      <alignment horizontal="left"/>
    </xf>
    <xf numFmtId="0" fontId="6" fillId="4" borderId="16" xfId="0" applyNumberFormat="1" applyFont="1" applyFill="1" applyBorder="1" applyAlignment="1">
      <alignment horizontal="left"/>
    </xf>
    <xf numFmtId="0" fontId="0" fillId="0" borderId="0" xfId="0" applyBorder="1" applyAlignment="1">
      <alignment horizontal="right"/>
    </xf>
    <xf numFmtId="2" fontId="13" fillId="6" borderId="5" xfId="0" applyNumberFormat="1" applyFont="1" applyFill="1" applyBorder="1" applyAlignment="1" applyProtection="1">
      <alignment horizontal="center" wrapText="1"/>
    </xf>
    <xf numFmtId="2" fontId="11" fillId="0" borderId="0" xfId="0" applyNumberFormat="1" applyFont="1" applyBorder="1"/>
    <xf numFmtId="0" fontId="7" fillId="0" borderId="15" xfId="0" applyFont="1" applyBorder="1"/>
    <xf numFmtId="2" fontId="0" fillId="0" borderId="0" xfId="0" applyNumberFormat="1" applyBorder="1" applyAlignment="1">
      <alignment horizontal="center"/>
    </xf>
    <xf numFmtId="2" fontId="2" fillId="6" borderId="5" xfId="0" applyNumberFormat="1" applyFont="1" applyFill="1" applyBorder="1" applyAlignment="1" applyProtection="1">
      <alignment horizontal="center" wrapText="1"/>
    </xf>
    <xf numFmtId="0" fontId="7" fillId="0" borderId="0" xfId="0" applyFont="1" applyAlignment="1"/>
    <xf numFmtId="0" fontId="7" fillId="0" borderId="0" xfId="0" applyFont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17" xfId="0" applyFont="1" applyBorder="1" applyAlignment="1">
      <alignment horizontal="left"/>
    </xf>
    <xf numFmtId="0" fontId="7" fillId="0" borderId="0" xfId="0" applyFont="1" applyProtection="1"/>
    <xf numFmtId="0" fontId="7" fillId="0" borderId="0" xfId="0" applyFont="1" applyAlignment="1" applyProtection="1">
      <alignment horizontal="center"/>
    </xf>
    <xf numFmtId="0" fontId="7" fillId="0" borderId="0" xfId="0" applyFont="1" applyAlignment="1" applyProtection="1"/>
    <xf numFmtId="0" fontId="6" fillId="0" borderId="0" xfId="0" applyFont="1" applyFill="1" applyBorder="1" applyAlignment="1" applyProtection="1">
      <alignment horizontal="right"/>
    </xf>
    <xf numFmtId="0" fontId="6" fillId="6" borderId="19" xfId="0" applyNumberFormat="1" applyFont="1" applyFill="1" applyBorder="1" applyAlignment="1" applyProtection="1">
      <alignment horizontal="left"/>
    </xf>
    <xf numFmtId="0" fontId="7" fillId="6" borderId="20" xfId="0" applyFont="1" applyFill="1" applyBorder="1" applyAlignment="1" applyProtection="1">
      <alignment horizontal="center"/>
    </xf>
    <xf numFmtId="0" fontId="7" fillId="6" borderId="21" xfId="0" applyFont="1" applyFill="1" applyBorder="1" applyAlignment="1" applyProtection="1">
      <alignment horizontal="center"/>
    </xf>
    <xf numFmtId="0" fontId="6" fillId="6" borderId="14" xfId="0" applyFont="1" applyFill="1" applyBorder="1" applyProtection="1"/>
    <xf numFmtId="0" fontId="6" fillId="6" borderId="22" xfId="0" applyFont="1" applyFill="1" applyBorder="1" applyProtection="1"/>
    <xf numFmtId="0" fontId="6" fillId="6" borderId="23" xfId="0" applyFont="1" applyFill="1" applyBorder="1" applyProtection="1"/>
    <xf numFmtId="0" fontId="6" fillId="6" borderId="24" xfId="0" applyFont="1" applyFill="1" applyBorder="1" applyAlignment="1" applyProtection="1">
      <alignment horizontal="center"/>
    </xf>
    <xf numFmtId="0" fontId="20" fillId="6" borderId="22" xfId="0" applyFont="1" applyFill="1" applyBorder="1" applyAlignment="1" applyProtection="1">
      <alignment horizontal="center"/>
    </xf>
    <xf numFmtId="0" fontId="6" fillId="6" borderId="22" xfId="0" applyFont="1" applyFill="1" applyBorder="1" applyAlignment="1" applyProtection="1">
      <alignment horizontal="center"/>
    </xf>
    <xf numFmtId="0" fontId="6" fillId="6" borderId="25" xfId="0" applyFont="1" applyFill="1" applyBorder="1" applyAlignment="1" applyProtection="1">
      <alignment horizontal="center"/>
    </xf>
    <xf numFmtId="0" fontId="6" fillId="6" borderId="22" xfId="0" applyFont="1" applyFill="1" applyBorder="1" applyAlignment="1" applyProtection="1"/>
    <xf numFmtId="0" fontId="6" fillId="6" borderId="14" xfId="0" applyFont="1" applyFill="1" applyBorder="1" applyAlignment="1" applyProtection="1"/>
    <xf numFmtId="0" fontId="7" fillId="6" borderId="22" xfId="0" applyFont="1" applyFill="1" applyBorder="1" applyAlignment="1" applyProtection="1"/>
    <xf numFmtId="0" fontId="7" fillId="6" borderId="26" xfId="0" applyFont="1" applyFill="1" applyBorder="1" applyAlignment="1" applyProtection="1"/>
    <xf numFmtId="0" fontId="6" fillId="6" borderId="16" xfId="0" applyFont="1" applyFill="1" applyBorder="1" applyProtection="1"/>
    <xf numFmtId="0" fontId="6" fillId="6" borderId="27" xfId="0" applyFont="1" applyFill="1" applyBorder="1" applyProtection="1"/>
    <xf numFmtId="0" fontId="6" fillId="6" borderId="28" xfId="0" applyFont="1" applyFill="1" applyBorder="1" applyProtection="1"/>
    <xf numFmtId="0" fontId="6" fillId="6" borderId="27" xfId="0" applyFont="1" applyFill="1" applyBorder="1" applyAlignment="1" applyProtection="1">
      <alignment horizontal="center"/>
    </xf>
    <xf numFmtId="0" fontId="6" fillId="6" borderId="29" xfId="0" applyFont="1" applyFill="1" applyBorder="1" applyAlignment="1" applyProtection="1">
      <alignment horizontal="center"/>
    </xf>
    <xf numFmtId="0" fontId="6" fillId="6" borderId="30" xfId="0" applyFont="1" applyFill="1" applyBorder="1" applyAlignment="1" applyProtection="1">
      <alignment horizontal="center"/>
    </xf>
    <xf numFmtId="0" fontId="22" fillId="6" borderId="31" xfId="0" applyFont="1" applyFill="1" applyBorder="1" applyAlignment="1" applyProtection="1"/>
    <xf numFmtId="2" fontId="7" fillId="6" borderId="32" xfId="0" applyNumberFormat="1" applyFont="1" applyFill="1" applyBorder="1" applyAlignment="1" applyProtection="1"/>
    <xf numFmtId="2" fontId="7" fillId="6" borderId="33" xfId="0" applyNumberFormat="1" applyFont="1" applyFill="1" applyBorder="1" applyAlignment="1" applyProtection="1"/>
    <xf numFmtId="0" fontId="6" fillId="6" borderId="0" xfId="0" applyFont="1" applyFill="1" applyProtection="1"/>
    <xf numFmtId="0" fontId="6" fillId="6" borderId="27" xfId="0" applyFont="1" applyFill="1" applyBorder="1" applyAlignment="1" applyProtection="1">
      <alignment horizontal="left"/>
    </xf>
    <xf numFmtId="2" fontId="6" fillId="6" borderId="0" xfId="0" applyNumberFormat="1" applyFont="1" applyFill="1" applyProtection="1"/>
    <xf numFmtId="2" fontId="6" fillId="6" borderId="30" xfId="0" applyNumberFormat="1" applyFont="1" applyFill="1" applyBorder="1" applyAlignment="1" applyProtection="1">
      <alignment horizontal="center"/>
    </xf>
    <xf numFmtId="2" fontId="6" fillId="6" borderId="27" xfId="0" applyNumberFormat="1" applyFont="1" applyFill="1" applyBorder="1" applyAlignment="1" applyProtection="1">
      <alignment horizontal="center"/>
    </xf>
    <xf numFmtId="2" fontId="6" fillId="6" borderId="29" xfId="0" applyNumberFormat="1" applyFont="1" applyFill="1" applyBorder="1" applyAlignment="1" applyProtection="1">
      <alignment horizontal="center"/>
    </xf>
    <xf numFmtId="0" fontId="7" fillId="6" borderId="35" xfId="0" applyFont="1" applyFill="1" applyBorder="1" applyAlignment="1" applyProtection="1"/>
    <xf numFmtId="2" fontId="7" fillId="6" borderId="36" xfId="0" applyNumberFormat="1" applyFont="1" applyFill="1" applyBorder="1" applyAlignment="1" applyProtection="1"/>
    <xf numFmtId="2" fontId="7" fillId="6" borderId="37" xfId="0" applyNumberFormat="1" applyFont="1" applyFill="1" applyBorder="1" applyAlignment="1" applyProtection="1"/>
    <xf numFmtId="0" fontId="6" fillId="6" borderId="38" xfId="0" applyFont="1" applyFill="1" applyBorder="1" applyAlignment="1" applyProtection="1">
      <alignment horizontal="left"/>
    </xf>
    <xf numFmtId="0" fontId="6" fillId="6" borderId="39" xfId="0" applyFont="1" applyFill="1" applyBorder="1" applyAlignment="1" applyProtection="1">
      <alignment horizontal="left"/>
    </xf>
    <xf numFmtId="0" fontId="6" fillId="6" borderId="40" xfId="0" applyFont="1" applyFill="1" applyBorder="1" applyAlignment="1" applyProtection="1">
      <alignment horizontal="left"/>
    </xf>
    <xf numFmtId="0" fontId="6" fillId="6" borderId="41" xfId="0" applyFont="1" applyFill="1" applyBorder="1" applyAlignment="1" applyProtection="1"/>
    <xf numFmtId="0" fontId="7" fillId="6" borderId="42" xfId="0" applyFont="1" applyFill="1" applyBorder="1" applyAlignment="1" applyProtection="1"/>
    <xf numFmtId="0" fontId="7" fillId="6" borderId="43" xfId="0" applyFont="1" applyFill="1" applyBorder="1" applyAlignment="1" applyProtection="1"/>
    <xf numFmtId="0" fontId="6" fillId="6" borderId="44" xfId="0" applyFont="1" applyFill="1" applyBorder="1" applyAlignment="1" applyProtection="1">
      <alignment horizontal="left"/>
    </xf>
    <xf numFmtId="0" fontId="6" fillId="6" borderId="45" xfId="0" applyFont="1" applyFill="1" applyBorder="1" applyAlignment="1" applyProtection="1">
      <alignment horizontal="left"/>
    </xf>
    <xf numFmtId="2" fontId="6" fillId="6" borderId="46" xfId="0" applyNumberFormat="1" applyFont="1" applyFill="1" applyBorder="1" applyAlignment="1" applyProtection="1">
      <alignment horizontal="left"/>
    </xf>
    <xf numFmtId="0" fontId="6" fillId="6" borderId="47" xfId="0" applyFont="1" applyFill="1" applyBorder="1" applyAlignment="1" applyProtection="1">
      <alignment horizontal="left"/>
    </xf>
    <xf numFmtId="2" fontId="6" fillId="6" borderId="49" xfId="0" applyNumberFormat="1" applyFont="1" applyFill="1" applyBorder="1" applyAlignment="1" applyProtection="1">
      <alignment horizontal="left"/>
    </xf>
    <xf numFmtId="0" fontId="7" fillId="6" borderId="50" xfId="0" applyFont="1" applyFill="1" applyBorder="1" applyAlignment="1" applyProtection="1"/>
    <xf numFmtId="2" fontId="7" fillId="6" borderId="51" xfId="0" applyNumberFormat="1" applyFont="1" applyFill="1" applyBorder="1" applyAlignment="1" applyProtection="1"/>
    <xf numFmtId="2" fontId="7" fillId="6" borderId="52" xfId="0" applyNumberFormat="1" applyFont="1" applyFill="1" applyBorder="1" applyAlignment="1" applyProtection="1"/>
    <xf numFmtId="2" fontId="7" fillId="6" borderId="39" xfId="0" applyNumberFormat="1" applyFont="1" applyFill="1" applyBorder="1" applyAlignment="1" applyProtection="1">
      <alignment horizontal="center"/>
    </xf>
    <xf numFmtId="2" fontId="7" fillId="6" borderId="53" xfId="0" applyNumberFormat="1" applyFont="1" applyFill="1" applyBorder="1" applyAlignment="1" applyProtection="1">
      <alignment horizontal="center"/>
    </xf>
    <xf numFmtId="2" fontId="7" fillId="6" borderId="54" xfId="0" applyNumberFormat="1" applyFont="1" applyFill="1" applyBorder="1" applyAlignment="1" applyProtection="1">
      <alignment horizontal="center"/>
    </xf>
    <xf numFmtId="1" fontId="7" fillId="6" borderId="55" xfId="0" applyNumberFormat="1" applyFont="1" applyFill="1" applyBorder="1" applyAlignment="1" applyProtection="1">
      <alignment horizontal="center"/>
    </xf>
    <xf numFmtId="2" fontId="7" fillId="6" borderId="48" xfId="0" applyNumberFormat="1" applyFont="1" applyFill="1" applyBorder="1" applyAlignment="1" applyProtection="1">
      <alignment horizontal="center"/>
    </xf>
    <xf numFmtId="2" fontId="7" fillId="6" borderId="56" xfId="0" applyNumberFormat="1" applyFont="1" applyFill="1" applyBorder="1" applyAlignment="1" applyProtection="1">
      <alignment horizontal="center"/>
    </xf>
    <xf numFmtId="2" fontId="7" fillId="6" borderId="57" xfId="0" applyNumberFormat="1" applyFont="1" applyFill="1" applyBorder="1" applyAlignment="1" applyProtection="1">
      <alignment horizontal="center"/>
    </xf>
    <xf numFmtId="2" fontId="7" fillId="6" borderId="45" xfId="0" applyNumberFormat="1" applyFont="1" applyFill="1" applyBorder="1" applyAlignment="1" applyProtection="1">
      <alignment horizontal="center"/>
    </xf>
    <xf numFmtId="2" fontId="7" fillId="6" borderId="29" xfId="0" applyNumberFormat="1" applyFont="1" applyFill="1" applyBorder="1" applyAlignment="1" applyProtection="1">
      <alignment horizontal="center"/>
    </xf>
    <xf numFmtId="2" fontId="7" fillId="6" borderId="58" xfId="0" applyNumberFormat="1" applyFont="1" applyFill="1" applyBorder="1" applyAlignment="1" applyProtection="1">
      <alignment horizontal="center"/>
    </xf>
    <xf numFmtId="0" fontId="7" fillId="0" borderId="0" xfId="0" applyFont="1" applyBorder="1" applyAlignment="1" applyProtection="1"/>
    <xf numFmtId="0" fontId="7" fillId="0" borderId="0" xfId="0" applyFont="1" applyBorder="1" applyProtection="1"/>
    <xf numFmtId="0" fontId="6" fillId="6" borderId="59" xfId="0" applyFont="1" applyFill="1" applyBorder="1" applyProtection="1"/>
    <xf numFmtId="0" fontId="6" fillId="6" borderId="60" xfId="0" applyFont="1" applyFill="1" applyBorder="1" applyAlignment="1" applyProtection="1">
      <alignment horizontal="left"/>
    </xf>
    <xf numFmtId="0" fontId="6" fillId="6" borderId="61" xfId="0" applyFont="1" applyFill="1" applyBorder="1" applyAlignment="1" applyProtection="1">
      <alignment horizontal="left"/>
    </xf>
    <xf numFmtId="0" fontId="6" fillId="6" borderId="62" xfId="0" applyFont="1" applyFill="1" applyBorder="1" applyAlignment="1" applyProtection="1">
      <alignment horizontal="left"/>
    </xf>
    <xf numFmtId="0" fontId="6" fillId="6" borderId="63" xfId="0" applyFont="1" applyFill="1" applyBorder="1" applyAlignment="1" applyProtection="1">
      <alignment horizontal="left"/>
    </xf>
    <xf numFmtId="0" fontId="6" fillId="6" borderId="64" xfId="0" applyFont="1" applyFill="1" applyBorder="1" applyAlignment="1" applyProtection="1">
      <alignment horizontal="left"/>
    </xf>
    <xf numFmtId="0" fontId="6" fillId="6" borderId="65" xfId="0" applyFont="1" applyFill="1" applyBorder="1" applyAlignment="1" applyProtection="1">
      <alignment horizontal="left"/>
    </xf>
    <xf numFmtId="0" fontId="6" fillId="6" borderId="66" xfId="0" applyFont="1" applyFill="1" applyBorder="1" applyAlignment="1" applyProtection="1">
      <alignment horizontal="left"/>
    </xf>
    <xf numFmtId="0" fontId="7" fillId="6" borderId="32" xfId="0" applyFont="1" applyFill="1" applyBorder="1" applyAlignment="1" applyProtection="1"/>
    <xf numFmtId="0" fontId="6" fillId="6" borderId="50" xfId="0" applyFont="1" applyFill="1" applyBorder="1" applyAlignment="1" applyProtection="1">
      <alignment horizontal="left"/>
    </xf>
    <xf numFmtId="0" fontId="6" fillId="6" borderId="51" xfId="0" applyFont="1" applyFill="1" applyBorder="1" applyAlignment="1" applyProtection="1">
      <alignment horizontal="left"/>
    </xf>
    <xf numFmtId="0" fontId="6" fillId="6" borderId="67" xfId="0" applyFont="1" applyFill="1" applyBorder="1" applyAlignment="1" applyProtection="1">
      <alignment horizontal="left"/>
    </xf>
    <xf numFmtId="0" fontId="7" fillId="6" borderId="51" xfId="0" applyFont="1" applyFill="1" applyBorder="1" applyAlignment="1" applyProtection="1"/>
    <xf numFmtId="2" fontId="7" fillId="6" borderId="62" xfId="0" applyNumberFormat="1" applyFont="1" applyFill="1" applyBorder="1" applyAlignment="1" applyProtection="1">
      <alignment horizontal="center"/>
    </xf>
    <xf numFmtId="2" fontId="7" fillId="6" borderId="68" xfId="0" applyNumberFormat="1" applyFont="1" applyFill="1" applyBorder="1" applyAlignment="1" applyProtection="1">
      <alignment horizontal="center"/>
    </xf>
    <xf numFmtId="2" fontId="7" fillId="6" borderId="69" xfId="0" applyNumberFormat="1" applyFont="1" applyFill="1" applyBorder="1" applyAlignment="1" applyProtection="1">
      <alignment horizontal="center"/>
    </xf>
    <xf numFmtId="1" fontId="7" fillId="6" borderId="70" xfId="0" applyNumberFormat="1" applyFont="1" applyFill="1" applyBorder="1" applyAlignment="1" applyProtection="1">
      <alignment horizontal="center"/>
    </xf>
    <xf numFmtId="0" fontId="6" fillId="6" borderId="71" xfId="0" applyFont="1" applyFill="1" applyBorder="1" applyAlignment="1" applyProtection="1">
      <alignment horizontal="left"/>
    </xf>
    <xf numFmtId="2" fontId="7" fillId="6" borderId="65" xfId="0" applyNumberFormat="1" applyFont="1" applyFill="1" applyBorder="1" applyAlignment="1" applyProtection="1">
      <alignment horizontal="center"/>
    </xf>
    <xf numFmtId="2" fontId="7" fillId="6" borderId="72" xfId="0" applyNumberFormat="1" applyFont="1" applyFill="1" applyBorder="1" applyAlignment="1" applyProtection="1">
      <alignment horizontal="center"/>
    </xf>
    <xf numFmtId="2" fontId="7" fillId="6" borderId="73" xfId="0" applyNumberFormat="1" applyFont="1" applyFill="1" applyBorder="1" applyAlignment="1" applyProtection="1">
      <alignment horizontal="center"/>
    </xf>
    <xf numFmtId="1" fontId="7" fillId="6" borderId="74" xfId="0" applyNumberFormat="1" applyFont="1" applyFill="1" applyBorder="1" applyAlignment="1" applyProtection="1">
      <alignment horizontal="center"/>
    </xf>
    <xf numFmtId="2" fontId="7" fillId="6" borderId="27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/>
    <xf numFmtId="0" fontId="7" fillId="0" borderId="0" xfId="0" applyFont="1" applyFill="1" applyBorder="1" applyAlignment="1" applyProtection="1"/>
    <xf numFmtId="0" fontId="5" fillId="6" borderId="14" xfId="0" applyFont="1" applyFill="1" applyBorder="1" applyAlignment="1" applyProtection="1">
      <alignment horizontal="left"/>
    </xf>
    <xf numFmtId="0" fontId="5" fillId="6" borderId="22" xfId="0" applyFont="1" applyFill="1" applyBorder="1" applyAlignment="1" applyProtection="1">
      <alignment horizontal="center"/>
    </xf>
    <xf numFmtId="0" fontId="7" fillId="6" borderId="22" xfId="0" applyFont="1" applyFill="1" applyBorder="1" applyAlignment="1" applyProtection="1">
      <alignment horizontal="center"/>
    </xf>
    <xf numFmtId="0" fontId="7" fillId="6" borderId="75" xfId="0" applyFont="1" applyFill="1" applyBorder="1" applyAlignment="1" applyProtection="1"/>
    <xf numFmtId="0" fontId="5" fillId="6" borderId="76" xfId="0" applyFont="1" applyFill="1" applyBorder="1" applyAlignment="1" applyProtection="1">
      <alignment horizontal="center"/>
    </xf>
    <xf numFmtId="0" fontId="5" fillId="6" borderId="77" xfId="0" applyFont="1" applyFill="1" applyBorder="1" applyAlignment="1" applyProtection="1">
      <alignment horizontal="center"/>
    </xf>
    <xf numFmtId="1" fontId="5" fillId="6" borderId="77" xfId="0" applyNumberFormat="1" applyFont="1" applyFill="1" applyBorder="1" applyAlignment="1" applyProtection="1">
      <alignment horizontal="center"/>
    </xf>
    <xf numFmtId="0" fontId="2" fillId="6" borderId="77" xfId="0" applyFont="1" applyFill="1" applyBorder="1" applyAlignment="1" applyProtection="1">
      <alignment horizontal="center" wrapText="1"/>
    </xf>
    <xf numFmtId="2" fontId="2" fillId="6" borderId="77" xfId="0" applyNumberFormat="1" applyFont="1" applyFill="1" applyBorder="1" applyAlignment="1" applyProtection="1">
      <alignment horizontal="center" wrapText="1"/>
    </xf>
    <xf numFmtId="2" fontId="5" fillId="6" borderId="77" xfId="0" applyNumberFormat="1" applyFont="1" applyFill="1" applyBorder="1" applyAlignment="1" applyProtection="1">
      <alignment horizontal="center"/>
    </xf>
    <xf numFmtId="0" fontId="6" fillId="6" borderId="79" xfId="0" applyFont="1" applyFill="1" applyBorder="1" applyAlignment="1" applyProtection="1">
      <alignment wrapText="1"/>
    </xf>
    <xf numFmtId="0" fontId="7" fillId="6" borderId="80" xfId="0" applyFont="1" applyFill="1" applyBorder="1" applyAlignment="1" applyProtection="1"/>
    <xf numFmtId="0" fontId="7" fillId="6" borderId="81" xfId="0" applyFont="1" applyFill="1" applyBorder="1" applyAlignment="1" applyProtection="1"/>
    <xf numFmtId="0" fontId="7" fillId="6" borderId="72" xfId="0" applyFont="1" applyFill="1" applyBorder="1" applyAlignment="1" applyProtection="1"/>
    <xf numFmtId="0" fontId="7" fillId="6" borderId="82" xfId="0" applyFont="1" applyFill="1" applyBorder="1" applyAlignment="1" applyProtection="1"/>
    <xf numFmtId="2" fontId="7" fillId="6" borderId="84" xfId="0" applyNumberFormat="1" applyFont="1" applyFill="1" applyBorder="1" applyAlignment="1" applyProtection="1">
      <alignment horizontal="center"/>
    </xf>
    <xf numFmtId="0" fontId="25" fillId="0" borderId="0" xfId="0" applyFont="1" applyBorder="1" applyProtection="1"/>
    <xf numFmtId="0" fontId="6" fillId="0" borderId="85" xfId="0" applyFont="1" applyFill="1" applyBorder="1" applyAlignment="1" applyProtection="1">
      <alignment horizontal="right"/>
    </xf>
    <xf numFmtId="0" fontId="2" fillId="5" borderId="61" xfId="0" applyFont="1" applyFill="1" applyBorder="1" applyProtection="1"/>
    <xf numFmtId="0" fontId="2" fillId="5" borderId="62" xfId="0" applyNumberFormat="1" applyFont="1" applyFill="1" applyBorder="1" applyProtection="1"/>
    <xf numFmtId="0" fontId="14" fillId="5" borderId="64" xfId="0" applyFont="1" applyFill="1" applyBorder="1" applyProtection="1"/>
    <xf numFmtId="0" fontId="2" fillId="5" borderId="65" xfId="0" applyNumberFormat="1" applyFont="1" applyFill="1" applyBorder="1" applyProtection="1"/>
    <xf numFmtId="0" fontId="2" fillId="7" borderId="87" xfId="0" applyNumberFormat="1" applyFont="1" applyFill="1" applyBorder="1" applyProtection="1"/>
    <xf numFmtId="0" fontId="13" fillId="5" borderId="65" xfId="0" applyFont="1" applyFill="1" applyBorder="1" applyProtection="1"/>
    <xf numFmtId="0" fontId="15" fillId="5" borderId="64" xfId="0" applyFont="1" applyFill="1" applyBorder="1" applyProtection="1"/>
    <xf numFmtId="0" fontId="0" fillId="5" borderId="65" xfId="0" applyFill="1" applyBorder="1" applyProtection="1"/>
    <xf numFmtId="0" fontId="2" fillId="0" borderId="0" xfId="0" applyNumberFormat="1" applyFont="1" applyFill="1" applyBorder="1" applyProtection="1"/>
    <xf numFmtId="0" fontId="2" fillId="4" borderId="88" xfId="0" applyFont="1" applyFill="1" applyBorder="1" applyProtection="1"/>
    <xf numFmtId="0" fontId="0" fillId="4" borderId="32" xfId="0" applyFill="1" applyBorder="1" applyProtection="1"/>
    <xf numFmtId="165" fontId="0" fillId="4" borderId="32" xfId="0" applyNumberFormat="1" applyFill="1" applyBorder="1" applyAlignment="1" applyProtection="1">
      <alignment horizontal="left"/>
    </xf>
    <xf numFmtId="0" fontId="0" fillId="4" borderId="65" xfId="0" applyFill="1" applyBorder="1" applyProtection="1"/>
    <xf numFmtId="165" fontId="0" fillId="4" borderId="65" xfId="0" applyNumberFormat="1" applyFill="1" applyBorder="1" applyAlignment="1" applyProtection="1">
      <alignment horizontal="left"/>
    </xf>
    <xf numFmtId="49" fontId="14" fillId="5" borderId="64" xfId="0" applyNumberFormat="1" applyFont="1" applyFill="1" applyBorder="1" applyProtection="1"/>
    <xf numFmtId="49" fontId="0" fillId="4" borderId="65" xfId="0" applyNumberFormat="1" applyFill="1" applyBorder="1" applyAlignment="1" applyProtection="1">
      <alignment horizontal="left"/>
    </xf>
    <xf numFmtId="0" fontId="0" fillId="4" borderId="51" xfId="0" applyFill="1" applyBorder="1" applyProtection="1"/>
    <xf numFmtId="49" fontId="3" fillId="4" borderId="51" xfId="0" applyNumberFormat="1" applyFont="1" applyFill="1" applyBorder="1" applyAlignment="1" applyProtection="1">
      <alignment horizontal="left"/>
    </xf>
    <xf numFmtId="0" fontId="15" fillId="5" borderId="16" xfId="0" applyFont="1" applyFill="1" applyBorder="1" applyProtection="1"/>
    <xf numFmtId="0" fontId="0" fillId="5" borderId="27" xfId="0" applyFill="1" applyBorder="1" applyProtection="1"/>
    <xf numFmtId="2" fontId="3" fillId="0" borderId="0" xfId="0" applyNumberFormat="1" applyFont="1" applyFill="1" applyBorder="1" applyProtection="1"/>
    <xf numFmtId="0" fontId="3" fillId="0" borderId="0" xfId="0" applyNumberFormat="1" applyFont="1" applyFill="1" applyBorder="1" applyProtection="1"/>
    <xf numFmtId="0" fontId="2" fillId="5" borderId="60" xfId="0" applyFont="1" applyFill="1" applyBorder="1" applyAlignment="1" applyProtection="1">
      <alignment wrapText="1"/>
    </xf>
    <xf numFmtId="0" fontId="0" fillId="4" borderId="64" xfId="0" applyFill="1" applyBorder="1" applyProtection="1"/>
    <xf numFmtId="0" fontId="2" fillId="8" borderId="71" xfId="0" applyNumberFormat="1" applyFont="1" applyFill="1" applyBorder="1" applyProtection="1"/>
    <xf numFmtId="0" fontId="2" fillId="0" borderId="71" xfId="0" applyFont="1" applyFill="1" applyBorder="1" applyAlignment="1" applyProtection="1">
      <alignment horizontal="left"/>
    </xf>
    <xf numFmtId="0" fontId="2" fillId="4" borderId="71" xfId="0" applyFont="1" applyFill="1" applyBorder="1" applyProtection="1"/>
    <xf numFmtId="0" fontId="3" fillId="0" borderId="71" xfId="0" applyFont="1" applyBorder="1" applyAlignment="1" applyProtection="1">
      <alignment horizontal="left"/>
    </xf>
    <xf numFmtId="0" fontId="0" fillId="0" borderId="71" xfId="0" applyBorder="1" applyAlignment="1" applyProtection="1">
      <alignment horizontal="left"/>
    </xf>
    <xf numFmtId="2" fontId="0" fillId="0" borderId="0" xfId="0" applyNumberFormat="1" applyAlignment="1" applyProtection="1">
      <alignment horizontal="center"/>
    </xf>
    <xf numFmtId="0" fontId="12" fillId="0" borderId="0" xfId="0" applyFont="1" applyFill="1" applyBorder="1" applyAlignment="1" applyProtection="1">
      <alignment horizontal="right"/>
    </xf>
    <xf numFmtId="0" fontId="12" fillId="6" borderId="3" xfId="0" applyNumberFormat="1" applyFont="1" applyFill="1" applyBorder="1" applyProtection="1"/>
    <xf numFmtId="0" fontId="11" fillId="6" borderId="92" xfId="0" applyFont="1" applyFill="1" applyBorder="1" applyProtection="1"/>
    <xf numFmtId="0" fontId="11" fillId="6" borderId="4" xfId="0" applyFont="1" applyFill="1" applyBorder="1" applyProtection="1"/>
    <xf numFmtId="0" fontId="11" fillId="0" borderId="0" xfId="0" applyFont="1" applyProtection="1"/>
    <xf numFmtId="0" fontId="12" fillId="0" borderId="93" xfId="0" applyFont="1" applyFill="1" applyBorder="1" applyAlignment="1" applyProtection="1">
      <alignment horizontal="right"/>
    </xf>
    <xf numFmtId="0" fontId="12" fillId="0" borderId="92" xfId="0" applyNumberFormat="1" applyFont="1" applyFill="1" applyBorder="1" applyProtection="1"/>
    <xf numFmtId="0" fontId="11" fillId="0" borderId="92" xfId="0" applyFont="1" applyFill="1" applyBorder="1" applyProtection="1"/>
    <xf numFmtId="0" fontId="11" fillId="0" borderId="93" xfId="0" applyFont="1" applyBorder="1" applyProtection="1"/>
    <xf numFmtId="0" fontId="11" fillId="0" borderId="0" xfId="0" applyFont="1" applyBorder="1" applyProtection="1"/>
    <xf numFmtId="0" fontId="5" fillId="6" borderId="94" xfId="0" applyFont="1" applyFill="1" applyBorder="1" applyProtection="1"/>
    <xf numFmtId="0" fontId="5" fillId="6" borderId="95" xfId="0" applyFont="1" applyFill="1" applyBorder="1" applyProtection="1"/>
    <xf numFmtId="0" fontId="11" fillId="4" borderId="96" xfId="0" applyFont="1" applyFill="1" applyBorder="1" applyProtection="1"/>
    <xf numFmtId="0" fontId="5" fillId="6" borderId="97" xfId="0" applyFont="1" applyFill="1" applyBorder="1" applyProtection="1"/>
    <xf numFmtId="0" fontId="5" fillId="6" borderId="98" xfId="0" applyFont="1" applyFill="1" applyBorder="1" applyProtection="1"/>
    <xf numFmtId="0" fontId="2" fillId="6" borderId="98" xfId="0" applyFont="1" applyFill="1" applyBorder="1" applyAlignment="1" applyProtection="1">
      <alignment wrapText="1"/>
    </xf>
    <xf numFmtId="2" fontId="2" fillId="6" borderId="99" xfId="0" applyNumberFormat="1" applyFont="1" applyFill="1" applyBorder="1" applyAlignment="1" applyProtection="1">
      <alignment wrapText="1"/>
    </xf>
    <xf numFmtId="2" fontId="5" fillId="6" borderId="99" xfId="0" applyNumberFormat="1" applyFont="1" applyFill="1" applyBorder="1" applyProtection="1"/>
    <xf numFmtId="2" fontId="5" fillId="6" borderId="98" xfId="0" applyNumberFormat="1" applyFont="1" applyFill="1" applyBorder="1" applyProtection="1"/>
    <xf numFmtId="0" fontId="5" fillId="4" borderId="100" xfId="0" applyFont="1" applyFill="1" applyBorder="1" applyProtection="1"/>
    <xf numFmtId="0" fontId="11" fillId="6" borderId="67" xfId="0" applyFont="1" applyFill="1" applyBorder="1" applyProtection="1"/>
    <xf numFmtId="2" fontId="11" fillId="6" borderId="67" xfId="0" applyNumberFormat="1" applyFont="1" applyFill="1" applyBorder="1" applyProtection="1"/>
    <xf numFmtId="0" fontId="11" fillId="6" borderId="71" xfId="0" applyFont="1" applyFill="1" applyBorder="1" applyProtection="1"/>
    <xf numFmtId="0" fontId="11" fillId="0" borderId="0" xfId="0" applyFont="1" applyAlignment="1" applyProtection="1">
      <alignment horizontal="center"/>
    </xf>
    <xf numFmtId="165" fontId="11" fillId="0" borderId="0" xfId="0" applyNumberFormat="1" applyFont="1" applyFill="1" applyAlignment="1" applyProtection="1">
      <alignment horizontal="center"/>
    </xf>
    <xf numFmtId="0" fontId="11" fillId="0" borderId="0" xfId="0" applyFont="1" applyFill="1" applyAlignment="1" applyProtection="1">
      <alignment horizontal="center"/>
    </xf>
    <xf numFmtId="0" fontId="11" fillId="0" borderId="0" xfId="0" applyFont="1" applyFill="1" applyProtection="1"/>
    <xf numFmtId="0" fontId="5" fillId="6" borderId="103" xfId="0" applyFont="1" applyFill="1" applyBorder="1" applyProtection="1"/>
    <xf numFmtId="0" fontId="5" fillId="6" borderId="104" xfId="0" applyFont="1" applyFill="1" applyBorder="1" applyAlignment="1" applyProtection="1">
      <alignment horizontal="center"/>
    </xf>
    <xf numFmtId="0" fontId="18" fillId="6" borderId="105" xfId="0" applyFont="1" applyFill="1" applyBorder="1" applyAlignment="1" applyProtection="1">
      <alignment horizontal="center"/>
    </xf>
    <xf numFmtId="0" fontId="5" fillId="6" borderId="106" xfId="0" applyFont="1" applyFill="1" applyBorder="1" applyAlignment="1" applyProtection="1">
      <alignment horizontal="center"/>
    </xf>
    <xf numFmtId="0" fontId="5" fillId="6" borderId="105" xfId="0" applyFont="1" applyFill="1" applyBorder="1" applyAlignment="1" applyProtection="1">
      <alignment horizontal="center"/>
    </xf>
    <xf numFmtId="0" fontId="5" fillId="6" borderId="96" xfId="0" applyFont="1" applyFill="1" applyBorder="1" applyAlignment="1" applyProtection="1">
      <alignment horizontal="center"/>
    </xf>
    <xf numFmtId="0" fontId="0" fillId="0" borderId="0" xfId="0" applyProtection="1"/>
    <xf numFmtId="0" fontId="5" fillId="6" borderId="107" xfId="0" applyFont="1" applyFill="1" applyBorder="1" applyProtection="1"/>
    <xf numFmtId="0" fontId="5" fillId="6" borderId="30" xfId="0" applyFont="1" applyFill="1" applyBorder="1" applyAlignment="1" applyProtection="1">
      <alignment horizontal="center"/>
    </xf>
    <xf numFmtId="0" fontId="5" fillId="6" borderId="27" xfId="0" applyFont="1" applyFill="1" applyBorder="1" applyAlignment="1" applyProtection="1">
      <alignment horizontal="center"/>
    </xf>
    <xf numFmtId="0" fontId="5" fillId="6" borderId="29" xfId="0" applyFont="1" applyFill="1" applyBorder="1" applyAlignment="1" applyProtection="1">
      <alignment horizontal="center"/>
    </xf>
    <xf numFmtId="0" fontId="5" fillId="6" borderId="108" xfId="0" applyFont="1" applyFill="1" applyBorder="1" applyAlignment="1" applyProtection="1">
      <alignment horizontal="center"/>
    </xf>
    <xf numFmtId="0" fontId="5" fillId="6" borderId="109" xfId="0" applyFont="1" applyFill="1" applyBorder="1" applyAlignment="1" applyProtection="1">
      <alignment horizontal="left"/>
    </xf>
    <xf numFmtId="2" fontId="15" fillId="6" borderId="110" xfId="0" applyNumberFormat="1" applyFont="1" applyFill="1" applyBorder="1" applyAlignment="1" applyProtection="1">
      <alignment horizontal="center"/>
    </xf>
    <xf numFmtId="2" fontId="15" fillId="6" borderId="45" xfId="0" applyNumberFormat="1" applyFont="1" applyFill="1" applyBorder="1" applyAlignment="1" applyProtection="1">
      <alignment horizontal="center"/>
    </xf>
    <xf numFmtId="2" fontId="15" fillId="6" borderId="111" xfId="0" applyNumberFormat="1" applyFont="1" applyFill="1" applyBorder="1" applyAlignment="1" applyProtection="1">
      <alignment horizontal="center"/>
    </xf>
    <xf numFmtId="2" fontId="11" fillId="6" borderId="112" xfId="0" applyNumberFormat="1" applyFont="1" applyFill="1" applyBorder="1" applyAlignment="1" applyProtection="1">
      <alignment horizontal="center"/>
    </xf>
    <xf numFmtId="2" fontId="15" fillId="6" borderId="113" xfId="0" applyNumberFormat="1" applyFont="1" applyFill="1" applyBorder="1" applyAlignment="1" applyProtection="1">
      <alignment horizontal="center"/>
    </xf>
    <xf numFmtId="2" fontId="11" fillId="6" borderId="114" xfId="0" applyNumberFormat="1" applyFont="1" applyFill="1" applyBorder="1" applyAlignment="1" applyProtection="1">
      <alignment horizontal="center"/>
    </xf>
    <xf numFmtId="2" fontId="5" fillId="6" borderId="115" xfId="0" applyNumberFormat="1" applyFont="1" applyFill="1" applyBorder="1" applyAlignment="1" applyProtection="1">
      <alignment horizontal="left"/>
    </xf>
    <xf numFmtId="2" fontId="15" fillId="6" borderId="39" xfId="0" applyNumberFormat="1" applyFont="1" applyFill="1" applyBorder="1" applyAlignment="1" applyProtection="1">
      <alignment horizontal="center"/>
    </xf>
    <xf numFmtId="2" fontId="15" fillId="6" borderId="116" xfId="0" applyNumberFormat="1" applyFont="1" applyFill="1" applyBorder="1" applyAlignment="1" applyProtection="1">
      <alignment horizontal="center"/>
    </xf>
    <xf numFmtId="2" fontId="11" fillId="6" borderId="117" xfId="0" applyNumberFormat="1" applyFont="1" applyFill="1" applyBorder="1" applyAlignment="1" applyProtection="1">
      <alignment horizontal="center"/>
    </xf>
    <xf numFmtId="0" fontId="0" fillId="0" borderId="0" xfId="0" applyFill="1" applyProtection="1"/>
    <xf numFmtId="2" fontId="5" fillId="6" borderId="118" xfId="0" applyNumberFormat="1" applyFont="1" applyFill="1" applyBorder="1" applyAlignment="1" applyProtection="1">
      <alignment horizontal="left"/>
    </xf>
    <xf numFmtId="2" fontId="15" fillId="6" borderId="119" xfId="0" applyNumberFormat="1" applyFont="1" applyFill="1" applyBorder="1" applyAlignment="1" applyProtection="1">
      <alignment horizontal="center"/>
    </xf>
    <xf numFmtId="2" fontId="15" fillId="6" borderId="48" xfId="0" applyNumberFormat="1" applyFont="1" applyFill="1" applyBorder="1" applyAlignment="1" applyProtection="1">
      <alignment horizontal="center"/>
    </xf>
    <xf numFmtId="2" fontId="15" fillId="6" borderId="120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left"/>
    </xf>
    <xf numFmtId="2" fontId="5" fillId="0" borderId="0" xfId="0" applyNumberFormat="1" applyFont="1" applyFill="1" applyBorder="1" applyProtection="1"/>
    <xf numFmtId="0" fontId="11" fillId="0" borderId="0" xfId="0" applyFont="1" applyFill="1" applyBorder="1" applyProtection="1"/>
    <xf numFmtId="2" fontId="11" fillId="0" borderId="0" xfId="0" applyNumberFormat="1" applyFont="1" applyFill="1" applyBorder="1" applyProtection="1"/>
    <xf numFmtId="0" fontId="5" fillId="0" borderId="0" xfId="0" applyFont="1" applyBorder="1" applyProtection="1"/>
    <xf numFmtId="2" fontId="11" fillId="0" borderId="0" xfId="0" applyNumberFormat="1" applyFont="1" applyBorder="1" applyProtection="1"/>
    <xf numFmtId="0" fontId="11" fillId="0" borderId="92" xfId="0" applyFont="1" applyBorder="1" applyProtection="1"/>
    <xf numFmtId="0" fontId="5" fillId="6" borderId="121" xfId="0" applyFont="1" applyFill="1" applyBorder="1" applyProtection="1"/>
    <xf numFmtId="2" fontId="5" fillId="6" borderId="95" xfId="0" applyNumberFormat="1" applyFont="1" applyFill="1" applyBorder="1" applyProtection="1"/>
    <xf numFmtId="0" fontId="5" fillId="4" borderId="96" xfId="0" applyFont="1" applyFill="1" applyBorder="1" applyProtection="1"/>
    <xf numFmtId="2" fontId="2" fillId="6" borderId="98" xfId="0" applyNumberFormat="1" applyFont="1" applyFill="1" applyBorder="1" applyAlignment="1" applyProtection="1">
      <alignment wrapText="1"/>
    </xf>
    <xf numFmtId="0" fontId="5" fillId="4" borderId="78" xfId="0" applyFont="1" applyFill="1" applyBorder="1" applyProtection="1"/>
    <xf numFmtId="0" fontId="11" fillId="4" borderId="122" xfId="0" applyFont="1" applyFill="1" applyBorder="1" applyProtection="1"/>
    <xf numFmtId="0" fontId="11" fillId="4" borderId="123" xfId="0" applyFont="1" applyFill="1" applyBorder="1" applyProtection="1"/>
    <xf numFmtId="2" fontId="5" fillId="6" borderId="104" xfId="0" applyNumberFormat="1" applyFont="1" applyFill="1" applyBorder="1" applyAlignment="1" applyProtection="1">
      <alignment horizontal="center"/>
    </xf>
    <xf numFmtId="2" fontId="5" fillId="6" borderId="105" xfId="0" applyNumberFormat="1" applyFont="1" applyFill="1" applyBorder="1" applyAlignment="1" applyProtection="1">
      <alignment horizontal="center"/>
    </xf>
    <xf numFmtId="2" fontId="5" fillId="6" borderId="106" xfId="0" applyNumberFormat="1" applyFont="1" applyFill="1" applyBorder="1" applyAlignment="1" applyProtection="1">
      <alignment horizontal="center"/>
    </xf>
    <xf numFmtId="2" fontId="5" fillId="6" borderId="96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Protection="1"/>
    <xf numFmtId="2" fontId="5" fillId="6" borderId="30" xfId="0" applyNumberFormat="1" applyFont="1" applyFill="1" applyBorder="1" applyAlignment="1" applyProtection="1">
      <alignment horizontal="center"/>
    </xf>
    <xf numFmtId="2" fontId="5" fillId="6" borderId="27" xfId="0" applyNumberFormat="1" applyFont="1" applyFill="1" applyBorder="1" applyAlignment="1" applyProtection="1">
      <alignment horizontal="center"/>
    </xf>
    <xf numFmtId="2" fontId="5" fillId="6" borderId="29" xfId="0" applyNumberFormat="1" applyFont="1" applyFill="1" applyBorder="1" applyAlignment="1" applyProtection="1">
      <alignment horizontal="center"/>
    </xf>
    <xf numFmtId="2" fontId="5" fillId="6" borderId="108" xfId="0" applyNumberFormat="1" applyFont="1" applyFill="1" applyBorder="1" applyAlignment="1" applyProtection="1">
      <alignment horizontal="center"/>
    </xf>
    <xf numFmtId="2" fontId="11" fillId="6" borderId="110" xfId="0" applyNumberFormat="1" applyFont="1" applyFill="1" applyBorder="1" applyAlignment="1" applyProtection="1">
      <alignment horizontal="center"/>
    </xf>
    <xf numFmtId="2" fontId="11" fillId="6" borderId="45" xfId="0" applyNumberFormat="1" applyFont="1" applyFill="1" applyBorder="1" applyAlignment="1" applyProtection="1">
      <alignment horizontal="center"/>
    </xf>
    <xf numFmtId="2" fontId="11" fillId="6" borderId="57" xfId="0" applyNumberFormat="1" applyFont="1" applyFill="1" applyBorder="1" applyAlignment="1" applyProtection="1">
      <alignment horizontal="center"/>
    </xf>
    <xf numFmtId="2" fontId="11" fillId="6" borderId="119" xfId="0" applyNumberFormat="1" applyFont="1" applyFill="1" applyBorder="1" applyAlignment="1" applyProtection="1">
      <alignment horizontal="center"/>
    </xf>
    <xf numFmtId="2" fontId="11" fillId="6" borderId="40" xfId="0" applyNumberFormat="1" applyFont="1" applyFill="1" applyBorder="1" applyAlignment="1" applyProtection="1">
      <alignment horizontal="center"/>
    </xf>
    <xf numFmtId="2" fontId="11" fillId="6" borderId="116" xfId="0" applyNumberFormat="1" applyFont="1" applyFill="1" applyBorder="1" applyAlignment="1" applyProtection="1">
      <alignment horizontal="center"/>
    </xf>
    <xf numFmtId="0" fontId="5" fillId="6" borderId="118" xfId="0" applyFont="1" applyFill="1" applyBorder="1" applyAlignment="1" applyProtection="1">
      <alignment horizontal="left"/>
    </xf>
    <xf numFmtId="2" fontId="11" fillId="6" borderId="49" xfId="0" applyNumberFormat="1" applyFont="1" applyFill="1" applyBorder="1" applyAlignment="1" applyProtection="1">
      <alignment horizontal="center"/>
    </xf>
    <xf numFmtId="2" fontId="11" fillId="6" borderId="120" xfId="0" applyNumberFormat="1" applyFont="1" applyFill="1" applyBorder="1" applyAlignment="1" applyProtection="1">
      <alignment horizontal="center"/>
    </xf>
    <xf numFmtId="2" fontId="11" fillId="3" borderId="0" xfId="0" applyNumberFormat="1" applyFont="1" applyFill="1" applyBorder="1" applyAlignment="1" applyProtection="1">
      <alignment horizontal="right"/>
    </xf>
    <xf numFmtId="0" fontId="11" fillId="3" borderId="0" xfId="0" applyFont="1" applyFill="1" applyBorder="1" applyAlignment="1" applyProtection="1">
      <alignment horizontal="right"/>
    </xf>
    <xf numFmtId="0" fontId="16" fillId="0" borderId="0" xfId="0" applyFont="1" applyBorder="1" applyProtection="1"/>
    <xf numFmtId="0" fontId="3" fillId="5" borderId="22" xfId="0" applyNumberFormat="1" applyFont="1" applyFill="1" applyBorder="1" applyProtection="1"/>
    <xf numFmtId="0" fontId="0" fillId="0" borderId="124" xfId="0" applyBorder="1" applyProtection="1"/>
    <xf numFmtId="0" fontId="0" fillId="5" borderId="91" xfId="0" applyNumberFormat="1" applyFill="1" applyBorder="1" applyProtection="1"/>
    <xf numFmtId="6" fontId="2" fillId="5" borderId="65" xfId="0" applyNumberFormat="1" applyFont="1" applyFill="1" applyBorder="1" applyProtection="1"/>
    <xf numFmtId="0" fontId="0" fillId="5" borderId="65" xfId="0" applyNumberFormat="1" applyFill="1" applyBorder="1" applyProtection="1"/>
    <xf numFmtId="6" fontId="2" fillId="5" borderId="126" xfId="0" applyNumberFormat="1" applyFont="1" applyFill="1" applyBorder="1" applyProtection="1"/>
    <xf numFmtId="0" fontId="26" fillId="0" borderId="0" xfId="0" applyFont="1" applyBorder="1" applyProtection="1"/>
    <xf numFmtId="0" fontId="0" fillId="4" borderId="127" xfId="0" applyFill="1" applyBorder="1" applyProtection="1"/>
    <xf numFmtId="0" fontId="0" fillId="5" borderId="0" xfId="0" applyNumberFormat="1" applyFill="1" applyBorder="1" applyProtection="1"/>
    <xf numFmtId="0" fontId="0" fillId="5" borderId="124" xfId="0" applyNumberFormat="1" applyFill="1" applyBorder="1" applyProtection="1"/>
    <xf numFmtId="0" fontId="2" fillId="5" borderId="129" xfId="0" applyNumberFormat="1" applyFont="1" applyFill="1" applyBorder="1" applyProtection="1"/>
    <xf numFmtId="0" fontId="0" fillId="5" borderId="130" xfId="0" applyNumberFormat="1" applyFill="1" applyBorder="1" applyProtection="1"/>
    <xf numFmtId="0" fontId="3" fillId="6" borderId="5" xfId="0" applyFont="1" applyFill="1" applyBorder="1" applyAlignment="1">
      <alignment horizontal="left"/>
    </xf>
    <xf numFmtId="0" fontId="3" fillId="4" borderId="5" xfId="0" applyFont="1" applyFill="1" applyBorder="1" applyAlignment="1" applyProtection="1">
      <alignment horizontal="right"/>
    </xf>
    <xf numFmtId="2" fontId="3" fillId="4" borderId="5" xfId="0" applyNumberFormat="1" applyFont="1" applyFill="1" applyBorder="1" applyAlignment="1" applyProtection="1">
      <alignment horizontal="right"/>
    </xf>
    <xf numFmtId="2" fontId="3" fillId="6" borderId="5" xfId="0" applyNumberFormat="1" applyFont="1" applyFill="1" applyBorder="1" applyAlignment="1" applyProtection="1">
      <alignment horizontal="right"/>
    </xf>
    <xf numFmtId="2" fontId="3" fillId="4" borderId="5" xfId="0" quotePrefix="1" applyNumberFormat="1" applyFont="1" applyFill="1" applyBorder="1" applyAlignment="1" applyProtection="1">
      <alignment horizontal="right"/>
    </xf>
    <xf numFmtId="164" fontId="0" fillId="0" borderId="0" xfId="0" applyNumberFormat="1" applyBorder="1"/>
    <xf numFmtId="164" fontId="6" fillId="0" borderId="0" xfId="0" applyNumberFormat="1" applyFont="1" applyFill="1" applyBorder="1" applyAlignment="1">
      <alignment horizontal="right"/>
    </xf>
    <xf numFmtId="164" fontId="3" fillId="4" borderId="5" xfId="0" applyNumberFormat="1" applyFont="1" applyFill="1" applyBorder="1" applyAlignment="1" applyProtection="1">
      <alignment horizontal="right"/>
    </xf>
    <xf numFmtId="164" fontId="3" fillId="4" borderId="5" xfId="0" quotePrefix="1" applyNumberFormat="1" applyFont="1" applyFill="1" applyBorder="1" applyAlignment="1" applyProtection="1">
      <alignment horizontal="right"/>
    </xf>
    <xf numFmtId="164" fontId="0" fillId="4" borderId="92" xfId="0" applyNumberFormat="1" applyFill="1" applyBorder="1"/>
    <xf numFmtId="2" fontId="0" fillId="0" borderId="0" xfId="0" applyNumberFormat="1"/>
    <xf numFmtId="2" fontId="0" fillId="0" borderId="0" xfId="0" applyNumberFormat="1" applyAlignment="1">
      <alignment horizontal="center"/>
    </xf>
    <xf numFmtId="2" fontId="2" fillId="4" borderId="2" xfId="0" applyNumberFormat="1" applyFont="1" applyFill="1" applyBorder="1" applyAlignment="1">
      <alignment horizontal="center" wrapText="1"/>
    </xf>
    <xf numFmtId="0" fontId="2" fillId="5" borderId="129" xfId="0" applyFont="1" applyFill="1" applyBorder="1" applyAlignment="1" applyProtection="1">
      <alignment horizontal="right"/>
    </xf>
    <xf numFmtId="0" fontId="2" fillId="5" borderId="18" xfId="0" applyNumberFormat="1" applyFont="1" applyFill="1" applyBorder="1" applyProtection="1"/>
    <xf numFmtId="0" fontId="6" fillId="4" borderId="4" xfId="0" applyNumberFormat="1" applyFont="1" applyFill="1" applyBorder="1" applyAlignment="1" applyProtection="1">
      <alignment horizontal="center"/>
    </xf>
    <xf numFmtId="164" fontId="2" fillId="0" borderId="71" xfId="0" applyNumberFormat="1" applyFont="1" applyFill="1" applyBorder="1" applyAlignment="1" applyProtection="1">
      <alignment horizontal="right"/>
    </xf>
    <xf numFmtId="164" fontId="3" fillId="0" borderId="71" xfId="0" applyNumberFormat="1" applyFont="1" applyBorder="1" applyAlignment="1" applyProtection="1">
      <alignment horizontal="right"/>
    </xf>
    <xf numFmtId="0" fontId="5" fillId="4" borderId="131" xfId="0" applyFont="1" applyFill="1" applyBorder="1" applyProtection="1"/>
    <xf numFmtId="0" fontId="5" fillId="4" borderId="132" xfId="0" applyFont="1" applyFill="1" applyBorder="1" applyProtection="1"/>
    <xf numFmtId="0" fontId="5" fillId="4" borderId="133" xfId="0" applyFont="1" applyFill="1" applyBorder="1" applyProtection="1"/>
    <xf numFmtId="2" fontId="11" fillId="4" borderId="66" xfId="0" applyNumberFormat="1" applyFont="1" applyFill="1" applyBorder="1" applyProtection="1"/>
    <xf numFmtId="2" fontId="11" fillId="4" borderId="134" xfId="0" applyNumberFormat="1" applyFont="1" applyFill="1" applyBorder="1" applyProtection="1"/>
    <xf numFmtId="2" fontId="11" fillId="4" borderId="135" xfId="0" applyNumberFormat="1" applyFont="1" applyFill="1" applyBorder="1" applyProtection="1"/>
    <xf numFmtId="2" fontId="11" fillId="4" borderId="136" xfId="0" applyNumberFormat="1" applyFont="1" applyFill="1" applyBorder="1" applyProtection="1"/>
    <xf numFmtId="0" fontId="11" fillId="4" borderId="137" xfId="0" applyNumberFormat="1" applyFont="1" applyFill="1" applyBorder="1" applyProtection="1"/>
    <xf numFmtId="0" fontId="11" fillId="4" borderId="138" xfId="0" applyNumberFormat="1" applyFont="1" applyFill="1" applyBorder="1" applyProtection="1"/>
    <xf numFmtId="2" fontId="5" fillId="4" borderId="131" xfId="0" applyNumberFormat="1" applyFont="1" applyFill="1" applyBorder="1" applyProtection="1"/>
    <xf numFmtId="2" fontId="5" fillId="4" borderId="132" xfId="0" applyNumberFormat="1" applyFont="1" applyFill="1" applyBorder="1" applyProtection="1"/>
    <xf numFmtId="0" fontId="12" fillId="4" borderId="132" xfId="0" applyFont="1" applyFill="1" applyBorder="1" applyAlignment="1" applyProtection="1">
      <alignment horizontal="center"/>
    </xf>
    <xf numFmtId="0" fontId="5" fillId="4" borderId="133" xfId="0" applyFont="1" applyFill="1" applyBorder="1" applyAlignment="1" applyProtection="1">
      <alignment horizontal="center"/>
    </xf>
    <xf numFmtId="2" fontId="11" fillId="4" borderId="66" xfId="0" applyNumberFormat="1" applyFont="1" applyFill="1" applyBorder="1" applyAlignment="1" applyProtection="1">
      <alignment horizontal="center"/>
    </xf>
    <xf numFmtId="2" fontId="11" fillId="4" borderId="134" xfId="0" applyNumberFormat="1" applyFont="1" applyFill="1" applyBorder="1" applyAlignment="1" applyProtection="1">
      <alignment horizontal="center"/>
    </xf>
    <xf numFmtId="2" fontId="11" fillId="4" borderId="135" xfId="0" applyNumberFormat="1" applyFont="1" applyFill="1" applyBorder="1" applyAlignment="1" applyProtection="1">
      <alignment horizontal="center"/>
    </xf>
    <xf numFmtId="2" fontId="11" fillId="4" borderId="136" xfId="0" applyNumberFormat="1" applyFont="1" applyFill="1" applyBorder="1" applyAlignment="1" applyProtection="1">
      <alignment horizontal="center"/>
    </xf>
    <xf numFmtId="165" fontId="7" fillId="6" borderId="140" xfId="0" applyNumberFormat="1" applyFont="1" applyFill="1" applyBorder="1" applyAlignment="1" applyProtection="1">
      <alignment horizontal="center"/>
    </xf>
    <xf numFmtId="0" fontId="7" fillId="6" borderId="141" xfId="0" applyNumberFormat="1" applyFont="1" applyFill="1" applyBorder="1" applyAlignment="1" applyProtection="1">
      <alignment horizontal="center"/>
    </xf>
    <xf numFmtId="165" fontId="7" fillId="6" borderId="141" xfId="0" applyNumberFormat="1" applyFont="1" applyFill="1" applyBorder="1" applyAlignment="1" applyProtection="1">
      <alignment horizontal="center"/>
    </xf>
    <xf numFmtId="1" fontId="7" fillId="6" borderId="141" xfId="0" applyNumberFormat="1" applyFont="1" applyFill="1" applyBorder="1" applyAlignment="1" applyProtection="1">
      <alignment horizontal="center"/>
    </xf>
    <xf numFmtId="2" fontId="7" fillId="6" borderId="141" xfId="0" applyNumberFormat="1" applyFont="1" applyFill="1" applyBorder="1" applyAlignment="1" applyProtection="1">
      <alignment horizontal="center"/>
    </xf>
    <xf numFmtId="2" fontId="7" fillId="6" borderId="140" xfId="0" applyNumberFormat="1" applyFont="1" applyFill="1" applyBorder="1" applyAlignment="1" applyProtection="1">
      <alignment horizontal="center"/>
    </xf>
    <xf numFmtId="2" fontId="7" fillId="6" borderId="67" xfId="0" applyNumberFormat="1" applyFont="1" applyFill="1" applyBorder="1" applyAlignment="1" applyProtection="1">
      <alignment horizontal="center"/>
    </xf>
    <xf numFmtId="2" fontId="7" fillId="6" borderId="142" xfId="0" applyNumberFormat="1" applyFont="1" applyFill="1" applyBorder="1" applyAlignment="1" applyProtection="1">
      <alignment horizontal="left"/>
    </xf>
    <xf numFmtId="0" fontId="7" fillId="6" borderId="140" xfId="0" applyNumberFormat="1" applyFont="1" applyFill="1" applyBorder="1" applyAlignment="1" applyProtection="1">
      <alignment horizontal="center"/>
    </xf>
    <xf numFmtId="1" fontId="7" fillId="6" borderId="140" xfId="0" applyNumberFormat="1" applyFont="1" applyFill="1" applyBorder="1" applyAlignment="1" applyProtection="1">
      <alignment horizontal="center"/>
    </xf>
    <xf numFmtId="2" fontId="7" fillId="6" borderId="143" xfId="0" applyNumberFormat="1" applyFont="1" applyFill="1" applyBorder="1" applyAlignment="1" applyProtection="1">
      <alignment horizontal="left"/>
    </xf>
    <xf numFmtId="0" fontId="5" fillId="0" borderId="0" xfId="0" applyFont="1" applyFill="1" applyBorder="1" applyAlignment="1" applyProtection="1">
      <alignment horizontal="right"/>
    </xf>
    <xf numFmtId="2" fontId="11" fillId="0" borderId="0" xfId="0" applyNumberFormat="1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Alignment="1" applyProtection="1">
      <alignment horizontal="left"/>
    </xf>
    <xf numFmtId="2" fontId="0" fillId="0" borderId="0" xfId="0" applyNumberFormat="1" applyAlignment="1">
      <alignment wrapText="1"/>
    </xf>
    <xf numFmtId="2" fontId="0" fillId="0" borderId="0" xfId="0" applyNumberFormat="1" applyAlignment="1">
      <alignment horizontal="center" wrapText="1"/>
    </xf>
    <xf numFmtId="2" fontId="0" fillId="0" borderId="0" xfId="0" applyNumberFormat="1" applyAlignment="1" applyProtection="1">
      <alignment horizontal="center" wrapText="1"/>
    </xf>
    <xf numFmtId="0" fontId="0" fillId="0" borderId="0" xfId="0" applyAlignment="1">
      <alignment wrapText="1"/>
    </xf>
    <xf numFmtId="2" fontId="13" fillId="4" borderId="61" xfId="0" applyNumberFormat="1" applyFont="1" applyFill="1" applyBorder="1" applyAlignment="1" applyProtection="1">
      <alignment horizontal="center" wrapText="1"/>
    </xf>
    <xf numFmtId="0" fontId="2" fillId="8" borderId="60" xfId="0" applyNumberFormat="1" applyFont="1" applyFill="1" applyBorder="1" applyAlignment="1" applyProtection="1">
      <alignment wrapText="1"/>
    </xf>
    <xf numFmtId="0" fontId="2" fillId="0" borderId="60" xfId="0" applyFont="1" applyBorder="1" applyAlignment="1" applyProtection="1">
      <alignment wrapText="1"/>
    </xf>
    <xf numFmtId="0" fontId="2" fillId="4" borderId="60" xfId="0" applyFont="1" applyFill="1" applyBorder="1" applyAlignment="1" applyProtection="1">
      <alignment wrapText="1"/>
    </xf>
    <xf numFmtId="164" fontId="2" fillId="0" borderId="60" xfId="0" applyNumberFormat="1" applyFont="1" applyBorder="1" applyAlignment="1" applyProtection="1">
      <alignment horizontal="center" wrapText="1"/>
    </xf>
    <xf numFmtId="164" fontId="3" fillId="5" borderId="8" xfId="0" applyNumberFormat="1" applyFont="1" applyFill="1" applyBorder="1" applyAlignment="1" applyProtection="1">
      <alignment horizontal="right"/>
    </xf>
    <xf numFmtId="164" fontId="3" fillId="5" borderId="8" xfId="0" applyNumberFormat="1" applyFont="1" applyFill="1" applyBorder="1" applyProtection="1"/>
    <xf numFmtId="164" fontId="3" fillId="5" borderId="10" xfId="0" applyNumberFormat="1" applyFont="1" applyFill="1" applyBorder="1" applyProtection="1"/>
    <xf numFmtId="164" fontId="0" fillId="0" borderId="0" xfId="0" applyNumberFormat="1" applyFill="1" applyBorder="1"/>
    <xf numFmtId="2" fontId="0" fillId="0" borderId="0" xfId="0" applyNumberFormat="1" applyFill="1" applyBorder="1" applyAlignment="1">
      <alignment horizontal="center"/>
    </xf>
    <xf numFmtId="0" fontId="5" fillId="0" borderId="0" xfId="0" applyFont="1" applyFill="1" applyBorder="1" applyAlignment="1" applyProtection="1">
      <alignment wrapText="1"/>
    </xf>
    <xf numFmtId="0" fontId="12" fillId="0" borderId="0" xfId="0" applyFont="1" applyFill="1" applyBorder="1" applyAlignment="1" applyProtection="1">
      <alignment horizontal="center" wrapText="1"/>
    </xf>
    <xf numFmtId="0" fontId="5" fillId="0" borderId="0" xfId="0" applyFont="1" applyFill="1" applyBorder="1" applyAlignment="1" applyProtection="1">
      <alignment horizontal="center" wrapText="1"/>
    </xf>
    <xf numFmtId="0" fontId="5" fillId="4" borderId="40" xfId="0" applyFont="1" applyFill="1" applyBorder="1" applyAlignment="1" applyProtection="1">
      <alignment wrapText="1"/>
    </xf>
    <xf numFmtId="0" fontId="12" fillId="4" borderId="40" xfId="0" applyFont="1" applyFill="1" applyBorder="1" applyAlignment="1" applyProtection="1">
      <alignment horizontal="center" wrapText="1"/>
    </xf>
    <xf numFmtId="0" fontId="5" fillId="4" borderId="144" xfId="0" applyFont="1" applyFill="1" applyBorder="1" applyAlignment="1" applyProtection="1">
      <alignment horizontal="center" wrapText="1"/>
    </xf>
    <xf numFmtId="0" fontId="5" fillId="4" borderId="53" xfId="0" applyFont="1" applyFill="1" applyBorder="1" applyAlignment="1" applyProtection="1">
      <alignment wrapText="1"/>
    </xf>
    <xf numFmtId="2" fontId="5" fillId="4" borderId="145" xfId="0" applyNumberFormat="1" applyFont="1" applyFill="1" applyBorder="1" applyAlignment="1" applyProtection="1">
      <alignment wrapText="1"/>
    </xf>
    <xf numFmtId="2" fontId="5" fillId="4" borderId="63" xfId="0" applyNumberFormat="1" applyFont="1" applyFill="1" applyBorder="1" applyAlignment="1" applyProtection="1">
      <alignment wrapText="1"/>
    </xf>
    <xf numFmtId="0" fontId="5" fillId="4" borderId="63" xfId="0" applyFont="1" applyFill="1" applyBorder="1" applyAlignment="1" applyProtection="1">
      <alignment wrapText="1"/>
    </xf>
    <xf numFmtId="0" fontId="12" fillId="4" borderId="63" xfId="0" applyFont="1" applyFill="1" applyBorder="1" applyAlignment="1" applyProtection="1">
      <alignment horizontal="center" wrapText="1"/>
    </xf>
    <xf numFmtId="0" fontId="5" fillId="4" borderId="146" xfId="0" applyFont="1" applyFill="1" applyBorder="1" applyAlignment="1" applyProtection="1">
      <alignment horizontal="center" wrapText="1"/>
    </xf>
    <xf numFmtId="0" fontId="11" fillId="4" borderId="7" xfId="0" applyNumberFormat="1" applyFont="1" applyFill="1" applyBorder="1" applyProtection="1"/>
    <xf numFmtId="2" fontId="11" fillId="4" borderId="8" xfId="0" applyNumberFormat="1" applyFont="1" applyFill="1" applyBorder="1" applyAlignment="1" applyProtection="1">
      <alignment horizontal="center"/>
    </xf>
    <xf numFmtId="0" fontId="11" fillId="4" borderId="9" xfId="0" applyNumberFormat="1" applyFont="1" applyFill="1" applyBorder="1" applyProtection="1"/>
    <xf numFmtId="2" fontId="11" fillId="4" borderId="147" xfId="0" applyNumberFormat="1" applyFont="1" applyFill="1" applyBorder="1" applyProtection="1"/>
    <xf numFmtId="2" fontId="11" fillId="4" borderId="147" xfId="0" applyNumberFormat="1" applyFont="1" applyFill="1" applyBorder="1" applyAlignment="1" applyProtection="1">
      <alignment horizontal="center"/>
    </xf>
    <xf numFmtId="2" fontId="11" fillId="4" borderId="10" xfId="0" applyNumberFormat="1" applyFont="1" applyFill="1" applyBorder="1" applyAlignment="1" applyProtection="1">
      <alignment horizontal="center"/>
    </xf>
    <xf numFmtId="49" fontId="0" fillId="0" borderId="0" xfId="0" applyNumberFormat="1" applyFill="1" applyBorder="1" applyAlignment="1" applyProtection="1">
      <alignment horizontal="left"/>
    </xf>
    <xf numFmtId="164" fontId="11" fillId="4" borderId="34" xfId="0" applyNumberFormat="1" applyFont="1" applyFill="1" applyBorder="1"/>
    <xf numFmtId="164" fontId="11" fillId="4" borderId="148" xfId="0" applyNumberFormat="1" applyFont="1" applyFill="1" applyBorder="1" applyAlignment="1">
      <alignment horizontal="center"/>
    </xf>
    <xf numFmtId="164" fontId="11" fillId="4" borderId="149" xfId="0" applyNumberFormat="1" applyFont="1" applyFill="1" applyBorder="1" applyAlignment="1">
      <alignment horizontal="center"/>
    </xf>
    <xf numFmtId="2" fontId="15" fillId="6" borderId="47" xfId="0" applyNumberFormat="1" applyFont="1" applyFill="1" applyBorder="1" applyAlignment="1" applyProtection="1">
      <alignment horizontal="center"/>
    </xf>
    <xf numFmtId="0" fontId="6" fillId="4" borderId="3" xfId="0" applyNumberFormat="1" applyFont="1" applyFill="1" applyBorder="1" applyAlignment="1" applyProtection="1">
      <alignment horizontal="left"/>
    </xf>
    <xf numFmtId="2" fontId="7" fillId="6" borderId="30" xfId="0" applyNumberFormat="1" applyFont="1" applyFill="1" applyBorder="1" applyAlignment="1" applyProtection="1">
      <alignment horizontal="center"/>
    </xf>
    <xf numFmtId="2" fontId="7" fillId="6" borderId="150" xfId="0" applyNumberFormat="1" applyFont="1" applyFill="1" applyBorder="1" applyAlignment="1" applyProtection="1">
      <alignment horizontal="center"/>
    </xf>
    <xf numFmtId="2" fontId="7" fillId="6" borderId="151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2" fontId="7" fillId="6" borderId="90" xfId="0" applyNumberFormat="1" applyFont="1" applyFill="1" applyBorder="1" applyAlignment="1" applyProtection="1">
      <alignment horizontal="center"/>
    </xf>
    <xf numFmtId="2" fontId="7" fillId="6" borderId="0" xfId="0" applyNumberFormat="1" applyFont="1" applyFill="1" applyBorder="1" applyAlignment="1" applyProtection="1">
      <alignment horizontal="center"/>
    </xf>
    <xf numFmtId="2" fontId="7" fillId="6" borderId="152" xfId="0" applyNumberFormat="1" applyFont="1" applyFill="1" applyBorder="1" applyAlignment="1" applyProtection="1">
      <alignment horizontal="center"/>
    </xf>
    <xf numFmtId="2" fontId="7" fillId="6" borderId="153" xfId="0" applyNumberFormat="1" applyFont="1" applyFill="1" applyBorder="1" applyAlignment="1" applyProtection="1">
      <alignment horizontal="center"/>
    </xf>
    <xf numFmtId="2" fontId="7" fillId="6" borderId="83" xfId="0" applyNumberFormat="1" applyFont="1" applyFill="1" applyBorder="1" applyAlignment="1" applyProtection="1">
      <alignment horizontal="center"/>
    </xf>
    <xf numFmtId="2" fontId="7" fillId="6" borderId="154" xfId="0" applyNumberFormat="1" applyFont="1" applyFill="1" applyBorder="1" applyAlignment="1" applyProtection="1">
      <alignment horizontal="center"/>
    </xf>
    <xf numFmtId="2" fontId="7" fillId="6" borderId="126" xfId="0" applyNumberFormat="1" applyFont="1" applyFill="1" applyBorder="1" applyAlignment="1" applyProtection="1">
      <alignment horizontal="center"/>
    </xf>
    <xf numFmtId="2" fontId="7" fillId="6" borderId="155" xfId="0" applyNumberFormat="1" applyFont="1" applyFill="1" applyBorder="1" applyAlignment="1" applyProtection="1">
      <alignment horizontal="center"/>
    </xf>
    <xf numFmtId="2" fontId="7" fillId="6" borderId="156" xfId="0" applyNumberFormat="1" applyFont="1" applyFill="1" applyBorder="1" applyAlignment="1" applyProtection="1">
      <alignment horizontal="center"/>
    </xf>
    <xf numFmtId="2" fontId="7" fillId="6" borderId="143" xfId="0" applyNumberFormat="1" applyFont="1" applyFill="1" applyBorder="1" applyAlignment="1" applyProtection="1">
      <alignment horizontal="center"/>
    </xf>
    <xf numFmtId="2" fontId="7" fillId="6" borderId="51" xfId="0" applyNumberFormat="1" applyFont="1" applyFill="1" applyBorder="1" applyAlignment="1" applyProtection="1">
      <alignment horizontal="center"/>
    </xf>
    <xf numFmtId="2" fontId="7" fillId="6" borderId="34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/>
    <xf numFmtId="2" fontId="7" fillId="6" borderId="86" xfId="0" applyNumberFormat="1" applyFont="1" applyFill="1" applyBorder="1" applyAlignment="1" applyProtection="1">
      <alignment horizontal="center"/>
    </xf>
    <xf numFmtId="2" fontId="7" fillId="6" borderId="157" xfId="0" applyNumberFormat="1" applyFont="1" applyFill="1" applyBorder="1" applyAlignment="1" applyProtection="1">
      <alignment horizontal="center"/>
    </xf>
    <xf numFmtId="2" fontId="7" fillId="6" borderId="158" xfId="0" applyNumberFormat="1" applyFont="1" applyFill="1" applyBorder="1" applyAlignment="1" applyProtection="1">
      <alignment horizontal="center"/>
    </xf>
    <xf numFmtId="2" fontId="6" fillId="6" borderId="24" xfId="0" applyNumberFormat="1" applyFont="1" applyFill="1" applyBorder="1" applyAlignment="1" applyProtection="1">
      <alignment horizontal="center"/>
    </xf>
    <xf numFmtId="2" fontId="20" fillId="6" borderId="22" xfId="0" applyNumberFormat="1" applyFont="1" applyFill="1" applyBorder="1" applyAlignment="1" applyProtection="1">
      <alignment horizontal="center"/>
    </xf>
    <xf numFmtId="2" fontId="6" fillId="6" borderId="22" xfId="0" applyNumberFormat="1" applyFont="1" applyFill="1" applyBorder="1" applyAlignment="1" applyProtection="1">
      <alignment horizontal="center"/>
    </xf>
    <xf numFmtId="2" fontId="6" fillId="6" borderId="25" xfId="0" applyNumberFormat="1" applyFont="1" applyFill="1" applyBorder="1" applyAlignment="1" applyProtection="1">
      <alignment horizontal="center"/>
    </xf>
    <xf numFmtId="1" fontId="7" fillId="6" borderId="30" xfId="0" applyNumberFormat="1" applyFont="1" applyFill="1" applyBorder="1" applyAlignment="1" applyProtection="1">
      <alignment horizontal="center"/>
    </xf>
    <xf numFmtId="1" fontId="7" fillId="6" borderId="144" xfId="0" applyNumberFormat="1" applyFont="1" applyFill="1" applyBorder="1" applyAlignment="1" applyProtection="1">
      <alignment horizontal="center"/>
    </xf>
    <xf numFmtId="1" fontId="7" fillId="6" borderId="159" xfId="0" applyNumberFormat="1" applyFont="1" applyFill="1" applyBorder="1" applyAlignment="1" applyProtection="1">
      <alignment horizontal="center"/>
    </xf>
    <xf numFmtId="1" fontId="7" fillId="6" borderId="160" xfId="0" applyNumberFormat="1" applyFont="1" applyFill="1" applyBorder="1" applyAlignment="1" applyProtection="1">
      <alignment horizontal="center"/>
    </xf>
    <xf numFmtId="1" fontId="7" fillId="6" borderId="62" xfId="0" applyNumberFormat="1" applyFont="1" applyFill="1" applyBorder="1" applyAlignment="1" applyProtection="1">
      <alignment horizontal="center"/>
    </xf>
    <xf numFmtId="1" fontId="7" fillId="6" borderId="90" xfId="0" applyNumberFormat="1" applyFont="1" applyFill="1" applyBorder="1" applyAlignment="1" applyProtection="1">
      <alignment horizontal="center"/>
    </xf>
    <xf numFmtId="1" fontId="7" fillId="6" borderId="128" xfId="0" applyNumberFormat="1" applyFont="1" applyFill="1" applyBorder="1" applyAlignment="1" applyProtection="1">
      <alignment horizontal="center"/>
    </xf>
    <xf numFmtId="1" fontId="7" fillId="6" borderId="161" xfId="0" applyNumberFormat="1" applyFont="1" applyFill="1" applyBorder="1" applyAlignment="1" applyProtection="1">
      <alignment horizontal="center"/>
    </xf>
    <xf numFmtId="0" fontId="6" fillId="0" borderId="162" xfId="0" applyFont="1" applyFill="1" applyBorder="1" applyAlignment="1">
      <alignment horizontal="right"/>
    </xf>
    <xf numFmtId="0" fontId="7" fillId="0" borderId="40" xfId="0" applyFont="1" applyFill="1" applyBorder="1" applyAlignment="1">
      <alignment horizontal="center"/>
    </xf>
    <xf numFmtId="0" fontId="2" fillId="0" borderId="71" xfId="0" applyFont="1" applyBorder="1" applyAlignment="1" applyProtection="1">
      <alignment horizontal="left"/>
    </xf>
    <xf numFmtId="0" fontId="7" fillId="0" borderId="0" xfId="0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0" fontId="6" fillId="0" borderId="144" xfId="0" applyFont="1" applyFill="1" applyBorder="1" applyAlignment="1">
      <alignment horizontal="center"/>
    </xf>
    <xf numFmtId="0" fontId="6" fillId="0" borderId="163" xfId="0" applyFont="1" applyBorder="1"/>
    <xf numFmtId="0" fontId="6" fillId="6" borderId="49" xfId="0" applyFont="1" applyFill="1" applyBorder="1" applyAlignment="1">
      <alignment horizontal="center"/>
    </xf>
    <xf numFmtId="2" fontId="7" fillId="6" borderId="49" xfId="0" applyNumberFormat="1" applyFont="1" applyFill="1" applyBorder="1" applyAlignment="1">
      <alignment horizontal="center"/>
    </xf>
    <xf numFmtId="0" fontId="7" fillId="0" borderId="163" xfId="0" applyFont="1" applyBorder="1"/>
    <xf numFmtId="0" fontId="7" fillId="0" borderId="163" xfId="0" applyFont="1" applyBorder="1" applyAlignment="1">
      <alignment horizontal="right"/>
    </xf>
    <xf numFmtId="0" fontId="7" fillId="0" borderId="165" xfId="0" applyFont="1" applyBorder="1" applyAlignment="1">
      <alignment horizontal="right"/>
    </xf>
    <xf numFmtId="0" fontId="7" fillId="0" borderId="0" xfId="0" applyFont="1" applyBorder="1" applyAlignment="1" applyProtection="1">
      <alignment horizontal="center"/>
      <protection locked="0"/>
    </xf>
    <xf numFmtId="2" fontId="7" fillId="0" borderId="0" xfId="0" applyNumberFormat="1" applyFont="1" applyBorder="1" applyAlignment="1" applyProtection="1">
      <alignment horizontal="center"/>
      <protection locked="0"/>
    </xf>
    <xf numFmtId="0" fontId="3" fillId="5" borderId="166" xfId="0" applyNumberFormat="1" applyFont="1" applyFill="1" applyBorder="1" applyAlignment="1" applyProtection="1">
      <alignment horizontal="center"/>
    </xf>
    <xf numFmtId="0" fontId="2" fillId="5" borderId="71" xfId="0" applyFont="1" applyFill="1" applyBorder="1" applyAlignment="1" applyProtection="1">
      <alignment horizontal="center"/>
    </xf>
    <xf numFmtId="2" fontId="11" fillId="6" borderId="111" xfId="0" applyNumberFormat="1" applyFont="1" applyFill="1" applyBorder="1" applyAlignment="1" applyProtection="1">
      <alignment horizontal="center"/>
    </xf>
    <xf numFmtId="2" fontId="11" fillId="6" borderId="167" xfId="0" applyNumberFormat="1" applyFont="1" applyFill="1" applyBorder="1" applyAlignment="1" applyProtection="1">
      <alignment horizontal="center"/>
    </xf>
    <xf numFmtId="2" fontId="11" fillId="6" borderId="168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7" fillId="0" borderId="54" xfId="0" applyFont="1" applyFill="1" applyBorder="1" applyAlignment="1">
      <alignment horizontal="center"/>
    </xf>
    <xf numFmtId="2" fontId="7" fillId="6" borderId="151" xfId="0" applyNumberFormat="1" applyFont="1" applyFill="1" applyBorder="1" applyAlignment="1">
      <alignment horizontal="center"/>
    </xf>
    <xf numFmtId="0" fontId="2" fillId="5" borderId="169" xfId="0" applyNumberFormat="1" applyFont="1" applyFill="1" applyBorder="1" applyAlignment="1" applyProtection="1">
      <alignment horizontal="center"/>
    </xf>
    <xf numFmtId="0" fontId="2" fillId="5" borderId="77" xfId="0" applyFont="1" applyFill="1" applyBorder="1" applyAlignment="1" applyProtection="1">
      <alignment horizontal="left"/>
    </xf>
    <xf numFmtId="0" fontId="2" fillId="5" borderId="79" xfId="0" applyNumberFormat="1" applyFont="1" applyFill="1" applyBorder="1" applyAlignment="1" applyProtection="1">
      <alignment horizontal="left"/>
    </xf>
    <xf numFmtId="0" fontId="7" fillId="0" borderId="0" xfId="0" applyFont="1" applyFill="1" applyBorder="1" applyAlignment="1" applyProtection="1">
      <alignment horizontal="center"/>
      <protection locked="0"/>
    </xf>
    <xf numFmtId="164" fontId="0" fillId="5" borderId="8" xfId="0" applyNumberFormat="1" applyFill="1" applyBorder="1" applyAlignment="1" applyProtection="1">
      <alignment horizontal="center"/>
    </xf>
    <xf numFmtId="0" fontId="6" fillId="0" borderId="163" xfId="0" applyFont="1" applyBorder="1" applyAlignment="1">
      <alignment horizontal="left"/>
    </xf>
    <xf numFmtId="0" fontId="6" fillId="0" borderId="46" xfId="0" applyFont="1" applyBorder="1" applyAlignment="1">
      <alignment horizontal="center"/>
    </xf>
    <xf numFmtId="0" fontId="6" fillId="6" borderId="46" xfId="0" applyFont="1" applyFill="1" applyBorder="1" applyAlignment="1">
      <alignment horizontal="center"/>
    </xf>
    <xf numFmtId="0" fontId="6" fillId="9" borderId="170" xfId="0" applyFont="1" applyFill="1" applyBorder="1" applyAlignment="1">
      <alignment horizontal="center"/>
    </xf>
    <xf numFmtId="0" fontId="2" fillId="8" borderId="0" xfId="0" applyNumberFormat="1" applyFont="1" applyFill="1" applyBorder="1" applyProtection="1"/>
    <xf numFmtId="0" fontId="0" fillId="4" borderId="35" xfId="0" applyFill="1" applyBorder="1" applyProtection="1"/>
    <xf numFmtId="0" fontId="2" fillId="8" borderId="102" xfId="0" applyNumberFormat="1" applyFont="1" applyFill="1" applyBorder="1" applyProtection="1"/>
    <xf numFmtId="0" fontId="2" fillId="0" borderId="102" xfId="0" applyFont="1" applyFill="1" applyBorder="1" applyAlignment="1" applyProtection="1">
      <alignment horizontal="left"/>
    </xf>
    <xf numFmtId="164" fontId="2" fillId="0" borderId="102" xfId="0" applyNumberFormat="1" applyFont="1" applyFill="1" applyBorder="1" applyAlignment="1" applyProtection="1">
      <alignment horizontal="right"/>
    </xf>
    <xf numFmtId="0" fontId="2" fillId="4" borderId="102" xfId="0" applyFont="1" applyFill="1" applyBorder="1" applyProtection="1"/>
    <xf numFmtId="0" fontId="0" fillId="4" borderId="0" xfId="0" applyFill="1" applyBorder="1"/>
    <xf numFmtId="0" fontId="11" fillId="6" borderId="173" xfId="0" applyFont="1" applyFill="1" applyBorder="1" applyProtection="1"/>
    <xf numFmtId="2" fontId="11" fillId="6" borderId="173" xfId="0" applyNumberFormat="1" applyFont="1" applyFill="1" applyBorder="1" applyProtection="1"/>
    <xf numFmtId="0" fontId="11" fillId="4" borderId="174" xfId="0" applyFont="1" applyFill="1" applyBorder="1" applyProtection="1"/>
    <xf numFmtId="0" fontId="11" fillId="6" borderId="49" xfId="0" applyFont="1" applyFill="1" applyBorder="1" applyProtection="1"/>
    <xf numFmtId="2" fontId="11" fillId="6" borderId="49" xfId="0" applyNumberFormat="1" applyFont="1" applyFill="1" applyBorder="1" applyProtection="1"/>
    <xf numFmtId="0" fontId="11" fillId="4" borderId="175" xfId="0" applyFont="1" applyFill="1" applyBorder="1" applyProtection="1"/>
    <xf numFmtId="0" fontId="11" fillId="6" borderId="176" xfId="0" applyFont="1" applyFill="1" applyBorder="1" applyProtection="1"/>
    <xf numFmtId="2" fontId="11" fillId="6" borderId="176" xfId="0" applyNumberFormat="1" applyFont="1" applyFill="1" applyBorder="1" applyProtection="1"/>
    <xf numFmtId="0" fontId="11" fillId="4" borderId="177" xfId="0" applyFont="1" applyFill="1" applyBorder="1" applyProtection="1"/>
    <xf numFmtId="0" fontId="11" fillId="6" borderId="46" xfId="0" applyFont="1" applyFill="1" applyBorder="1" applyProtection="1"/>
    <xf numFmtId="2" fontId="11" fillId="6" borderId="46" xfId="0" applyNumberFormat="1" applyFont="1" applyFill="1" applyBorder="1" applyProtection="1"/>
    <xf numFmtId="0" fontId="11" fillId="4" borderId="178" xfId="0" applyFont="1" applyFill="1" applyBorder="1" applyProtection="1"/>
    <xf numFmtId="0" fontId="11" fillId="6" borderId="179" xfId="0" applyFont="1" applyFill="1" applyBorder="1" applyProtection="1"/>
    <xf numFmtId="2" fontId="11" fillId="6" borderId="179" xfId="0" applyNumberFormat="1" applyFont="1" applyFill="1" applyBorder="1" applyProtection="1"/>
    <xf numFmtId="0" fontId="11" fillId="4" borderId="180" xfId="0" applyFont="1" applyFill="1" applyBorder="1" applyProtection="1"/>
    <xf numFmtId="164" fontId="5" fillId="5" borderId="71" xfId="0" applyNumberFormat="1" applyFont="1" applyFill="1" applyBorder="1" applyProtection="1"/>
    <xf numFmtId="164" fontId="3" fillId="5" borderId="71" xfId="0" applyNumberFormat="1" applyFont="1" applyFill="1" applyBorder="1" applyProtection="1"/>
    <xf numFmtId="164" fontId="3" fillId="5" borderId="71" xfId="0" applyNumberFormat="1" applyFont="1" applyFill="1" applyBorder="1" applyProtection="1">
      <protection locked="0"/>
    </xf>
    <xf numFmtId="164" fontId="3" fillId="5" borderId="102" xfId="0" applyNumberFormat="1" applyFont="1" applyFill="1" applyBorder="1" applyProtection="1"/>
    <xf numFmtId="0" fontId="2" fillId="7" borderId="86" xfId="0" applyFont="1" applyFill="1" applyBorder="1" applyAlignment="1" applyProtection="1">
      <alignment horizontal="center"/>
    </xf>
    <xf numFmtId="166" fontId="3" fillId="4" borderId="5" xfId="0" applyNumberFormat="1" applyFont="1" applyFill="1" applyBorder="1" applyAlignment="1" applyProtection="1">
      <alignment horizontal="right"/>
    </xf>
    <xf numFmtId="166" fontId="11" fillId="6" borderId="173" xfId="0" applyNumberFormat="1" applyFont="1" applyFill="1" applyBorder="1" applyProtection="1"/>
    <xf numFmtId="166" fontId="11" fillId="6" borderId="49" xfId="0" applyNumberFormat="1" applyFont="1" applyFill="1" applyBorder="1" applyProtection="1"/>
    <xf numFmtId="166" fontId="11" fillId="6" borderId="179" xfId="0" applyNumberFormat="1" applyFont="1" applyFill="1" applyBorder="1" applyProtection="1"/>
    <xf numFmtId="166" fontId="11" fillId="6" borderId="46" xfId="0" applyNumberFormat="1" applyFont="1" applyFill="1" applyBorder="1" applyProtection="1"/>
    <xf numFmtId="166" fontId="11" fillId="6" borderId="176" xfId="0" applyNumberFormat="1" applyFont="1" applyFill="1" applyBorder="1" applyProtection="1"/>
    <xf numFmtId="166" fontId="7" fillId="6" borderId="141" xfId="0" applyNumberFormat="1" applyFont="1" applyFill="1" applyBorder="1" applyAlignment="1" applyProtection="1">
      <alignment horizontal="center"/>
    </xf>
    <xf numFmtId="166" fontId="7" fillId="6" borderId="140" xfId="0" applyNumberFormat="1" applyFont="1" applyFill="1" applyBorder="1" applyAlignment="1" applyProtection="1">
      <alignment horizontal="center"/>
    </xf>
    <xf numFmtId="166" fontId="7" fillId="6" borderId="101" xfId="0" applyNumberFormat="1" applyFont="1" applyFill="1" applyBorder="1" applyAlignment="1" applyProtection="1">
      <alignment horizontal="center"/>
    </xf>
    <xf numFmtId="166" fontId="7" fillId="6" borderId="67" xfId="0" applyNumberFormat="1" applyFont="1" applyFill="1" applyBorder="1" applyAlignment="1" applyProtection="1">
      <alignment horizontal="center"/>
    </xf>
    <xf numFmtId="164" fontId="7" fillId="6" borderId="67" xfId="0" applyNumberFormat="1" applyFont="1" applyFill="1" applyBorder="1" applyAlignment="1" applyProtection="1">
      <alignment horizontal="center"/>
    </xf>
    <xf numFmtId="0" fontId="2" fillId="0" borderId="5" xfId="0" applyFont="1" applyBorder="1" applyAlignment="1">
      <alignment horizontal="center"/>
    </xf>
    <xf numFmtId="0" fontId="0" fillId="0" borderId="5" xfId="0" applyBorder="1"/>
    <xf numFmtId="0" fontId="2" fillId="6" borderId="5" xfId="0" applyFont="1" applyFill="1" applyBorder="1" applyAlignment="1">
      <alignment horizontal="center" wrapText="1"/>
    </xf>
    <xf numFmtId="0" fontId="2" fillId="4" borderId="5" xfId="0" applyFont="1" applyFill="1" applyBorder="1" applyAlignment="1">
      <alignment horizontal="center" wrapText="1"/>
    </xf>
    <xf numFmtId="164" fontId="2" fillId="4" borderId="2" xfId="0" applyNumberFormat="1" applyFont="1" applyFill="1" applyBorder="1" applyAlignment="1">
      <alignment horizontal="center" wrapText="1"/>
    </xf>
    <xf numFmtId="0" fontId="2" fillId="4" borderId="2" xfId="0" applyFont="1" applyFill="1" applyBorder="1" applyAlignment="1">
      <alignment horizontal="center" wrapText="1"/>
    </xf>
    <xf numFmtId="0" fontId="13" fillId="4" borderId="5" xfId="0" applyFont="1" applyFill="1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5" fillId="6" borderId="104" xfId="0" applyFont="1" applyFill="1" applyBorder="1" applyProtection="1"/>
    <xf numFmtId="0" fontId="5" fillId="6" borderId="106" xfId="0" applyFont="1" applyFill="1" applyBorder="1" applyProtection="1"/>
    <xf numFmtId="0" fontId="5" fillId="6" borderId="181" xfId="0" applyFont="1" applyFill="1" applyBorder="1" applyProtection="1"/>
    <xf numFmtId="0" fontId="5" fillId="6" borderId="99" xfId="0" applyFont="1" applyFill="1" applyBorder="1" applyProtection="1"/>
    <xf numFmtId="165" fontId="11" fillId="6" borderId="182" xfId="0" applyNumberFormat="1" applyFont="1" applyFill="1" applyBorder="1" applyProtection="1"/>
    <xf numFmtId="165" fontId="11" fillId="6" borderId="183" xfId="0" applyNumberFormat="1" applyFont="1" applyFill="1" applyBorder="1" applyProtection="1"/>
    <xf numFmtId="0" fontId="11" fillId="6" borderId="151" xfId="0" applyFont="1" applyFill="1" applyBorder="1" applyProtection="1"/>
    <xf numFmtId="0" fontId="11" fillId="6" borderId="56" xfId="0" applyFont="1" applyFill="1" applyBorder="1" applyProtection="1"/>
    <xf numFmtId="0" fontId="11" fillId="6" borderId="184" xfId="0" applyFont="1" applyFill="1" applyBorder="1" applyProtection="1"/>
    <xf numFmtId="0" fontId="11" fillId="6" borderId="185" xfId="0" applyFont="1" applyFill="1" applyBorder="1" applyProtection="1"/>
    <xf numFmtId="0" fontId="11" fillId="6" borderId="57" xfId="0" applyFont="1" applyFill="1" applyBorder="1" applyProtection="1"/>
    <xf numFmtId="0" fontId="11" fillId="6" borderId="150" xfId="0" applyFont="1" applyFill="1" applyBorder="1" applyProtection="1"/>
    <xf numFmtId="0" fontId="11" fillId="6" borderId="186" xfId="0" applyFont="1" applyFill="1" applyBorder="1" applyProtection="1"/>
    <xf numFmtId="0" fontId="11" fillId="6" borderId="187" xfId="0" applyFont="1" applyFill="1" applyBorder="1" applyProtection="1"/>
    <xf numFmtId="167" fontId="11" fillId="6" borderId="173" xfId="0" applyNumberFormat="1" applyFont="1" applyFill="1" applyBorder="1" applyProtection="1"/>
    <xf numFmtId="167" fontId="11" fillId="6" borderId="49" xfId="0" applyNumberFormat="1" applyFont="1" applyFill="1" applyBorder="1" applyProtection="1"/>
    <xf numFmtId="167" fontId="11" fillId="6" borderId="179" xfId="0" applyNumberFormat="1" applyFont="1" applyFill="1" applyBorder="1" applyProtection="1"/>
    <xf numFmtId="167" fontId="11" fillId="6" borderId="46" xfId="0" applyNumberFormat="1" applyFont="1" applyFill="1" applyBorder="1" applyProtection="1"/>
    <xf numFmtId="167" fontId="11" fillId="6" borderId="176" xfId="0" applyNumberFormat="1" applyFont="1" applyFill="1" applyBorder="1" applyProtection="1"/>
    <xf numFmtId="167" fontId="0" fillId="4" borderId="5" xfId="0" applyNumberFormat="1" applyFill="1" applyBorder="1"/>
    <xf numFmtId="0" fontId="6" fillId="6" borderId="188" xfId="0" applyFont="1" applyFill="1" applyBorder="1" applyAlignment="1" applyProtection="1">
      <alignment horizontal="left"/>
    </xf>
    <xf numFmtId="2" fontId="7" fillId="6" borderId="189" xfId="0" applyNumberFormat="1" applyFont="1" applyFill="1" applyBorder="1" applyAlignment="1" applyProtection="1">
      <alignment horizontal="center"/>
    </xf>
    <xf numFmtId="2" fontId="7" fillId="6" borderId="129" xfId="0" applyNumberFormat="1" applyFont="1" applyFill="1" applyBorder="1" applyAlignment="1" applyProtection="1">
      <alignment horizontal="center"/>
    </xf>
    <xf numFmtId="2" fontId="7" fillId="6" borderId="190" xfId="0" applyNumberFormat="1" applyFont="1" applyFill="1" applyBorder="1" applyAlignment="1" applyProtection="1">
      <alignment horizontal="center"/>
    </xf>
    <xf numFmtId="1" fontId="7" fillId="6" borderId="52" xfId="0" applyNumberFormat="1" applyFont="1" applyFill="1" applyBorder="1" applyAlignment="1" applyProtection="1">
      <alignment horizontal="center"/>
    </xf>
    <xf numFmtId="166" fontId="11" fillId="6" borderId="67" xfId="0" applyNumberFormat="1" applyFont="1" applyFill="1" applyBorder="1" applyProtection="1"/>
    <xf numFmtId="0" fontId="11" fillId="6" borderId="102" xfId="0" applyFont="1" applyFill="1" applyBorder="1" applyProtection="1"/>
    <xf numFmtId="2" fontId="11" fillId="6" borderId="102" xfId="0" applyNumberFormat="1" applyFont="1" applyFill="1" applyBorder="1" applyProtection="1"/>
    <xf numFmtId="166" fontId="11" fillId="6" borderId="102" xfId="0" applyNumberFormat="1" applyFont="1" applyFill="1" applyBorder="1" applyProtection="1"/>
    <xf numFmtId="0" fontId="11" fillId="4" borderId="191" xfId="0" applyFont="1" applyFill="1" applyBorder="1" applyProtection="1"/>
    <xf numFmtId="167" fontId="11" fillId="6" borderId="182" xfId="0" applyNumberFormat="1" applyFont="1" applyFill="1" applyBorder="1" applyProtection="1"/>
    <xf numFmtId="0" fontId="11" fillId="6" borderId="183" xfId="0" applyFont="1" applyFill="1" applyBorder="1" applyProtection="1"/>
    <xf numFmtId="0" fontId="11" fillId="6" borderId="98" xfId="0" applyFont="1" applyFill="1" applyBorder="1" applyProtection="1"/>
    <xf numFmtId="2" fontId="11" fillId="6" borderId="98" xfId="0" applyNumberFormat="1" applyFont="1" applyFill="1" applyBorder="1" applyProtection="1"/>
    <xf numFmtId="166" fontId="11" fillId="6" borderId="98" xfId="0" applyNumberFormat="1" applyFont="1" applyFill="1" applyBorder="1" applyProtection="1"/>
    <xf numFmtId="0" fontId="5" fillId="6" borderId="193" xfId="0" applyFont="1" applyFill="1" applyBorder="1" applyAlignment="1" applyProtection="1">
      <alignment horizontal="left"/>
    </xf>
    <xf numFmtId="2" fontId="11" fillId="6" borderId="194" xfId="0" applyNumberFormat="1" applyFont="1" applyFill="1" applyBorder="1" applyAlignment="1" applyProtection="1">
      <alignment horizontal="center"/>
    </xf>
    <xf numFmtId="2" fontId="11" fillId="6" borderId="195" xfId="0" applyNumberFormat="1" applyFont="1" applyFill="1" applyBorder="1" applyAlignment="1" applyProtection="1">
      <alignment horizontal="center"/>
    </xf>
    <xf numFmtId="2" fontId="11" fillId="6" borderId="196" xfId="0" applyNumberFormat="1" applyFont="1" applyFill="1" applyBorder="1" applyAlignment="1" applyProtection="1">
      <alignment horizontal="center"/>
    </xf>
    <xf numFmtId="2" fontId="11" fillId="6" borderId="197" xfId="0" applyNumberFormat="1" applyFont="1" applyFill="1" applyBorder="1" applyAlignment="1" applyProtection="1">
      <alignment horizontal="center"/>
    </xf>
    <xf numFmtId="2" fontId="5" fillId="6" borderId="198" xfId="0" applyNumberFormat="1" applyFont="1" applyFill="1" applyBorder="1" applyAlignment="1" applyProtection="1">
      <alignment horizontal="left"/>
    </xf>
    <xf numFmtId="2" fontId="15" fillId="6" borderId="199" xfId="0" applyNumberFormat="1" applyFont="1" applyFill="1" applyBorder="1" applyAlignment="1" applyProtection="1">
      <alignment horizontal="center"/>
    </xf>
    <xf numFmtId="2" fontId="15" fillId="6" borderId="200" xfId="0" applyNumberFormat="1" applyFont="1" applyFill="1" applyBorder="1" applyAlignment="1" applyProtection="1">
      <alignment horizontal="center"/>
    </xf>
    <xf numFmtId="2" fontId="15" fillId="6" borderId="201" xfId="0" applyNumberFormat="1" applyFont="1" applyFill="1" applyBorder="1" applyAlignment="1" applyProtection="1">
      <alignment horizontal="center"/>
    </xf>
    <xf numFmtId="2" fontId="15" fillId="6" borderId="202" xfId="0" applyNumberFormat="1" applyFont="1" applyFill="1" applyBorder="1" applyAlignment="1" applyProtection="1">
      <alignment horizontal="center"/>
    </xf>
    <xf numFmtId="2" fontId="11" fillId="6" borderId="203" xfId="0" applyNumberFormat="1" applyFont="1" applyFill="1" applyBorder="1" applyAlignment="1" applyProtection="1">
      <alignment horizontal="center"/>
    </xf>
    <xf numFmtId="2" fontId="5" fillId="6" borderId="193" xfId="0" applyNumberFormat="1" applyFont="1" applyFill="1" applyBorder="1" applyAlignment="1" applyProtection="1">
      <alignment horizontal="left"/>
    </xf>
    <xf numFmtId="2" fontId="15" fillId="6" borderId="194" xfId="0" applyNumberFormat="1" applyFont="1" applyFill="1" applyBorder="1" applyAlignment="1" applyProtection="1">
      <alignment horizontal="center"/>
    </xf>
    <xf numFmtId="2" fontId="15" fillId="6" borderId="195" xfId="0" applyNumberFormat="1" applyFont="1" applyFill="1" applyBorder="1" applyAlignment="1" applyProtection="1">
      <alignment horizontal="center"/>
    </xf>
    <xf numFmtId="2" fontId="15" fillId="6" borderId="196" xfId="0" applyNumberFormat="1" applyFont="1" applyFill="1" applyBorder="1" applyAlignment="1" applyProtection="1">
      <alignment horizontal="center"/>
    </xf>
    <xf numFmtId="2" fontId="15" fillId="6" borderId="204" xfId="0" applyNumberFormat="1" applyFont="1" applyFill="1" applyBorder="1" applyAlignment="1" applyProtection="1">
      <alignment horizontal="center"/>
    </xf>
    <xf numFmtId="0" fontId="11" fillId="6" borderId="205" xfId="0" applyFont="1" applyFill="1" applyBorder="1" applyProtection="1"/>
    <xf numFmtId="0" fontId="11" fillId="6" borderId="206" xfId="0" applyFont="1" applyFill="1" applyBorder="1" applyProtection="1"/>
    <xf numFmtId="2" fontId="11" fillId="6" borderId="206" xfId="0" applyNumberFormat="1" applyFont="1" applyFill="1" applyBorder="1" applyProtection="1"/>
    <xf numFmtId="166" fontId="11" fillId="6" borderId="206" xfId="0" applyNumberFormat="1" applyFont="1" applyFill="1" applyBorder="1" applyProtection="1"/>
    <xf numFmtId="0" fontId="11" fillId="4" borderId="207" xfId="0" applyFont="1" applyFill="1" applyBorder="1" applyProtection="1"/>
    <xf numFmtId="0" fontId="5" fillId="6" borderId="77" xfId="0" applyFont="1" applyFill="1" applyBorder="1" applyAlignment="1" applyProtection="1"/>
    <xf numFmtId="165" fontId="7" fillId="6" borderId="140" xfId="0" applyNumberFormat="1" applyFont="1" applyFill="1" applyBorder="1" applyAlignment="1" applyProtection="1">
      <alignment horizontal="left"/>
    </xf>
    <xf numFmtId="165" fontId="7" fillId="6" borderId="141" xfId="0" applyNumberFormat="1" applyFont="1" applyFill="1" applyBorder="1" applyAlignment="1" applyProtection="1">
      <alignment horizontal="left"/>
    </xf>
    <xf numFmtId="164" fontId="7" fillId="6" borderId="101" xfId="0" applyNumberFormat="1" applyFont="1" applyFill="1" applyBorder="1" applyAlignment="1" applyProtection="1">
      <alignment horizontal="center"/>
    </xf>
    <xf numFmtId="2" fontId="7" fillId="6" borderId="101" xfId="0" applyNumberFormat="1" applyFont="1" applyFill="1" applyBorder="1" applyAlignment="1" applyProtection="1">
      <alignment horizontal="center"/>
    </xf>
    <xf numFmtId="165" fontId="7" fillId="6" borderId="99" xfId="0" applyNumberFormat="1" applyFont="1" applyFill="1" applyBorder="1" applyAlignment="1" applyProtection="1">
      <alignment horizontal="left"/>
    </xf>
    <xf numFmtId="165" fontId="7" fillId="6" borderId="99" xfId="0" applyNumberFormat="1" applyFont="1" applyFill="1" applyBorder="1" applyAlignment="1" applyProtection="1">
      <alignment horizontal="center"/>
    </xf>
    <xf numFmtId="0" fontId="7" fillId="6" borderId="99" xfId="0" applyNumberFormat="1" applyFont="1" applyFill="1" applyBorder="1" applyAlignment="1" applyProtection="1">
      <alignment horizontal="center"/>
    </xf>
    <xf numFmtId="1" fontId="7" fillId="6" borderId="99" xfId="0" applyNumberFormat="1" applyFont="1" applyFill="1" applyBorder="1" applyAlignment="1" applyProtection="1">
      <alignment horizontal="center"/>
    </xf>
    <xf numFmtId="2" fontId="7" fillId="6" borderId="99" xfId="0" applyNumberFormat="1" applyFont="1" applyFill="1" applyBorder="1" applyAlignment="1" applyProtection="1">
      <alignment horizontal="center"/>
    </xf>
    <xf numFmtId="166" fontId="7" fillId="6" borderId="99" xfId="0" applyNumberFormat="1" applyFont="1" applyFill="1" applyBorder="1" applyAlignment="1" applyProtection="1">
      <alignment horizontal="center"/>
    </xf>
    <xf numFmtId="164" fontId="7" fillId="6" borderId="98" xfId="0" applyNumberFormat="1" applyFont="1" applyFill="1" applyBorder="1" applyAlignment="1" applyProtection="1">
      <alignment horizontal="center"/>
    </xf>
    <xf numFmtId="166" fontId="7" fillId="6" borderId="98" xfId="0" applyNumberFormat="1" applyFont="1" applyFill="1" applyBorder="1" applyAlignment="1" applyProtection="1">
      <alignment horizontal="center"/>
    </xf>
    <xf numFmtId="2" fontId="7" fillId="6" borderId="102" xfId="0" applyNumberFormat="1" applyFont="1" applyFill="1" applyBorder="1" applyAlignment="1" applyProtection="1">
      <alignment horizontal="center"/>
    </xf>
    <xf numFmtId="0" fontId="7" fillId="6" borderId="210" xfId="0" applyFont="1" applyFill="1" applyBorder="1" applyAlignment="1" applyProtection="1"/>
    <xf numFmtId="0" fontId="7" fillId="6" borderId="211" xfId="0" applyFont="1" applyFill="1" applyBorder="1" applyAlignment="1" applyProtection="1"/>
    <xf numFmtId="2" fontId="7" fillId="6" borderId="98" xfId="0" applyNumberFormat="1" applyFont="1" applyFill="1" applyBorder="1" applyAlignment="1" applyProtection="1">
      <alignment horizontal="center"/>
    </xf>
    <xf numFmtId="2" fontId="7" fillId="6" borderId="181" xfId="0" applyNumberFormat="1" applyFont="1" applyFill="1" applyBorder="1" applyAlignment="1" applyProtection="1">
      <alignment horizontal="left"/>
    </xf>
    <xf numFmtId="0" fontId="7" fillId="6" borderId="102" xfId="0" applyFont="1" applyFill="1" applyBorder="1" applyAlignment="1" applyProtection="1">
      <alignment horizontal="center"/>
    </xf>
    <xf numFmtId="0" fontId="7" fillId="6" borderId="192" xfId="0" applyFont="1" applyFill="1" applyBorder="1" applyAlignment="1" applyProtection="1">
      <alignment horizontal="center"/>
    </xf>
    <xf numFmtId="1" fontId="7" fillId="6" borderId="192" xfId="0" applyNumberFormat="1" applyFont="1" applyFill="1" applyBorder="1" applyAlignment="1" applyProtection="1">
      <alignment horizontal="center"/>
    </xf>
    <xf numFmtId="1" fontId="7" fillId="6" borderId="102" xfId="0" applyNumberFormat="1" applyFont="1" applyFill="1" applyBorder="1" applyAlignment="1" applyProtection="1">
      <alignment horizontal="center"/>
    </xf>
    <xf numFmtId="166" fontId="7" fillId="6" borderId="192" xfId="0" applyNumberFormat="1" applyFont="1" applyFill="1" applyBorder="1" applyAlignment="1" applyProtection="1">
      <alignment horizontal="center"/>
    </xf>
    <xf numFmtId="164" fontId="7" fillId="6" borderId="102" xfId="0" applyNumberFormat="1" applyFont="1" applyFill="1" applyBorder="1" applyAlignment="1" applyProtection="1">
      <alignment horizontal="center"/>
    </xf>
    <xf numFmtId="166" fontId="7" fillId="6" borderId="102" xfId="0" applyNumberFormat="1" applyFont="1" applyFill="1" applyBorder="1" applyAlignment="1" applyProtection="1">
      <alignment horizontal="center"/>
    </xf>
    <xf numFmtId="2" fontId="7" fillId="6" borderId="192" xfId="0" applyNumberFormat="1" applyFont="1" applyFill="1" applyBorder="1" applyAlignment="1" applyProtection="1">
      <alignment horizontal="center"/>
    </xf>
    <xf numFmtId="0" fontId="7" fillId="6" borderId="101" xfId="0" applyFont="1" applyFill="1" applyBorder="1" applyAlignment="1" applyProtection="1">
      <alignment horizontal="center"/>
    </xf>
    <xf numFmtId="0" fontId="7" fillId="6" borderId="141" xfId="0" applyFont="1" applyFill="1" applyBorder="1" applyAlignment="1" applyProtection="1">
      <alignment horizontal="center"/>
    </xf>
    <xf numFmtId="1" fontId="7" fillId="6" borderId="101" xfId="0" applyNumberFormat="1" applyFont="1" applyFill="1" applyBorder="1" applyAlignment="1" applyProtection="1">
      <alignment horizontal="center"/>
    </xf>
    <xf numFmtId="2" fontId="7" fillId="6" borderId="212" xfId="0" applyNumberFormat="1" applyFont="1" applyFill="1" applyBorder="1" applyAlignment="1" applyProtection="1">
      <alignment horizontal="left"/>
    </xf>
    <xf numFmtId="0" fontId="7" fillId="5" borderId="49" xfId="0" applyFont="1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0" fontId="2" fillId="0" borderId="0" xfId="0" applyFont="1" applyFill="1" applyBorder="1" applyAlignment="1">
      <alignment horizontal="center" wrapText="1"/>
    </xf>
    <xf numFmtId="0" fontId="0" fillId="0" borderId="172" xfId="0" applyBorder="1" applyAlignment="1"/>
    <xf numFmtId="0" fontId="0" fillId="0" borderId="0" xfId="0" applyFont="1" applyBorder="1"/>
    <xf numFmtId="165" fontId="0" fillId="2" borderId="33" xfId="0" applyNumberFormat="1" applyFont="1" applyFill="1" applyBorder="1" applyAlignment="1" applyProtection="1">
      <alignment horizontal="center"/>
    </xf>
    <xf numFmtId="49" fontId="0" fillId="2" borderId="74" xfId="0" applyNumberFormat="1" applyFont="1" applyFill="1" applyBorder="1" applyAlignment="1" applyProtection="1">
      <alignment horizontal="center"/>
    </xf>
    <xf numFmtId="49" fontId="35" fillId="2" borderId="214" xfId="1" applyNumberFormat="1" applyFont="1" applyFill="1" applyBorder="1" applyAlignment="1" applyProtection="1">
      <alignment horizontal="center"/>
    </xf>
    <xf numFmtId="14" fontId="7" fillId="6" borderId="208" xfId="0" applyNumberFormat="1" applyFont="1" applyFill="1" applyBorder="1" applyAlignment="1" applyProtection="1">
      <alignment horizontal="center"/>
    </xf>
    <xf numFmtId="14" fontId="7" fillId="6" borderId="139" xfId="0" applyNumberFormat="1" applyFont="1" applyFill="1" applyBorder="1" applyAlignment="1" applyProtection="1">
      <alignment horizontal="center"/>
    </xf>
    <xf numFmtId="14" fontId="7" fillId="6" borderId="209" xfId="0" applyNumberFormat="1" applyFont="1" applyFill="1" applyBorder="1" applyAlignment="1" applyProtection="1">
      <alignment horizontal="center"/>
    </xf>
    <xf numFmtId="0" fontId="36" fillId="10" borderId="59" xfId="0" applyFont="1" applyFill="1" applyBorder="1" applyAlignment="1">
      <alignment horizontal="center" wrapText="1"/>
    </xf>
    <xf numFmtId="0" fontId="36" fillId="10" borderId="23" xfId="0" applyFont="1" applyFill="1" applyBorder="1" applyAlignment="1">
      <alignment horizontal="center" wrapText="1"/>
    </xf>
    <xf numFmtId="0" fontId="33" fillId="10" borderId="163" xfId="0" applyFont="1" applyFill="1" applyBorder="1" applyAlignment="1">
      <alignment horizontal="center"/>
    </xf>
    <xf numFmtId="0" fontId="33" fillId="10" borderId="49" xfId="0" applyFont="1" applyFill="1" applyBorder="1"/>
    <xf numFmtId="0" fontId="34" fillId="10" borderId="163" xfId="0" applyFont="1" applyFill="1" applyBorder="1" applyAlignment="1">
      <alignment horizontal="center"/>
    </xf>
    <xf numFmtId="0" fontId="37" fillId="10" borderId="49" xfId="0" applyFont="1" applyFill="1" applyBorder="1"/>
    <xf numFmtId="0" fontId="34" fillId="10" borderId="215" xfId="0" applyFont="1" applyFill="1" applyBorder="1" applyAlignment="1">
      <alignment horizontal="center"/>
    </xf>
    <xf numFmtId="0" fontId="37" fillId="10" borderId="173" xfId="0" applyFont="1" applyFill="1" applyBorder="1"/>
    <xf numFmtId="0" fontId="38" fillId="0" borderId="164" xfId="0" applyFont="1" applyFill="1" applyBorder="1" applyAlignment="1" applyProtection="1">
      <alignment horizontal="center"/>
      <protection locked="0"/>
    </xf>
    <xf numFmtId="0" fontId="39" fillId="0" borderId="164" xfId="0" applyFont="1" applyFill="1" applyBorder="1" applyAlignment="1" applyProtection="1">
      <alignment horizontal="center"/>
      <protection locked="0"/>
    </xf>
    <xf numFmtId="0" fontId="40" fillId="14" borderId="150" xfId="5" applyBorder="1"/>
    <xf numFmtId="0" fontId="40" fillId="14" borderId="46" xfId="5" applyBorder="1"/>
    <xf numFmtId="0" fontId="40" fillId="14" borderId="46" xfId="5" applyBorder="1" applyAlignment="1">
      <alignment horizontal="center"/>
    </xf>
    <xf numFmtId="0" fontId="40" fillId="14" borderId="57" xfId="5" applyBorder="1"/>
    <xf numFmtId="0" fontId="0" fillId="4" borderId="56" xfId="0" applyFill="1" applyBorder="1"/>
    <xf numFmtId="0" fontId="0" fillId="4" borderId="49" xfId="0" applyFill="1" applyBorder="1"/>
    <xf numFmtId="0" fontId="0" fillId="17" borderId="49" xfId="0" applyFill="1" applyBorder="1"/>
    <xf numFmtId="49" fontId="0" fillId="17" borderId="49" xfId="0" applyNumberFormat="1" applyFill="1" applyBorder="1" applyAlignment="1">
      <alignment horizontal="center"/>
    </xf>
    <xf numFmtId="0" fontId="0" fillId="17" borderId="49" xfId="0" applyFill="1" applyBorder="1" applyAlignment="1">
      <alignment horizontal="center"/>
    </xf>
    <xf numFmtId="0" fontId="0" fillId="17" borderId="151" xfId="0" applyFill="1" applyBorder="1"/>
    <xf numFmtId="0" fontId="0" fillId="4" borderId="49" xfId="0" applyFill="1" applyBorder="1" applyAlignment="1">
      <alignment horizontal="center"/>
    </xf>
    <xf numFmtId="0" fontId="0" fillId="4" borderId="216" xfId="0" applyFill="1" applyBorder="1"/>
    <xf numFmtId="0" fontId="0" fillId="4" borderId="217" xfId="0" applyFill="1" applyBorder="1"/>
    <xf numFmtId="0" fontId="0" fillId="4" borderId="217" xfId="0" applyFill="1" applyBorder="1" applyAlignment="1">
      <alignment horizontal="center"/>
    </xf>
    <xf numFmtId="0" fontId="0" fillId="17" borderId="217" xfId="0" applyFill="1" applyBorder="1" applyAlignment="1">
      <alignment horizontal="center"/>
    </xf>
    <xf numFmtId="0" fontId="0" fillId="17" borderId="218" xfId="0" applyFill="1" applyBorder="1"/>
    <xf numFmtId="0" fontId="0" fillId="4" borderId="218" xfId="0" applyFill="1" applyBorder="1" applyAlignment="1">
      <alignment horizontal="center"/>
    </xf>
    <xf numFmtId="0" fontId="0" fillId="17" borderId="195" xfId="0" applyFill="1" applyBorder="1"/>
    <xf numFmtId="0" fontId="40" fillId="12" borderId="219" xfId="3" applyBorder="1" applyAlignment="1">
      <alignment horizontal="center"/>
    </xf>
    <xf numFmtId="0" fontId="1" fillId="13" borderId="220" xfId="4" applyBorder="1" applyAlignment="1">
      <alignment horizontal="center"/>
    </xf>
    <xf numFmtId="0" fontId="1" fillId="13" borderId="221" xfId="4" applyBorder="1" applyAlignment="1">
      <alignment horizontal="center"/>
    </xf>
    <xf numFmtId="0" fontId="0" fillId="0" borderId="0" xfId="0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98" xfId="0" applyBorder="1" applyAlignment="1">
      <alignment horizontal="center"/>
    </xf>
    <xf numFmtId="0" fontId="7" fillId="18" borderId="12" xfId="0" applyFont="1" applyFill="1" applyBorder="1" applyAlignment="1" applyProtection="1">
      <alignment horizontal="center"/>
      <protection locked="0"/>
    </xf>
    <xf numFmtId="0" fontId="7" fillId="18" borderId="11" xfId="0" applyFont="1" applyFill="1" applyBorder="1" applyAlignment="1" applyProtection="1">
      <alignment horizontal="center"/>
      <protection locked="0"/>
    </xf>
    <xf numFmtId="0" fontId="0" fillId="0" borderId="173" xfId="0" applyBorder="1"/>
    <xf numFmtId="0" fontId="0" fillId="0" borderId="49" xfId="0" applyBorder="1"/>
    <xf numFmtId="0" fontId="0" fillId="0" borderId="179" xfId="0" applyBorder="1"/>
    <xf numFmtId="0" fontId="1" fillId="16" borderId="12" xfId="7" applyNumberFormat="1" applyFont="1" applyBorder="1" applyAlignment="1" applyProtection="1">
      <alignment horizontal="center"/>
      <protection locked="0"/>
    </xf>
    <xf numFmtId="0" fontId="7" fillId="18" borderId="12" xfId="0" applyNumberFormat="1" applyFont="1" applyFill="1" applyBorder="1" applyAlignment="1" applyProtection="1">
      <alignment horizontal="center"/>
      <protection locked="0"/>
    </xf>
    <xf numFmtId="49" fontId="7" fillId="18" borderId="13" xfId="0" applyNumberFormat="1" applyFont="1" applyFill="1" applyBorder="1" applyAlignment="1" applyProtection="1">
      <alignment horizontal="center"/>
      <protection locked="0"/>
    </xf>
    <xf numFmtId="0" fontId="1" fillId="11" borderId="1" xfId="2" applyNumberFormat="1" applyBorder="1" applyAlignment="1">
      <alignment horizontal="center"/>
    </xf>
    <xf numFmtId="0" fontId="3" fillId="5" borderId="75" xfId="0" applyNumberFormat="1" applyFont="1" applyFill="1" applyBorder="1" applyProtection="1"/>
    <xf numFmtId="6" fontId="2" fillId="5" borderId="125" xfId="0" applyNumberFormat="1" applyFont="1" applyFill="1" applyBorder="1" applyProtection="1"/>
    <xf numFmtId="6" fontId="2" fillId="5" borderId="91" xfId="0" applyNumberFormat="1" applyFont="1" applyFill="1" applyBorder="1" applyProtection="1"/>
    <xf numFmtId="165" fontId="0" fillId="2" borderId="33" xfId="0" applyNumberFormat="1" applyFill="1" applyBorder="1" applyAlignment="1" applyProtection="1">
      <alignment horizontal="center"/>
    </xf>
    <xf numFmtId="165" fontId="0" fillId="2" borderId="74" xfId="0" applyNumberFormat="1" applyFill="1" applyBorder="1" applyAlignment="1" applyProtection="1">
      <alignment horizontal="center"/>
    </xf>
    <xf numFmtId="165" fontId="0" fillId="2" borderId="52" xfId="0" applyNumberFormat="1" applyFill="1" applyBorder="1" applyAlignment="1" applyProtection="1">
      <alignment horizontal="center"/>
    </xf>
    <xf numFmtId="0" fontId="0" fillId="5" borderId="71" xfId="0" applyFill="1" applyBorder="1" applyAlignment="1" applyProtection="1">
      <alignment horizontal="center"/>
    </xf>
    <xf numFmtId="0" fontId="0" fillId="5" borderId="28" xfId="0" applyFill="1" applyBorder="1" applyAlignment="1" applyProtection="1">
      <alignment horizontal="center"/>
    </xf>
    <xf numFmtId="2" fontId="37" fillId="10" borderId="223" xfId="0" applyNumberFormat="1" applyFont="1" applyFill="1" applyBorder="1"/>
    <xf numFmtId="2" fontId="37" fillId="10" borderId="164" xfId="0" applyNumberFormat="1" applyFont="1" applyFill="1" applyBorder="1"/>
    <xf numFmtId="2" fontId="33" fillId="10" borderId="164" xfId="0" applyNumberFormat="1" applyFont="1" applyFill="1" applyBorder="1"/>
    <xf numFmtId="2" fontId="42" fillId="10" borderId="224" xfId="0" applyNumberFormat="1" applyFont="1" applyFill="1" applyBorder="1" applyAlignment="1">
      <alignment horizontal="center" wrapText="1"/>
    </xf>
    <xf numFmtId="164" fontId="1" fillId="16" borderId="8" xfId="7" applyNumberFormat="1" applyBorder="1" applyProtection="1"/>
    <xf numFmtId="0" fontId="1" fillId="15" borderId="0" xfId="6" applyAlignment="1">
      <alignment horizontal="center" vertical="center"/>
    </xf>
    <xf numFmtId="0" fontId="6" fillId="0" borderId="225" xfId="0" applyFont="1" applyFill="1" applyBorder="1" applyAlignment="1">
      <alignment horizontal="left"/>
    </xf>
    <xf numFmtId="0" fontId="6" fillId="0" borderId="215" xfId="0" applyFont="1" applyBorder="1" applyAlignment="1">
      <alignment horizontal="left"/>
    </xf>
    <xf numFmtId="0" fontId="6" fillId="0" borderId="163" xfId="0" applyFont="1" applyFill="1" applyBorder="1" applyAlignment="1">
      <alignment horizontal="left"/>
    </xf>
    <xf numFmtId="0" fontId="6" fillId="0" borderId="165" xfId="0" applyFont="1" applyFill="1" applyBorder="1" applyAlignment="1">
      <alignment horizontal="left"/>
    </xf>
    <xf numFmtId="0" fontId="34" fillId="10" borderId="165" xfId="0" applyFont="1" applyFill="1" applyBorder="1" applyAlignment="1">
      <alignment horizontal="center"/>
    </xf>
    <xf numFmtId="0" fontId="37" fillId="10" borderId="148" xfId="0" applyFont="1" applyFill="1" applyBorder="1"/>
    <xf numFmtId="2" fontId="37" fillId="10" borderId="149" xfId="0" applyNumberFormat="1" applyFont="1" applyFill="1" applyBorder="1"/>
    <xf numFmtId="0" fontId="7" fillId="18" borderId="12" xfId="0" applyFont="1" applyFill="1" applyBorder="1" applyAlignment="1" applyProtection="1">
      <alignment horizontal="center" wrapText="1"/>
      <protection locked="0"/>
    </xf>
    <xf numFmtId="2" fontId="43" fillId="19" borderId="52" xfId="8" applyNumberFormat="1" applyBorder="1" applyAlignment="1" applyProtection="1"/>
    <xf numFmtId="2" fontId="43" fillId="19" borderId="33" xfId="8" applyNumberFormat="1" applyBorder="1" applyAlignment="1" applyProtection="1"/>
    <xf numFmtId="0" fontId="38" fillId="0" borderId="164" xfId="0" applyFont="1" applyFill="1" applyBorder="1" applyAlignment="1" applyProtection="1">
      <alignment horizontal="center" wrapText="1"/>
      <protection locked="0"/>
    </xf>
    <xf numFmtId="0" fontId="7" fillId="20" borderId="49" xfId="0" applyFont="1" applyFill="1" applyBorder="1" applyAlignment="1" applyProtection="1">
      <alignment horizontal="center"/>
      <protection locked="0"/>
    </xf>
    <xf numFmtId="2" fontId="7" fillId="20" borderId="49" xfId="0" applyNumberFormat="1" applyFont="1" applyFill="1" applyBorder="1" applyAlignment="1">
      <alignment horizontal="center"/>
    </xf>
    <xf numFmtId="2" fontId="7" fillId="20" borderId="151" xfId="0" applyNumberFormat="1" applyFont="1" applyFill="1" applyBorder="1" applyAlignment="1">
      <alignment horizontal="center"/>
    </xf>
    <xf numFmtId="0" fontId="38" fillId="20" borderId="164" xfId="0" applyFont="1" applyFill="1" applyBorder="1" applyAlignment="1" applyProtection="1">
      <alignment horizontal="center"/>
      <protection locked="0"/>
    </xf>
    <xf numFmtId="0" fontId="7" fillId="20" borderId="46" xfId="0" applyFont="1" applyFill="1" applyBorder="1" applyAlignment="1" applyProtection="1">
      <alignment horizontal="center"/>
      <protection locked="0"/>
    </xf>
    <xf numFmtId="0" fontId="7" fillId="20" borderId="148" xfId="0" applyFont="1" applyFill="1" applyBorder="1" applyAlignment="1" applyProtection="1">
      <alignment horizontal="center"/>
      <protection locked="0"/>
    </xf>
    <xf numFmtId="2" fontId="7" fillId="20" borderId="148" xfId="0" applyNumberFormat="1" applyFont="1" applyFill="1" applyBorder="1" applyAlignment="1">
      <alignment horizontal="center"/>
    </xf>
    <xf numFmtId="0" fontId="38" fillId="20" borderId="149" xfId="0" applyFont="1" applyFill="1" applyBorder="1" applyAlignment="1" applyProtection="1">
      <alignment horizontal="center"/>
      <protection locked="0"/>
    </xf>
    <xf numFmtId="0" fontId="0" fillId="0" borderId="148" xfId="0" applyFont="1" applyBorder="1" applyAlignment="1">
      <alignment horizontal="center"/>
    </xf>
    <xf numFmtId="0" fontId="0" fillId="0" borderId="149" xfId="0" applyFont="1" applyBorder="1" applyAlignment="1">
      <alignment horizontal="center"/>
    </xf>
    <xf numFmtId="0" fontId="8" fillId="0" borderId="173" xfId="0" applyFont="1" applyFill="1" applyBorder="1" applyAlignment="1">
      <alignment horizontal="center"/>
    </xf>
    <xf numFmtId="0" fontId="8" fillId="0" borderId="223" xfId="0" applyFont="1" applyFill="1" applyBorder="1" applyAlignment="1">
      <alignment horizontal="center"/>
    </xf>
    <xf numFmtId="0" fontId="8" fillId="0" borderId="49" xfId="0" applyFont="1" applyFill="1" applyBorder="1" applyAlignment="1">
      <alignment horizontal="center"/>
    </xf>
    <xf numFmtId="0" fontId="8" fillId="0" borderId="164" xfId="0" applyFont="1" applyFill="1" applyBorder="1" applyAlignment="1">
      <alignment horizontal="center"/>
    </xf>
    <xf numFmtId="0" fontId="0" fillId="0" borderId="49" xfId="0" applyFill="1" applyBorder="1" applyAlignment="1">
      <alignment horizontal="center"/>
    </xf>
    <xf numFmtId="0" fontId="0" fillId="0" borderId="164" xfId="0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75" xfId="0" applyFont="1" applyBorder="1" applyAlignment="1">
      <alignment horizontal="center"/>
    </xf>
    <xf numFmtId="0" fontId="0" fillId="0" borderId="49" xfId="0" applyFont="1" applyFill="1" applyBorder="1" applyAlignment="1">
      <alignment horizontal="center"/>
    </xf>
    <xf numFmtId="0" fontId="0" fillId="0" borderId="164" xfId="0" applyFont="1" applyFill="1" applyBorder="1" applyAlignment="1">
      <alignment horizontal="center"/>
    </xf>
    <xf numFmtId="0" fontId="2" fillId="0" borderId="151" xfId="0" applyFont="1" applyBorder="1" applyAlignment="1">
      <alignment horizontal="center"/>
    </xf>
    <xf numFmtId="0" fontId="2" fillId="0" borderId="222" xfId="0" applyFont="1" applyBorder="1" applyAlignment="1">
      <alignment horizontal="center"/>
    </xf>
    <xf numFmtId="0" fontId="8" fillId="0" borderId="151" xfId="0" applyFont="1" applyBorder="1" applyAlignment="1">
      <alignment horizontal="center"/>
    </xf>
    <xf numFmtId="0" fontId="8" fillId="0" borderId="222" xfId="0" applyFont="1" applyBorder="1" applyAlignment="1">
      <alignment horizontal="center"/>
    </xf>
    <xf numFmtId="0" fontId="8" fillId="0" borderId="218" xfId="0" applyFont="1" applyFill="1" applyBorder="1" applyAlignment="1">
      <alignment horizontal="center"/>
    </xf>
    <xf numFmtId="0" fontId="8" fillId="0" borderId="226" xfId="0" applyFont="1" applyFill="1" applyBorder="1" applyAlignment="1">
      <alignment horizontal="center"/>
    </xf>
    <xf numFmtId="0" fontId="6" fillId="9" borderId="171" xfId="0" applyFont="1" applyFill="1" applyBorder="1" applyAlignment="1">
      <alignment horizontal="left"/>
    </xf>
    <xf numFmtId="0" fontId="6" fillId="9" borderId="89" xfId="0" applyFont="1" applyFill="1" applyBorder="1" applyAlignment="1">
      <alignment horizontal="left"/>
    </xf>
    <xf numFmtId="0" fontId="2" fillId="4" borderId="88" xfId="0" applyFont="1" applyFill="1" applyBorder="1" applyAlignment="1" applyProtection="1">
      <alignment horizontal="center"/>
    </xf>
    <xf numFmtId="0" fontId="2" fillId="4" borderId="89" xfId="0" applyFont="1" applyFill="1" applyBorder="1" applyAlignment="1" applyProtection="1">
      <alignment horizontal="center"/>
    </xf>
    <xf numFmtId="0" fontId="2" fillId="4" borderId="127" xfId="0" applyFont="1" applyFill="1" applyBorder="1" applyAlignment="1" applyProtection="1">
      <alignment horizontal="center"/>
    </xf>
    <xf numFmtId="0" fontId="7" fillId="6" borderId="142" xfId="0" applyFont="1" applyFill="1" applyBorder="1" applyAlignment="1" applyProtection="1">
      <alignment horizontal="center"/>
    </xf>
    <xf numFmtId="0" fontId="7" fillId="6" borderId="80" xfId="0" applyFont="1" applyFill="1" applyBorder="1" applyAlignment="1" applyProtection="1">
      <alignment horizontal="center"/>
    </xf>
    <xf numFmtId="0" fontId="7" fillId="6" borderId="81" xfId="0" applyFont="1" applyFill="1" applyBorder="1" applyAlignment="1" applyProtection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</cellXfs>
  <cellStyles count="9">
    <cellStyle name="20% - Accent1" xfId="2" builtinId="30"/>
    <cellStyle name="20% - Accent2" xfId="4" builtinId="34"/>
    <cellStyle name="60% - Accent3" xfId="6" builtinId="40"/>
    <cellStyle name="60% - Accent6" xfId="7" builtinId="52"/>
    <cellStyle name="Accent2" xfId="3" builtinId="33"/>
    <cellStyle name="Accent3" xfId="5" builtinId="37"/>
    <cellStyle name="Bad" xfId="8" builtinId="27"/>
    <cellStyle name="Linked Cell" xfId="1" builtinId="24"/>
    <cellStyle name="Normal" xfId="0" builtinId="0"/>
  </cellStyles>
  <dxfs count="32">
    <dxf>
      <fill>
        <patternFill patternType="solid">
          <fgColor indexed="64"/>
          <bgColor rgb="FFCCFFCC"/>
        </patternFill>
      </fill>
      <border diagonalUp="0" diagonalDown="0">
        <left style="thin">
          <color indexed="64"/>
        </left>
        <right/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rgb="FFCCFFCC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/>
        <right style="thin">
          <color indexed="64"/>
        </right>
        <top style="hair">
          <color indexed="64"/>
        </top>
        <bottom/>
        <vertical/>
        <horizontal/>
      </border>
    </dxf>
    <dxf>
      <border outline="0">
        <top style="hair">
          <color indexed="64"/>
        </top>
      </border>
    </dxf>
    <dxf>
      <border outline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ill>
        <patternFill patternType="solid">
          <fgColor indexed="64"/>
          <bgColor indexed="42"/>
        </patternFill>
      </fill>
    </dxf>
    <dxf>
      <border outline="0">
        <bottom style="hair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C00000"/>
      </font>
      <fill>
        <patternFill>
          <bgColor theme="9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3A0F0E-30B7-4C00-9465-581018727797}" name="Table1" displayName="Table1" ref="E1:K16" totalsRowShown="0" headerRowDxfId="11" dataDxfId="9" headerRowBorderDxfId="10" tableBorderDxfId="8" totalsRowBorderDxfId="7" headerRowCellStyle="Accent3">
  <autoFilter ref="E1:K16" xr:uid="{B118AAE5-6314-4991-BDCF-17CA9FBC3FF9}"/>
  <tableColumns count="7">
    <tableColumn id="1" xr3:uid="{5D36B30D-77B8-4D5D-9895-480D061267C8}" name="Last Name" dataDxfId="6"/>
    <tableColumn id="2" xr3:uid="{A6E9D35F-FE71-4119-B014-9E48C54984B4}" name="First Name" dataDxfId="5"/>
    <tableColumn id="3" xr3:uid="{3999A4BB-7307-470B-A6E4-445EE30963B1}" name="Branch" dataDxfId="4"/>
    <tableColumn id="4" xr3:uid="{7CB69ADB-FD93-4D3B-B155-F71BE7E3770F}" name="ID Number" dataDxfId="3"/>
    <tableColumn id="5" xr3:uid="{940639FA-9D60-4218-AF21-AAC1E4B69678}" name="Address" dataDxfId="2"/>
    <tableColumn id="6" xr3:uid="{6B88A187-DB08-469F-9EAA-D4B0D564CB1A}" name="email Address" dataDxfId="1"/>
    <tableColumn id="7" xr3:uid="{2758765F-F6B7-49E9-A496-3CB036C89C91}" name="Phon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P46"/>
  <sheetViews>
    <sheetView topLeftCell="A33" workbookViewId="0">
      <selection activeCell="I23" sqref="I23"/>
    </sheetView>
  </sheetViews>
  <sheetFormatPr defaultColWidth="9.1796875" defaultRowHeight="12.5"/>
  <cols>
    <col min="1" max="1" width="2.7265625" style="14" customWidth="1"/>
    <col min="2" max="2" width="36.54296875" style="14" customWidth="1"/>
    <col min="3" max="3" width="69.26953125" style="14" customWidth="1"/>
    <col min="4" max="16384" width="9.1796875" style="14"/>
  </cols>
  <sheetData>
    <row r="1" spans="2:16" s="5" customFormat="1" ht="13" thickBot="1"/>
    <row r="2" spans="2:16" s="23" customFormat="1" ht="15" thickBot="1">
      <c r="B2" s="16" t="s">
        <v>10</v>
      </c>
      <c r="C2" s="625" t="str">
        <f>"IC"&amp;C15&amp;"-"&amp;C23&amp;"-"&amp;C22&amp;C8</f>
        <v>IC13C15N-240610-10KansasROAR-Mix</v>
      </c>
      <c r="D2" s="24"/>
      <c r="E2" s="25"/>
      <c r="F2" s="25"/>
      <c r="G2" s="25"/>
      <c r="H2" s="27"/>
      <c r="I2" s="22"/>
      <c r="J2" s="22"/>
      <c r="K2" s="22"/>
      <c r="L2" s="22"/>
      <c r="M2" s="22"/>
      <c r="N2" s="22"/>
      <c r="O2" s="22"/>
      <c r="P2" s="22"/>
    </row>
    <row r="3" spans="2:16" s="23" customFormat="1" ht="13">
      <c r="B3" s="16"/>
      <c r="C3" s="17"/>
      <c r="D3" s="24"/>
      <c r="E3" s="25"/>
      <c r="F3" s="25"/>
      <c r="G3" s="25"/>
      <c r="H3" s="27"/>
      <c r="I3" s="22"/>
      <c r="J3" s="22"/>
      <c r="K3" s="22"/>
      <c r="L3" s="22"/>
      <c r="M3" s="22"/>
      <c r="N3" s="22"/>
      <c r="O3" s="22"/>
      <c r="P3" s="22"/>
    </row>
    <row r="4" spans="2:16" ht="13">
      <c r="B4" s="28" t="s">
        <v>363</v>
      </c>
      <c r="D4" s="29"/>
      <c r="E4" s="29"/>
      <c r="F4" s="29"/>
      <c r="G4" s="29"/>
      <c r="H4" s="29"/>
    </row>
    <row r="5" spans="2:16" ht="13" thickBot="1"/>
    <row r="6" spans="2:16" ht="13.5" thickTop="1">
      <c r="B6" s="36" t="s">
        <v>361</v>
      </c>
      <c r="C6" s="618" t="s">
        <v>364</v>
      </c>
      <c r="D6" s="15"/>
      <c r="E6" s="13"/>
      <c r="F6" s="15"/>
      <c r="G6" s="15"/>
      <c r="H6" s="15"/>
      <c r="I6" s="15"/>
    </row>
    <row r="7" spans="2:16" ht="25.5">
      <c r="B7" s="37" t="s">
        <v>20</v>
      </c>
      <c r="C7" s="647" t="s">
        <v>383</v>
      </c>
      <c r="D7" s="13"/>
      <c r="E7" s="15"/>
      <c r="F7" s="15"/>
      <c r="G7" s="15"/>
      <c r="H7" s="15"/>
      <c r="I7" s="15"/>
    </row>
    <row r="8" spans="2:16" ht="13">
      <c r="B8" s="37" t="s">
        <v>150</v>
      </c>
      <c r="C8" s="617" t="s">
        <v>382</v>
      </c>
      <c r="D8" s="13"/>
      <c r="E8" s="15"/>
      <c r="F8" s="15"/>
      <c r="G8" s="15"/>
      <c r="H8" s="15"/>
      <c r="I8" s="15"/>
    </row>
    <row r="9" spans="2:16" ht="13">
      <c r="B9" s="37" t="s">
        <v>23</v>
      </c>
      <c r="C9" s="617" t="s">
        <v>273</v>
      </c>
      <c r="D9" s="15"/>
      <c r="E9" s="15"/>
      <c r="F9" s="15"/>
      <c r="G9" s="15"/>
      <c r="H9" s="15"/>
      <c r="I9" s="15"/>
    </row>
    <row r="10" spans="2:16" ht="14.5">
      <c r="B10" s="37" t="s">
        <v>16</v>
      </c>
      <c r="C10" s="622" t="str">
        <f>VLOOKUP($C$9,Table1[],3)</f>
        <v>FEB</v>
      </c>
      <c r="D10" s="15"/>
      <c r="E10" s="15"/>
      <c r="F10" s="15"/>
      <c r="G10" s="15"/>
      <c r="H10" s="15"/>
      <c r="I10" s="15"/>
    </row>
    <row r="11" spans="2:16" ht="14.5">
      <c r="B11" s="37" t="s">
        <v>19</v>
      </c>
      <c r="C11" s="622" t="str">
        <f>VLOOKUP($C$9,Table1[],5)</f>
        <v>Corvallis MOD 130</v>
      </c>
      <c r="D11" s="15"/>
      <c r="E11" s="15"/>
      <c r="F11" s="15"/>
      <c r="G11" s="15"/>
      <c r="H11" s="15"/>
      <c r="I11" s="15"/>
    </row>
    <row r="12" spans="2:16" ht="14.5">
      <c r="B12" s="37" t="s">
        <v>17</v>
      </c>
      <c r="C12" s="622" t="str">
        <f>VLOOKUP($C$9,Table1[],6)</f>
        <v>compton.jana@epa.gov</v>
      </c>
      <c r="D12" s="15"/>
      <c r="E12" s="15"/>
      <c r="F12" s="15"/>
      <c r="G12" s="15"/>
      <c r="H12" s="15"/>
      <c r="I12" s="15"/>
      <c r="J12" s="576"/>
    </row>
    <row r="13" spans="2:16" ht="14.5">
      <c r="B13" s="37" t="s">
        <v>18</v>
      </c>
      <c r="C13" s="622">
        <f>VLOOKUP($C$9,Table1[],7)</f>
        <v>4620</v>
      </c>
      <c r="D13" s="15"/>
      <c r="E13" s="15"/>
      <c r="F13" s="15"/>
      <c r="G13" s="15"/>
      <c r="H13" s="15"/>
      <c r="I13" s="15"/>
    </row>
    <row r="14" spans="2:16" ht="13">
      <c r="B14" s="37" t="s">
        <v>29</v>
      </c>
      <c r="C14" s="623" t="s">
        <v>326</v>
      </c>
      <c r="D14" s="15"/>
      <c r="E14" s="15"/>
      <c r="F14" s="15"/>
      <c r="G14" s="15"/>
      <c r="H14" s="15"/>
      <c r="I14" s="15"/>
    </row>
    <row r="15" spans="2:16" ht="13">
      <c r="B15" s="37" t="s">
        <v>178</v>
      </c>
      <c r="C15" s="617" t="s">
        <v>324</v>
      </c>
      <c r="D15" s="15"/>
      <c r="E15" s="15"/>
      <c r="F15" s="15"/>
      <c r="G15" s="15"/>
      <c r="H15" s="15"/>
      <c r="I15" s="15"/>
    </row>
    <row r="16" spans="2:16" ht="13">
      <c r="B16" s="37" t="s">
        <v>333</v>
      </c>
      <c r="C16" s="617"/>
      <c r="D16" s="15"/>
      <c r="E16" s="15"/>
      <c r="F16" s="15"/>
      <c r="G16" s="15"/>
      <c r="H16" s="15"/>
      <c r="I16" s="15"/>
    </row>
    <row r="17" spans="2:9" ht="13">
      <c r="B17" s="37" t="s">
        <v>332</v>
      </c>
      <c r="C17" s="617"/>
      <c r="D17" s="15"/>
      <c r="E17" s="15"/>
      <c r="F17" s="15"/>
      <c r="G17" s="15"/>
      <c r="H17" s="15"/>
      <c r="I17" s="15"/>
    </row>
    <row r="18" spans="2:9" ht="13">
      <c r="B18" s="37" t="s">
        <v>334</v>
      </c>
      <c r="C18" s="617"/>
      <c r="D18" s="15"/>
      <c r="E18" s="15"/>
      <c r="F18" s="15"/>
      <c r="G18" s="15"/>
      <c r="H18" s="15"/>
      <c r="I18" s="15"/>
    </row>
    <row r="19" spans="2:9" ht="13">
      <c r="B19" s="37" t="s">
        <v>153</v>
      </c>
      <c r="C19" s="617" t="s">
        <v>384</v>
      </c>
      <c r="D19" s="15"/>
      <c r="E19" s="15"/>
      <c r="F19" s="15"/>
      <c r="G19" s="15"/>
      <c r="H19" s="15"/>
      <c r="I19" s="15"/>
    </row>
    <row r="20" spans="2:9" ht="13">
      <c r="B20" s="37" t="s">
        <v>71</v>
      </c>
      <c r="C20" s="617" t="s">
        <v>319</v>
      </c>
      <c r="D20" s="15"/>
      <c r="E20" s="15"/>
      <c r="F20" s="15"/>
      <c r="G20" s="15"/>
      <c r="H20" s="15"/>
      <c r="I20" s="15"/>
    </row>
    <row r="21" spans="2:9" ht="13">
      <c r="B21" s="37" t="s">
        <v>72</v>
      </c>
      <c r="C21" s="617" t="s">
        <v>319</v>
      </c>
      <c r="D21" s="15"/>
      <c r="E21" s="15"/>
      <c r="F21" s="15"/>
      <c r="G21" s="15"/>
      <c r="H21" s="15"/>
      <c r="I21" s="15"/>
    </row>
    <row r="22" spans="2:9" ht="14.5">
      <c r="B22" s="37" t="s">
        <v>151</v>
      </c>
      <c r="C22" s="622">
        <f>VLOOKUP($C$9,Table1[],4)</f>
        <v>10</v>
      </c>
      <c r="D22" s="15"/>
      <c r="E22" s="15"/>
      <c r="F22" s="15"/>
      <c r="G22" s="15"/>
      <c r="H22" s="15"/>
      <c r="I22" s="15"/>
    </row>
    <row r="23" spans="2:9" ht="13.5" thickBot="1">
      <c r="B23" s="38" t="s">
        <v>123</v>
      </c>
      <c r="C23" s="624" t="s">
        <v>385</v>
      </c>
      <c r="D23" s="15"/>
      <c r="E23" s="15"/>
      <c r="F23" s="15"/>
      <c r="G23" s="15"/>
      <c r="H23" s="15"/>
      <c r="I23" s="15"/>
    </row>
    <row r="24" spans="2:9" ht="13" thickTop="1">
      <c r="C24" s="5"/>
    </row>
    <row r="26" spans="2:9" ht="13">
      <c r="B26" s="13" t="s">
        <v>27</v>
      </c>
    </row>
    <row r="27" spans="2:9" ht="13">
      <c r="B27" s="15" t="s">
        <v>73</v>
      </c>
      <c r="C27" s="13"/>
    </row>
    <row r="28" spans="2:9" ht="13">
      <c r="B28" s="15" t="s">
        <v>163</v>
      </c>
      <c r="C28" s="15"/>
    </row>
    <row r="29" spans="2:9" ht="13">
      <c r="B29" s="15" t="s">
        <v>362</v>
      </c>
      <c r="C29" s="15"/>
    </row>
    <row r="30" spans="2:9">
      <c r="B30" s="15" t="s">
        <v>330</v>
      </c>
      <c r="C30" s="15"/>
    </row>
    <row r="31" spans="2:9">
      <c r="B31" s="15" t="s">
        <v>331</v>
      </c>
      <c r="C31" s="15"/>
    </row>
    <row r="32" spans="2:9">
      <c r="B32" s="15" t="s">
        <v>154</v>
      </c>
      <c r="C32" s="15"/>
    </row>
    <row r="33" spans="2:4" ht="13" thickBot="1">
      <c r="C33" s="15"/>
    </row>
    <row r="34" spans="2:4" s="5" customFormat="1" ht="13.5" thickTop="1">
      <c r="B34" s="667" t="s">
        <v>98</v>
      </c>
      <c r="C34" s="668"/>
      <c r="D34" s="669"/>
    </row>
    <row r="35" spans="2:4" ht="13">
      <c r="B35" s="34" t="s">
        <v>100</v>
      </c>
      <c r="C35" s="672" t="s">
        <v>99</v>
      </c>
      <c r="D35" s="673"/>
    </row>
    <row r="36" spans="2:4" ht="13">
      <c r="B36" s="35" t="s">
        <v>105</v>
      </c>
      <c r="C36" s="674" t="s">
        <v>104</v>
      </c>
      <c r="D36" s="675"/>
    </row>
    <row r="37" spans="2:4" ht="13">
      <c r="B37" s="35" t="s">
        <v>120</v>
      </c>
      <c r="C37" s="674" t="s">
        <v>122</v>
      </c>
      <c r="D37" s="675"/>
    </row>
    <row r="38" spans="2:4" ht="13">
      <c r="B38" s="48" t="s">
        <v>121</v>
      </c>
      <c r="C38" s="674" t="s">
        <v>106</v>
      </c>
      <c r="D38" s="675"/>
    </row>
    <row r="39" spans="2:4" ht="13">
      <c r="B39" s="640" t="s">
        <v>146</v>
      </c>
      <c r="C39" s="676" t="s">
        <v>108</v>
      </c>
      <c r="D39" s="677"/>
    </row>
    <row r="40" spans="2:4" ht="13">
      <c r="B40" s="641" t="s">
        <v>101</v>
      </c>
      <c r="C40" s="661" t="s">
        <v>107</v>
      </c>
      <c r="D40" s="662"/>
    </row>
    <row r="41" spans="2:4" ht="15">
      <c r="B41" s="435" t="s">
        <v>102</v>
      </c>
      <c r="C41" s="663" t="s">
        <v>147</v>
      </c>
      <c r="D41" s="664"/>
    </row>
    <row r="42" spans="2:4" ht="15">
      <c r="B42" s="435" t="s">
        <v>103</v>
      </c>
      <c r="C42" s="663" t="s">
        <v>148</v>
      </c>
      <c r="D42" s="664"/>
    </row>
    <row r="43" spans="2:4" ht="14.5">
      <c r="B43" s="435" t="s">
        <v>179</v>
      </c>
      <c r="C43" s="665" t="s">
        <v>180</v>
      </c>
      <c r="D43" s="666"/>
    </row>
    <row r="44" spans="2:4" ht="13">
      <c r="B44" s="642" t="s">
        <v>340</v>
      </c>
      <c r="C44" s="670" t="s">
        <v>342</v>
      </c>
      <c r="D44" s="671"/>
    </row>
    <row r="45" spans="2:4" ht="13.5" thickBot="1">
      <c r="B45" s="643" t="s">
        <v>341</v>
      </c>
      <c r="C45" s="659" t="s">
        <v>343</v>
      </c>
      <c r="D45" s="660"/>
    </row>
    <row r="46" spans="2:4" ht="13.5" thickTop="1">
      <c r="B46" s="47"/>
      <c r="C46" s="29"/>
    </row>
  </sheetData>
  <protectedRanges>
    <protectedRange password="94AB" sqref="C6:C23" name="Cover data_1_1_1"/>
  </protectedRanges>
  <mergeCells count="12">
    <mergeCell ref="B34:D34"/>
    <mergeCell ref="C44:D44"/>
    <mergeCell ref="C35:D35"/>
    <mergeCell ref="C36:D36"/>
    <mergeCell ref="C37:D37"/>
    <mergeCell ref="C38:D38"/>
    <mergeCell ref="C39:D39"/>
    <mergeCell ref="C45:D45"/>
    <mergeCell ref="C40:D40"/>
    <mergeCell ref="C41:D41"/>
    <mergeCell ref="C42:D42"/>
    <mergeCell ref="C43:D43"/>
  </mergeCells>
  <phoneticPr fontId="0" type="noConversion"/>
  <pageMargins left="0.65" right="0.43" top="1" bottom="1" header="0.5" footer="0.5"/>
  <pageSetup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Input Isotope(s) for Analysis" xr:uid="{BE547A5D-D660-4893-80CB-5C11340DCF95}">
          <x14:formula1>
            <xm:f>Tables!$H$18:$H$21</xm:f>
          </x14:formula1>
          <xm:sqref>C15</xm:sqref>
        </x14:dataValidation>
        <x14:dataValidation type="list" allowBlank="1" showInputMessage="1" showErrorMessage="1" promptTitle="Input Technician if Known" xr:uid="{397233FF-BA0A-4051-8BC4-42D091C1B4EA}">
          <x14:formula1>
            <xm:f>Tables!$H$23:$H$26</xm:f>
          </x14:formula1>
          <xm:sqref>C14</xm:sqref>
        </x14:dataValidation>
        <x14:dataValidation type="list" allowBlank="1" showInputMessage="1" showErrorMessage="1" xr:uid="{8787B856-B103-4E74-957A-7877336AA50D}">
          <x14:formula1>
            <xm:f>Tables!$E$19:$E$20</xm:f>
          </x14:formula1>
          <xm:sqref>C20:C21</xm:sqref>
        </x14:dataValidation>
        <x14:dataValidation type="list" allowBlank="1" showInputMessage="1" showErrorMessage="1" promptTitle="Enter Formatted Date" xr:uid="{FFEB9AB6-F3EF-4CB8-9648-23C6D3BFDE04}">
          <x14:formula1>
            <xm:f>Tables!$E$28:$E$29</xm:f>
          </x14:formula1>
          <xm:sqref>C23</xm:sqref>
        </x14:dataValidation>
        <x14:dataValidation type="list" allowBlank="1" showInputMessage="1" showErrorMessage="1" promptTitle="Input Investigator Name" xr:uid="{A4BBA6F4-E1BF-49CE-BD35-7697B04A4D69}">
          <x14:formula1>
            <xm:f>Tables!$E$2:$E$16</xm:f>
          </x14:formula1>
          <xm:sqref>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Q66"/>
  <sheetViews>
    <sheetView tabSelected="1" topLeftCell="A2" workbookViewId="0">
      <selection activeCell="F4" sqref="F4:G5"/>
    </sheetView>
  </sheetViews>
  <sheetFormatPr defaultColWidth="11.453125" defaultRowHeight="12.5"/>
  <cols>
    <col min="1" max="1" width="11.1796875" style="15" customWidth="1"/>
    <col min="2" max="2" width="26" style="411" customWidth="1"/>
    <col min="3" max="3" width="19.1796875" style="411" customWidth="1"/>
    <col min="4" max="4" width="12.54296875" style="411" customWidth="1"/>
    <col min="5" max="6" width="10.81640625" style="411" customWidth="1"/>
    <col min="7" max="8" width="12.7265625" style="411" customWidth="1"/>
    <col min="9" max="9" width="29.7265625" style="412" bestFit="1" customWidth="1"/>
    <col min="10" max="11" width="11.453125" style="15" customWidth="1"/>
    <col min="12" max="12" width="9.54296875" style="15" customWidth="1"/>
    <col min="13" max="13" width="13" style="15" customWidth="1"/>
    <col min="14" max="14" width="9.26953125" style="15" customWidth="1"/>
    <col min="15" max="15" width="12.453125" style="15" customWidth="1"/>
    <col min="16" max="16" width="11.1796875" style="15" customWidth="1"/>
    <col min="17" max="17" width="7.7265625" style="15" customWidth="1"/>
    <col min="18" max="18" width="7.453125" style="15" customWidth="1"/>
    <col min="19" max="19" width="6.81640625" style="15" customWidth="1"/>
    <col min="20" max="16384" width="11.453125" style="15"/>
  </cols>
  <sheetData>
    <row r="1" spans="1:17" ht="13" thickBot="1"/>
    <row r="2" spans="1:17" s="23" customFormat="1" ht="13.5" thickTop="1">
      <c r="A2" s="408"/>
      <c r="B2" s="438" t="s">
        <v>10</v>
      </c>
      <c r="C2" s="678" t="str">
        <f>COVER!C2</f>
        <v>IC13C15N-240610-10KansasROAR-Mix</v>
      </c>
      <c r="D2" s="679"/>
      <c r="E2" s="575"/>
      <c r="F2" s="409"/>
      <c r="G2" s="409"/>
      <c r="H2" s="428"/>
      <c r="I2" s="413" t="s">
        <v>145</v>
      </c>
      <c r="J2" s="22"/>
      <c r="K2" s="22"/>
      <c r="L2" s="22"/>
      <c r="M2" s="22"/>
      <c r="N2" s="22"/>
      <c r="O2" s="22"/>
      <c r="P2" s="22"/>
      <c r="Q2" s="22"/>
    </row>
    <row r="3" spans="1:17" s="22" customFormat="1" ht="15">
      <c r="A3" s="414" t="s">
        <v>66</v>
      </c>
      <c r="B3" s="436" t="s">
        <v>21</v>
      </c>
      <c r="C3" s="436" t="s">
        <v>161</v>
      </c>
      <c r="D3" s="437" t="s">
        <v>67</v>
      </c>
      <c r="E3" s="437" t="s">
        <v>182</v>
      </c>
      <c r="F3" s="415" t="s">
        <v>68</v>
      </c>
      <c r="G3" s="415" t="s">
        <v>183</v>
      </c>
      <c r="H3" s="415" t="s">
        <v>253</v>
      </c>
      <c r="I3" s="592"/>
      <c r="J3" s="23"/>
    </row>
    <row r="4" spans="1:17" s="22" customFormat="1">
      <c r="A4" s="418" t="s">
        <v>74</v>
      </c>
      <c r="B4" s="571" t="s">
        <v>365</v>
      </c>
      <c r="C4" s="571">
        <v>30</v>
      </c>
      <c r="D4" s="416">
        <f>IF(COUNT('ISIRF RAW'!M12,'ISIRF RAW'!M56)=0,"",AVERAGE('ISIRF RAW'!M12,'ISIRF RAW'!M56))</f>
        <v>1.513555022</v>
      </c>
      <c r="E4" s="416">
        <f>IF(COUNT('ISIRF RAW'!O12,'ISIRF RAW'!O56)=0,"",AVERAGE('ISIRF RAW'!O12,'ISIRF RAW'!O56))</f>
        <v>-17.085892604062586</v>
      </c>
      <c r="F4" s="416">
        <f>IF(COUNT('ISIRF RAW'!J12,'ISIRF RAW'!J56)=0,"",AVERAGE('ISIRF RAW'!J12,'ISIRF RAW'!J56))</f>
        <v>0.1342108719</v>
      </c>
      <c r="G4" s="416">
        <f>IF(COUNT('ISIRF RAW'!L12,'ISIRF RAW'!L56)=0,"", AVERAGE('ISIRF RAW'!L12,'ISIRF RAW'!L56))</f>
        <v>5.9045748176075374</v>
      </c>
      <c r="H4" s="429">
        <f t="shared" ref="H4" si="0">D4/F4</f>
        <v>11.277439752628565</v>
      </c>
      <c r="I4" s="591" t="s">
        <v>386</v>
      </c>
    </row>
    <row r="5" spans="1:17" s="22" customFormat="1">
      <c r="A5" s="417">
        <v>2</v>
      </c>
      <c r="B5" s="571" t="s">
        <v>366</v>
      </c>
      <c r="C5" s="571">
        <v>30</v>
      </c>
      <c r="D5" s="416">
        <f>IF(COUNT('ISIRF RAW'!M13)=0,"",'ISIRF RAW'!M13)</f>
        <v>2.1198480205000001</v>
      </c>
      <c r="E5" s="416">
        <f>IF(COUNT('ISIRF RAW'!O13)=0,"",'ISIRF RAW'!O13)</f>
        <v>-16.918169130716592</v>
      </c>
      <c r="F5" s="416">
        <f>IF(COUNT('ISIRF RAW'!J13)=0,"",'ISIRF RAW'!J13)</f>
        <v>0.16642254649999999</v>
      </c>
      <c r="G5" s="416">
        <f>IF(COUNT('ISIRF RAW'!L13)=0,"",'ISIRF RAW'!L13)</f>
        <v>5.9604752463579018</v>
      </c>
      <c r="H5" s="429">
        <f t="shared" ref="H5:H39" si="1">D5/F5</f>
        <v>12.737745366130426</v>
      </c>
      <c r="I5" s="591" t="s">
        <v>386</v>
      </c>
    </row>
    <row r="6" spans="1:17" s="22" customFormat="1">
      <c r="A6" s="417">
        <v>3</v>
      </c>
      <c r="B6" s="571" t="s">
        <v>367</v>
      </c>
      <c r="C6" s="571">
        <v>30</v>
      </c>
      <c r="D6" s="416">
        <f>IF(COUNT('ISIRF RAW'!M14)=0,"",'ISIRF RAW'!M14)</f>
        <v>1.8003063931999999</v>
      </c>
      <c r="E6" s="416">
        <f>IF(COUNT('ISIRF RAW'!O14)=0,"",'ISIRF RAW'!O14)</f>
        <v>-25.669807737394258</v>
      </c>
      <c r="F6" s="416">
        <f>IF(COUNT('ISIRF RAW'!J14)=0,"",'ISIRF RAW'!J14)</f>
        <v>0.16139711910000001</v>
      </c>
      <c r="G6" s="416">
        <f>IF(COUNT('ISIRF RAW'!L14)=0,"",'ISIRF RAW'!L14)</f>
        <v>4.6972996334924737</v>
      </c>
      <c r="H6" s="429">
        <f t="shared" si="1"/>
        <v>11.154513805692828</v>
      </c>
      <c r="I6" s="591"/>
    </row>
    <row r="7" spans="1:17" s="22" customFormat="1">
      <c r="A7" s="417">
        <v>4</v>
      </c>
      <c r="B7" s="571" t="s">
        <v>368</v>
      </c>
      <c r="C7" s="571">
        <v>30</v>
      </c>
      <c r="D7" s="416">
        <f>IF(COUNT('ISIRF RAW'!M15)=0,"",'ISIRF RAW'!M15)</f>
        <v>1.6261491183000001</v>
      </c>
      <c r="E7" s="416">
        <f>IF(COUNT('ISIRF RAW'!O15)=0,"",'ISIRF RAW'!O15)</f>
        <v>-25.444992906328078</v>
      </c>
      <c r="F7" s="416">
        <f>IF(COUNT('ISIRF RAW'!J15)=0,"",'ISIRF RAW'!J15)</f>
        <v>0.14422926699999999</v>
      </c>
      <c r="G7" s="416">
        <f>IF(COUNT('ISIRF RAW'!L15)=0,"",'ISIRF RAW'!L15)</f>
        <v>4.560497400145568</v>
      </c>
      <c r="H7" s="429">
        <f t="shared" si="1"/>
        <v>11.274751318676536</v>
      </c>
      <c r="I7" s="591"/>
    </row>
    <row r="8" spans="1:17" s="22" customFormat="1">
      <c r="A8" s="417">
        <v>5</v>
      </c>
      <c r="B8" s="571" t="s">
        <v>369</v>
      </c>
      <c r="C8" s="571">
        <v>30</v>
      </c>
      <c r="D8" s="416">
        <f>IF(COUNT('ISIRF RAW'!M16)=0,"",'ISIRF RAW'!M16)</f>
        <v>1.6401171073</v>
      </c>
      <c r="E8" s="416">
        <f>IF(COUNT('ISIRF RAW'!O16)=0,"",'ISIRF RAW'!O16)</f>
        <v>-25.886261077237663</v>
      </c>
      <c r="F8" s="416">
        <f>IF(COUNT('ISIRF RAW'!J16)=0,"",'ISIRF RAW'!J16)</f>
        <v>0.1408734334</v>
      </c>
      <c r="G8" s="416">
        <f>IF(COUNT('ISIRF RAW'!L16)=0,"",'ISIRF RAW'!L16)</f>
        <v>4.4361111200497039</v>
      </c>
      <c r="H8" s="429">
        <f t="shared" si="1"/>
        <v>11.642486931109326</v>
      </c>
      <c r="I8" s="591"/>
    </row>
    <row r="9" spans="1:17" s="22" customFormat="1">
      <c r="A9" s="417">
        <v>6</v>
      </c>
      <c r="B9" s="571" t="s">
        <v>370</v>
      </c>
      <c r="C9" s="571">
        <v>30</v>
      </c>
      <c r="D9" s="416">
        <f>IF(COUNT('ISIRF RAW'!M17)=0,"",'ISIRF RAW'!M17)</f>
        <v>1.4130857453999999</v>
      </c>
      <c r="E9" s="416">
        <f>IF(COUNT('ISIRF RAW'!O17)=0,"",'ISIRF RAW'!O17)</f>
        <v>-25.742922896514706</v>
      </c>
      <c r="F9" s="416">
        <f>IF(COUNT('ISIRF RAW'!J17)=0,"",'ISIRF RAW'!J17)</f>
        <v>0.13121209500000003</v>
      </c>
      <c r="G9" s="416">
        <f>IF(COUNT('ISIRF RAW'!L17)=0,"",'ISIRF RAW'!L17)</f>
        <v>4.5996840440091162</v>
      </c>
      <c r="H9" s="429">
        <f t="shared" si="1"/>
        <v>10.769477809191292</v>
      </c>
      <c r="I9" s="591"/>
    </row>
    <row r="10" spans="1:17" s="22" customFormat="1">
      <c r="A10" s="417">
        <v>7</v>
      </c>
      <c r="B10" s="571" t="s">
        <v>371</v>
      </c>
      <c r="C10" s="571">
        <v>30</v>
      </c>
      <c r="D10" s="416">
        <f>IF(COUNT('ISIRF RAW'!M18)=0,"",'ISIRF RAW'!M18)</f>
        <v>1.9157687975999997</v>
      </c>
      <c r="E10" s="416">
        <f>IF(COUNT('ISIRF RAW'!O18)=0,"",'ISIRF RAW'!O18)</f>
        <v>-27.146185850354939</v>
      </c>
      <c r="F10" s="416">
        <f>IF(COUNT('ISIRF RAW'!J18)=0,"",'ISIRF RAW'!J18)</f>
        <v>0.14597127090000001</v>
      </c>
      <c r="G10" s="416">
        <f>IF(COUNT('ISIRF RAW'!L18)=0,"",'ISIRF RAW'!L18)</f>
        <v>4.2311292290310991</v>
      </c>
      <c r="H10" s="429">
        <f t="shared" si="1"/>
        <v>13.124286620155745</v>
      </c>
      <c r="I10" s="591"/>
    </row>
    <row r="11" spans="1:17" s="22" customFormat="1">
      <c r="A11" s="417">
        <v>8</v>
      </c>
      <c r="B11" s="571" t="s">
        <v>372</v>
      </c>
      <c r="C11" s="571">
        <v>30</v>
      </c>
      <c r="D11" s="416">
        <f>IF(COUNT('ISIRF RAW'!M19)=0,"",'ISIRF RAW'!M19)</f>
        <v>1.5423307815999998</v>
      </c>
      <c r="E11" s="416">
        <f>IF(COUNT('ISIRF RAW'!O19)=0,"",'ISIRF RAW'!O19)</f>
        <v>-26.602872503948756</v>
      </c>
      <c r="F11" s="416">
        <f>IF(COUNT('ISIRF RAW'!J19)=0,"",'ISIRF RAW'!J19)</f>
        <v>0.1318496368</v>
      </c>
      <c r="G11" s="416">
        <f>IF(COUNT('ISIRF RAW'!L19)=0,"",'ISIRF RAW'!L19)</f>
        <v>4.9459129637618524</v>
      </c>
      <c r="H11" s="429">
        <f t="shared" si="1"/>
        <v>11.697649072325694</v>
      </c>
      <c r="I11" s="591"/>
    </row>
    <row r="12" spans="1:17" s="22" customFormat="1">
      <c r="A12" s="417">
        <v>9</v>
      </c>
      <c r="B12" s="571" t="s">
        <v>373</v>
      </c>
      <c r="C12" s="571">
        <v>30</v>
      </c>
      <c r="D12" s="416">
        <f>IF(COUNT('ISIRF RAW'!M20)=0,"",'ISIRF RAW'!M20)</f>
        <v>2.7655795461000001</v>
      </c>
      <c r="E12" s="416">
        <f>IF(COUNT('ISIRF RAW'!O20)=0,"",'ISIRF RAW'!O20)</f>
        <v>-27.327177202672395</v>
      </c>
      <c r="F12" s="416">
        <f>IF(COUNT('ISIRF RAW'!J20)=0,"",'ISIRF RAW'!J20)</f>
        <v>0.21432723760000003</v>
      </c>
      <c r="G12" s="416">
        <f>IF(COUNT('ISIRF RAW'!L20)=0,"",'ISIRF RAW'!L20)</f>
        <v>4.08778743278687</v>
      </c>
      <c r="H12" s="429">
        <f t="shared" si="1"/>
        <v>12.90353749280068</v>
      </c>
      <c r="I12" s="591"/>
    </row>
    <row r="13" spans="1:17" s="22" customFormat="1">
      <c r="A13" s="417">
        <v>10</v>
      </c>
      <c r="B13" s="571" t="s">
        <v>374</v>
      </c>
      <c r="C13" s="571">
        <v>30</v>
      </c>
      <c r="D13" s="416">
        <f>IF(COUNT('ISIRF RAW'!M22)=0,"",'ISIRF RAW'!M22)</f>
        <v>2.4186277500000002</v>
      </c>
      <c r="E13" s="416">
        <f>IF(COUNT('ISIRF RAW'!O22)=0,"",'ISIRF RAW'!O22)</f>
        <v>-27.066256900884021</v>
      </c>
      <c r="F13" s="416">
        <f>IF(COUNT('ISIRF RAW'!J22)=0,"",'ISIRF RAW'!J22)</f>
        <v>0.19608571850000001</v>
      </c>
      <c r="G13" s="416">
        <f>IF(COUNT('ISIRF RAW'!L22)=0,"",'ISIRF RAW'!L22)</f>
        <v>4.1939874234068384</v>
      </c>
      <c r="H13" s="429">
        <f t="shared" si="1"/>
        <v>12.33454311972241</v>
      </c>
      <c r="I13" s="591"/>
    </row>
    <row r="14" spans="1:17" s="22" customFormat="1">
      <c r="A14" s="417">
        <v>11</v>
      </c>
      <c r="B14" s="571" t="s">
        <v>375</v>
      </c>
      <c r="C14" s="571">
        <v>30</v>
      </c>
      <c r="D14" s="416">
        <f>IF(COUNT('ISIRF RAW'!M23)=0,"",'ISIRF RAW'!M23)</f>
        <v>2.4445370928999997</v>
      </c>
      <c r="E14" s="416">
        <f>IF(COUNT('ISIRF RAW'!O23)=0,"",'ISIRF RAW'!O23)</f>
        <v>-26.928871120399954</v>
      </c>
      <c r="F14" s="416">
        <f>IF(COUNT('ISIRF RAW'!J23)=0,"",'ISIRF RAW'!J23)</f>
        <v>0.19483643620000002</v>
      </c>
      <c r="G14" s="416">
        <f>IF(COUNT('ISIRF RAW'!L23)=0,"",'ISIRF RAW'!L23)</f>
        <v>4.2523980700872688</v>
      </c>
      <c r="H14" s="429">
        <f t="shared" si="1"/>
        <v>12.546611612166203</v>
      </c>
      <c r="I14" s="591"/>
    </row>
    <row r="15" spans="1:17" s="22" customFormat="1">
      <c r="A15" s="417">
        <v>12</v>
      </c>
      <c r="B15" s="571" t="s">
        <v>376</v>
      </c>
      <c r="C15" s="571">
        <v>30</v>
      </c>
      <c r="D15" s="416">
        <f>IF(COUNT('ISIRF RAW'!M24)=0,"",'ISIRF RAW'!M24)</f>
        <v>2.4719207821000002</v>
      </c>
      <c r="E15" s="416">
        <f>IF(COUNT('ISIRF RAW'!O24)=0,"",'ISIRF RAW'!O24)</f>
        <v>-27.216002096498176</v>
      </c>
      <c r="F15" s="416">
        <f>IF(COUNT('ISIRF RAW'!J24)=0,"",'ISIRF RAW'!J24)</f>
        <v>0.1850344391</v>
      </c>
      <c r="G15" s="416">
        <f>IF(COUNT('ISIRF RAW'!L24)=0,"",'ISIRF RAW'!L24)</f>
        <v>4.2141430396459896</v>
      </c>
      <c r="H15" s="429">
        <f t="shared" si="1"/>
        <v>13.359247035975153</v>
      </c>
      <c r="I15" s="591"/>
    </row>
    <row r="16" spans="1:17" s="22" customFormat="1">
      <c r="A16" s="417">
        <v>13</v>
      </c>
      <c r="B16" s="571" t="s">
        <v>377</v>
      </c>
      <c r="C16" s="571">
        <v>30</v>
      </c>
      <c r="D16" s="416">
        <f>IF(COUNT('ISIRF RAW'!M25)=0,"",'ISIRF RAW'!M25)</f>
        <v>2.7501580161999999</v>
      </c>
      <c r="E16" s="416">
        <f>IF(COUNT('ISIRF RAW'!O25)=0,"",'ISIRF RAW'!O25)</f>
        <v>-27.396597644184112</v>
      </c>
      <c r="F16" s="416">
        <f>IF(COUNT('ISIRF RAW'!J25)=0,"",'ISIRF RAW'!J25)</f>
        <v>0.20594514429999999</v>
      </c>
      <c r="G16" s="416">
        <f>IF(COUNT('ISIRF RAW'!L25)=0,"",'ISIRF RAW'!L25)</f>
        <v>3.7568543066255349</v>
      </c>
      <c r="H16" s="429">
        <f t="shared" si="1"/>
        <v>13.35383762286645</v>
      </c>
      <c r="I16" s="591"/>
    </row>
    <row r="17" spans="1:9" s="22" customFormat="1">
      <c r="A17" s="418" t="s">
        <v>162</v>
      </c>
      <c r="B17" s="571" t="s">
        <v>378</v>
      </c>
      <c r="C17" s="571">
        <v>30</v>
      </c>
      <c r="D17" s="416">
        <f>IF(COUNT('ISIRF RAW'!M26,'ISIRF RAW'!M27)=0,"",AVERAGE('ISIRF RAW'!M26,'ISIRF RAW'!M27))</f>
        <v>2.6813649610999999</v>
      </c>
      <c r="E17" s="416">
        <f>IF(COUNT('ISIRF RAW'!O26,'ISIRF RAW'!O27)=0,"",AVERAGE('ISIRF RAW'!O26,'ISIRF RAW'!O27))</f>
        <v>-27.370675002415233</v>
      </c>
      <c r="F17" s="416">
        <f>IF(COUNT('ISIRF RAW'!J26,'ISIRF RAW'!J27)=0,"",AVERAGE('ISIRF RAW'!J26,'ISIRF RAW'!J27))</f>
        <v>0.19752975900000003</v>
      </c>
      <c r="G17" s="416">
        <f>IF(COUNT('ISIRF RAW'!L26,'ISIRF RAW'!L27)=0,"", AVERAGE('ISIRF RAW'!L26,'ISIRF RAW'!L27))</f>
        <v>4.2757735804480861</v>
      </c>
      <c r="H17" s="429">
        <f t="shared" si="1"/>
        <v>13.57448606566669</v>
      </c>
      <c r="I17" s="591"/>
    </row>
    <row r="18" spans="1:9" s="22" customFormat="1">
      <c r="A18" s="417">
        <v>15</v>
      </c>
      <c r="B18" s="571" t="s">
        <v>379</v>
      </c>
      <c r="C18" s="571">
        <v>30</v>
      </c>
      <c r="D18" s="416">
        <f>IF(COUNT('ISIRF RAW'!M28)=0,"",'ISIRF RAW'!M28)</f>
        <v>2.5016394045999997</v>
      </c>
      <c r="E18" s="416">
        <f>IF(COUNT('ISIRF RAW'!O28)=0,"",'ISIRF RAW'!O28)</f>
        <v>-27.423982535598864</v>
      </c>
      <c r="F18" s="416">
        <f>IF(COUNT('ISIRF RAW'!J28)=0,"",'ISIRF RAW'!J28)</f>
        <v>0.18658834320000001</v>
      </c>
      <c r="G18" s="416">
        <f>IF(COUNT('ISIRF RAW'!L28)=0,"",'ISIRF RAW'!L28)</f>
        <v>4.4015589093573482</v>
      </c>
      <c r="H18" s="429">
        <f t="shared" si="1"/>
        <v>13.407265221914461</v>
      </c>
      <c r="I18" s="591"/>
    </row>
    <row r="19" spans="1:9" s="22" customFormat="1">
      <c r="A19" s="417">
        <v>16</v>
      </c>
      <c r="B19" s="571" t="s">
        <v>380</v>
      </c>
      <c r="C19" s="571">
        <v>30</v>
      </c>
      <c r="D19" s="416">
        <f>IF(COUNT('ISIRF RAW'!M29)=0,"",'ISIRF RAW'!M29)</f>
        <v>2.0713392847000001</v>
      </c>
      <c r="E19" s="416">
        <f>IF(COUNT('ISIRF RAW'!O29)=0,"",'ISIRF RAW'!O29)</f>
        <v>-28.053126999991598</v>
      </c>
      <c r="F19" s="416">
        <f>IF(COUNT('ISIRF RAW'!J29)=0,"",'ISIRF RAW'!J29)</f>
        <v>0.16770928230000001</v>
      </c>
      <c r="G19" s="416">
        <f>IF(COUNT('ISIRF RAW'!L29)=0,"",'ISIRF RAW'!L29)</f>
        <v>4.6186471993585805</v>
      </c>
      <c r="H19" s="429">
        <f t="shared" ref="H19" si="2">D19/F19</f>
        <v>12.350773053782246</v>
      </c>
      <c r="I19" s="591"/>
    </row>
    <row r="20" spans="1:9" s="22" customFormat="1" ht="20.5">
      <c r="A20" s="417">
        <v>17</v>
      </c>
      <c r="B20" s="571" t="s">
        <v>381</v>
      </c>
      <c r="C20" s="571">
        <v>30</v>
      </c>
      <c r="D20" s="416"/>
      <c r="E20" s="416"/>
      <c r="F20" s="416"/>
      <c r="G20" s="416"/>
      <c r="H20" s="429"/>
      <c r="I20" s="650" t="s">
        <v>464</v>
      </c>
    </row>
    <row r="21" spans="1:9" s="22" customFormat="1">
      <c r="A21" s="417">
        <v>18</v>
      </c>
      <c r="B21" s="571" t="s">
        <v>365</v>
      </c>
      <c r="C21" s="571">
        <v>30</v>
      </c>
      <c r="D21" s="416">
        <f>IF(COUNT('ISIRF RAW'!M31)=0,"",'ISIRF RAW'!M31)</f>
        <v>1.5267021434000001</v>
      </c>
      <c r="E21" s="416">
        <f>IF(COUNT('ISIRF RAW'!O31)=0,"",'ISIRF RAW'!O31)</f>
        <v>-16.981515398889108</v>
      </c>
      <c r="F21" s="416">
        <f>IF(COUNT('ISIRF RAW'!J31)=0,"",'ISIRF RAW'!J31)</f>
        <v>0.12305721960000002</v>
      </c>
      <c r="G21" s="416">
        <f>IF(COUNT('ISIRF RAW'!L31)=0,"",'ISIRF RAW'!L31)</f>
        <v>5.9207519976999539</v>
      </c>
      <c r="H21" s="429">
        <f t="shared" si="1"/>
        <v>12.406441071580979</v>
      </c>
      <c r="I21" s="591" t="s">
        <v>94</v>
      </c>
    </row>
    <row r="22" spans="1:9" s="22" customFormat="1">
      <c r="A22" s="417">
        <v>19</v>
      </c>
      <c r="B22" s="571" t="s">
        <v>366</v>
      </c>
      <c r="C22" s="571">
        <v>30</v>
      </c>
      <c r="D22" s="416">
        <f>IF(COUNT('ISIRF RAW'!M37)=0,"",'ISIRF RAW'!M37)</f>
        <v>2.1134087492</v>
      </c>
      <c r="E22" s="416">
        <f>IF(COUNT('ISIRF RAW'!O37)=0,"",'ISIRF RAW'!O37)</f>
        <v>-16.988851622603107</v>
      </c>
      <c r="F22" s="416">
        <f>IF(COUNT('ISIRF RAW'!J37)=0,"",'ISIRF RAW'!J37)</f>
        <v>0.16575670650000002</v>
      </c>
      <c r="G22" s="416">
        <f>IF(COUNT('ISIRF RAW'!L37)=0,"",'ISIRF RAW'!L37)</f>
        <v>6.0438878671039866</v>
      </c>
      <c r="H22" s="429">
        <f t="shared" si="1"/>
        <v>12.750064801752078</v>
      </c>
      <c r="I22" s="591" t="s">
        <v>94</v>
      </c>
    </row>
    <row r="23" spans="1:9" s="22" customFormat="1">
      <c r="A23" s="417">
        <v>20</v>
      </c>
      <c r="B23" s="651" t="s">
        <v>388</v>
      </c>
      <c r="C23" s="651">
        <v>3.5</v>
      </c>
      <c r="D23" s="652">
        <f>IF(COUNT('ISIRF RAW'!M38)=0,"",'ISIRF RAW'!M38)</f>
        <v>36.433480236999998</v>
      </c>
      <c r="E23" s="652">
        <f>IF(COUNT('ISIRF RAW'!O38)=0,"",'ISIRF RAW'!O38)</f>
        <v>-4.5510211401466671</v>
      </c>
      <c r="F23" s="652">
        <f>IF(COUNT('ISIRF RAW'!J38)=0,"",'ISIRF RAW'!J38)</f>
        <v>3.1665078221000003</v>
      </c>
      <c r="G23" s="652">
        <f>IF(COUNT('ISIRF RAW'!L38)=0,"",'ISIRF RAW'!L38)</f>
        <v>6.9816727098738127</v>
      </c>
      <c r="H23" s="653">
        <f t="shared" si="1"/>
        <v>11.505886700395905</v>
      </c>
      <c r="I23" s="654" t="s">
        <v>462</v>
      </c>
    </row>
    <row r="24" spans="1:9" s="22" customFormat="1">
      <c r="A24" s="417">
        <v>21</v>
      </c>
      <c r="B24" s="651" t="s">
        <v>389</v>
      </c>
      <c r="C24" s="651">
        <v>3.5</v>
      </c>
      <c r="D24" s="652">
        <f>IF(COUNT('ISIRF RAW'!M39)=0,"",'ISIRF RAW'!M39)</f>
        <v>39.105696496299998</v>
      </c>
      <c r="E24" s="652">
        <f>IF(COUNT('ISIRF RAW'!O39)=0,"",'ISIRF RAW'!O39)</f>
        <v>-6.3629597580618933</v>
      </c>
      <c r="F24" s="652">
        <f>IF(COUNT('ISIRF RAW'!J39)=0,"",'ISIRF RAW'!J39)</f>
        <v>2.7385891001</v>
      </c>
      <c r="G24" s="652">
        <f>IF(COUNT('ISIRF RAW'!L39)=0,"",'ISIRF RAW'!L39)</f>
        <v>5.0515784769915584</v>
      </c>
      <c r="H24" s="653">
        <f t="shared" si="1"/>
        <v>14.279504908155827</v>
      </c>
      <c r="I24" s="654" t="s">
        <v>462</v>
      </c>
    </row>
    <row r="25" spans="1:9" s="22" customFormat="1">
      <c r="A25" s="417">
        <v>22</v>
      </c>
      <c r="B25" s="651" t="s">
        <v>390</v>
      </c>
      <c r="C25" s="651">
        <v>3.5</v>
      </c>
      <c r="D25" s="652">
        <f>IF(COUNT('ISIRF RAW'!M40)=0,"",'ISIRF RAW'!M40)</f>
        <v>34.897111148200004</v>
      </c>
      <c r="E25" s="652">
        <f>IF(COUNT('ISIRF RAW'!O40)=0,"",'ISIRF RAW'!O40)</f>
        <v>-5.2240895171154786</v>
      </c>
      <c r="F25" s="652">
        <f>IF(COUNT('ISIRF RAW'!J40)=0,"",'ISIRF RAW'!J40)</f>
        <v>2.5560016229999998</v>
      </c>
      <c r="G25" s="652">
        <f>IF(COUNT('ISIRF RAW'!L40)=0,"",'ISIRF RAW'!L40)</f>
        <v>5.5026279970982852</v>
      </c>
      <c r="H25" s="653">
        <f t="shared" si="1"/>
        <v>13.653008211802691</v>
      </c>
      <c r="I25" s="654" t="s">
        <v>462</v>
      </c>
    </row>
    <row r="26" spans="1:9" s="22" customFormat="1">
      <c r="A26" s="417">
        <v>23</v>
      </c>
      <c r="B26" s="651" t="s">
        <v>391</v>
      </c>
      <c r="C26" s="651">
        <v>3.5</v>
      </c>
      <c r="D26" s="652">
        <f>IF(COUNT('ISIRF RAW'!M41)=0,"",'ISIRF RAW'!M41)</f>
        <v>36.050959718199998</v>
      </c>
      <c r="E26" s="652">
        <f>IF(COUNT('ISIRF RAW'!O41)=0,"",'ISIRF RAW'!O41)</f>
        <v>-5.0825085104710039</v>
      </c>
      <c r="F26" s="652">
        <f>IF(COUNT('ISIRF RAW'!J41)=0,"",'ISIRF RAW'!J41)</f>
        <v>3.4241496162999998</v>
      </c>
      <c r="G26" s="652">
        <f>IF(COUNT('ISIRF RAW'!L41)=0,"",'ISIRF RAW'!L41)</f>
        <v>4.0092107048566543</v>
      </c>
      <c r="H26" s="653">
        <f t="shared" si="1"/>
        <v>10.528441732389963</v>
      </c>
      <c r="I26" s="654" t="s">
        <v>462</v>
      </c>
    </row>
    <row r="27" spans="1:9" s="22" customFormat="1">
      <c r="A27" s="417">
        <v>24</v>
      </c>
      <c r="B27" s="651" t="s">
        <v>392</v>
      </c>
      <c r="C27" s="651">
        <v>3.5</v>
      </c>
      <c r="D27" s="652">
        <f>IF(COUNT('ISIRF RAW'!M42)=0,"",'ISIRF RAW'!M42)</f>
        <v>40.260576824999994</v>
      </c>
      <c r="E27" s="652">
        <f>IF(COUNT('ISIRF RAW'!O42)=0,"",'ISIRF RAW'!O42)</f>
        <v>-6.6537643035242988</v>
      </c>
      <c r="F27" s="652">
        <f>IF(COUNT('ISIRF RAW'!J42)=0,"",'ISIRF RAW'!J42)</f>
        <v>3.2207346640000001</v>
      </c>
      <c r="G27" s="652">
        <f>IF(COUNT('ISIRF RAW'!L42)=0,"",'ISIRF RAW'!L42)</f>
        <v>4.0946933473263929</v>
      </c>
      <c r="H27" s="653">
        <f t="shared" si="1"/>
        <v>12.500432673021956</v>
      </c>
      <c r="I27" s="654" t="s">
        <v>462</v>
      </c>
    </row>
    <row r="28" spans="1:9" s="22" customFormat="1">
      <c r="A28" s="417">
        <v>25</v>
      </c>
      <c r="B28" s="651" t="s">
        <v>393</v>
      </c>
      <c r="C28" s="651">
        <v>3.5</v>
      </c>
      <c r="D28" s="652">
        <f>IF(COUNT('ISIRF RAW'!M43)=0,"",'ISIRF RAW'!M43)</f>
        <v>33.552269951899994</v>
      </c>
      <c r="E28" s="652">
        <f>IF(COUNT('ISIRF RAW'!O43)=0,"",'ISIRF RAW'!O43)</f>
        <v>-5.5146992700286397</v>
      </c>
      <c r="F28" s="652">
        <f>IF(COUNT('ISIRF RAW'!J43)=0,"",'ISIRF RAW'!J43)</f>
        <v>2.8361363247000004</v>
      </c>
      <c r="G28" s="652">
        <f>IF(COUNT('ISIRF RAW'!L43)=0,"",'ISIRF RAW'!L43)</f>
        <v>4.4809038141410742</v>
      </c>
      <c r="H28" s="653">
        <f t="shared" si="1"/>
        <v>11.830274045606419</v>
      </c>
      <c r="I28" s="654" t="s">
        <v>462</v>
      </c>
    </row>
    <row r="29" spans="1:9" s="22" customFormat="1">
      <c r="A29" s="417">
        <v>26</v>
      </c>
      <c r="B29" s="651" t="s">
        <v>394</v>
      </c>
      <c r="C29" s="651">
        <v>3.5</v>
      </c>
      <c r="D29" s="652">
        <f>IF(COUNT('ISIRF RAW'!M44)=0,"",'ISIRF RAW'!M44)</f>
        <v>34.294417483900006</v>
      </c>
      <c r="E29" s="652">
        <f>IF(COUNT('ISIRF RAW'!O44)=0,"",'ISIRF RAW'!O44)</f>
        <v>-5.1103825179077367</v>
      </c>
      <c r="F29" s="652">
        <f>IF(COUNT('ISIRF RAW'!J44)=0,"",'ISIRF RAW'!J44)</f>
        <v>2.994382356</v>
      </c>
      <c r="G29" s="652">
        <f>IF(COUNT('ISIRF RAW'!L44)=0,"",'ISIRF RAW'!L44)</f>
        <v>6.9948059323780178</v>
      </c>
      <c r="H29" s="653">
        <f t="shared" si="1"/>
        <v>11.452918634516562</v>
      </c>
      <c r="I29" s="654" t="s">
        <v>462</v>
      </c>
    </row>
    <row r="30" spans="1:9" s="22" customFormat="1">
      <c r="A30" s="417">
        <v>27</v>
      </c>
      <c r="B30" s="651" t="s">
        <v>395</v>
      </c>
      <c r="C30" s="651">
        <v>3.5</v>
      </c>
      <c r="D30" s="652">
        <f>IF(COUNT('ISIRF RAW'!M45)=0,"",'ISIRF RAW'!M45)</f>
        <v>40.5190300151</v>
      </c>
      <c r="E30" s="652">
        <f>IF(COUNT('ISIRF RAW'!O45)=0,"",'ISIRF RAW'!O45)</f>
        <v>-7.0239324677905675</v>
      </c>
      <c r="F30" s="652">
        <f>IF(COUNT('ISIRF RAW'!J45)=0,"",'ISIRF RAW'!J45)</f>
        <v>2.4264141776000003</v>
      </c>
      <c r="G30" s="652">
        <f>IF(COUNT('ISIRF RAW'!L45)=0,"",'ISIRF RAW'!L45)</f>
        <v>5.2387794935422534</v>
      </c>
      <c r="H30" s="653">
        <f t="shared" si="1"/>
        <v>16.699139985729037</v>
      </c>
      <c r="I30" s="654" t="s">
        <v>462</v>
      </c>
    </row>
    <row r="31" spans="1:9" s="22" customFormat="1">
      <c r="A31" s="418">
        <v>28</v>
      </c>
      <c r="B31" s="651" t="s">
        <v>396</v>
      </c>
      <c r="C31" s="651">
        <v>3.5</v>
      </c>
      <c r="D31" s="652">
        <f>IF(COUNT('ISIRF RAW'!M47)=0,"",'ISIRF RAW'!M47)</f>
        <v>35.369001262699996</v>
      </c>
      <c r="E31" s="652">
        <f>IF(COUNT('ISIRF RAW'!O47)=0,"",'ISIRF RAW'!O47)</f>
        <v>-5.9349660738379111</v>
      </c>
      <c r="F31" s="652">
        <f>IF(COUNT('ISIRF RAW'!J47)=0,"",'ISIRF RAW'!J47)</f>
        <v>2.3228003183000001</v>
      </c>
      <c r="G31" s="652">
        <f>IF(COUNT('ISIRF RAW'!L47)=0,"",'ISIRF RAW'!L47)</f>
        <v>6.9040498339600855</v>
      </c>
      <c r="H31" s="653">
        <f t="shared" si="1"/>
        <v>15.226879807122504</v>
      </c>
      <c r="I31" s="654" t="s">
        <v>462</v>
      </c>
    </row>
    <row r="32" spans="1:9" s="22" customFormat="1">
      <c r="A32" s="417">
        <v>29</v>
      </c>
      <c r="B32" s="651" t="s">
        <v>397</v>
      </c>
      <c r="C32" s="651">
        <v>3.5</v>
      </c>
      <c r="D32" s="652">
        <f>IF(COUNT('ISIRF RAW'!M48)=0,"",'ISIRF RAW'!M48)</f>
        <v>46.331425156099996</v>
      </c>
      <c r="E32" s="652">
        <f>IF(COUNT('ISIRF RAW'!O48)=0,"",'ISIRF RAW'!O48)</f>
        <v>-4.9335637210225389</v>
      </c>
      <c r="F32" s="652">
        <f>IF(COUNT('ISIRF RAW'!J48)=0,"",'ISIRF RAW'!J48)</f>
        <v>3.4216294119000001</v>
      </c>
      <c r="G32" s="652">
        <f>IF(COUNT('ISIRF RAW'!L48)=0,"",'ISIRF RAW'!L48)</f>
        <v>6.5660010927390537</v>
      </c>
      <c r="H32" s="653">
        <f t="shared" si="1"/>
        <v>13.540749034645623</v>
      </c>
      <c r="I32" s="654" t="s">
        <v>462</v>
      </c>
    </row>
    <row r="33" spans="1:9" s="22" customFormat="1">
      <c r="A33" s="417">
        <v>30</v>
      </c>
      <c r="B33" s="651" t="s">
        <v>398</v>
      </c>
      <c r="C33" s="651">
        <v>3.5</v>
      </c>
      <c r="D33" s="652">
        <f>IF(COUNT('ISIRF RAW'!M49)=0,"",'ISIRF RAW'!M49)</f>
        <v>39.303491542700002</v>
      </c>
      <c r="E33" s="652">
        <f>IF(COUNT('ISIRF RAW'!O49)=0,"",'ISIRF RAW'!O49)</f>
        <v>-6.9473000850154145</v>
      </c>
      <c r="F33" s="652">
        <f>IF(COUNT('ISIRF RAW'!J49)=0,"",'ISIRF RAW'!J49)</f>
        <v>2.2431999785999999</v>
      </c>
      <c r="G33" s="652">
        <f>IF(COUNT('ISIRF RAW'!L49)=0,"",'ISIRF RAW'!L49)</f>
        <v>5.3935795603025909</v>
      </c>
      <c r="H33" s="653">
        <f t="shared" si="1"/>
        <v>17.521171503946626</v>
      </c>
      <c r="I33" s="654" t="s">
        <v>462</v>
      </c>
    </row>
    <row r="34" spans="1:9" s="22" customFormat="1">
      <c r="A34" s="417">
        <v>31</v>
      </c>
      <c r="B34" s="651" t="s">
        <v>399</v>
      </c>
      <c r="C34" s="651">
        <v>3.5</v>
      </c>
      <c r="D34" s="652">
        <f>IF(COUNT('ISIRF RAW'!M50)=0,"",'ISIRF RAW'!M50)</f>
        <v>34.604411324000004</v>
      </c>
      <c r="E34" s="652">
        <f>IF(COUNT('ISIRF RAW'!O50)=0,"",'ISIRF RAW'!O50)</f>
        <v>-6.1726251415766944</v>
      </c>
      <c r="F34" s="652">
        <f>IF(COUNT('ISIRF RAW'!J50)=0,"",'ISIRF RAW'!J50)</f>
        <v>2.8353814286000003</v>
      </c>
      <c r="G34" s="652">
        <f>IF(COUNT('ISIRF RAW'!L50)=0,"",'ISIRF RAW'!L50)</f>
        <v>6.4313681199512427</v>
      </c>
      <c r="H34" s="653">
        <f t="shared" si="1"/>
        <v>12.204499533978503</v>
      </c>
      <c r="I34" s="654" t="s">
        <v>462</v>
      </c>
    </row>
    <row r="35" spans="1:9" s="22" customFormat="1">
      <c r="A35" s="417">
        <v>32</v>
      </c>
      <c r="B35" s="651" t="s">
        <v>400</v>
      </c>
      <c r="C35" s="651">
        <v>3.5</v>
      </c>
      <c r="D35" s="652">
        <f>IF(COUNT('ISIRF RAW'!M51)=0,"",'ISIRF RAW'!M51)</f>
        <v>28.939739251500001</v>
      </c>
      <c r="E35" s="652">
        <f>IF(COUNT('ISIRF RAW'!O51)=0,"",'ISIRF RAW'!O51)</f>
        <v>-5.5319550195025329</v>
      </c>
      <c r="F35" s="652">
        <f>IF(COUNT('ISIRF RAW'!J51)=0,"",'ISIRF RAW'!J51)</f>
        <v>2.2397817225000001</v>
      </c>
      <c r="G35" s="652">
        <f>IF(COUNT('ISIRF RAW'!L51)=0,"",'ISIRF RAW'!L51)</f>
        <v>5.7498557933685746</v>
      </c>
      <c r="H35" s="653">
        <f t="shared" si="1"/>
        <v>12.920785521545392</v>
      </c>
      <c r="I35" s="654" t="s">
        <v>462</v>
      </c>
    </row>
    <row r="36" spans="1:9" s="22" customFormat="1">
      <c r="A36" s="417">
        <v>33</v>
      </c>
      <c r="B36" s="651" t="s">
        <v>401</v>
      </c>
      <c r="C36" s="651">
        <v>3.5</v>
      </c>
      <c r="D36" s="652">
        <f>IF(COUNT('ISIRF RAW'!M52)=0,"",'ISIRF RAW'!M52)</f>
        <v>40.333727665699996</v>
      </c>
      <c r="E36" s="652">
        <f>IF(COUNT('ISIRF RAW'!O52)=0,"",'ISIRF RAW'!O52)</f>
        <v>-7.9556129151000041</v>
      </c>
      <c r="F36" s="652">
        <f>IF(COUNT('ISIRF RAW'!J52)=0,"",'ISIRF RAW'!J52)</f>
        <v>2.5812685864000002</v>
      </c>
      <c r="G36" s="652">
        <f>IF(COUNT('ISIRF RAW'!L52)=0,"",'ISIRF RAW'!L52)</f>
        <v>5.5525544637988915</v>
      </c>
      <c r="H36" s="653">
        <f t="shared" si="1"/>
        <v>15.625544694654172</v>
      </c>
      <c r="I36" s="654" t="s">
        <v>462</v>
      </c>
    </row>
    <row r="37" spans="1:9" s="22" customFormat="1">
      <c r="A37" s="418">
        <v>34</v>
      </c>
      <c r="B37" s="651" t="s">
        <v>402</v>
      </c>
      <c r="C37" s="651">
        <v>3.5</v>
      </c>
      <c r="D37" s="652">
        <f>IF(COUNT('ISIRF RAW'!M53)=0,"",'ISIRF RAW'!M53)</f>
        <v>35.153496092399998</v>
      </c>
      <c r="E37" s="652">
        <f>IF(COUNT('ISIRF RAW'!O53)=0,"",'ISIRF RAW'!O53)</f>
        <v>-7.5402795612826674</v>
      </c>
      <c r="F37" s="652">
        <f>IF(COUNT('ISIRF RAW'!J53)=0,"",'ISIRF RAW'!J53)</f>
        <v>1.7509028516000003</v>
      </c>
      <c r="G37" s="652">
        <f>IF(COUNT('ISIRF RAW'!L53)=0,"",'ISIRF RAW'!L53)</f>
        <v>5.6472821814856466</v>
      </c>
      <c r="H37" s="653">
        <f t="shared" si="1"/>
        <v>20.077353840777761</v>
      </c>
      <c r="I37" s="654" t="s">
        <v>462</v>
      </c>
    </row>
    <row r="38" spans="1:9" s="22" customFormat="1">
      <c r="A38" s="418">
        <v>35</v>
      </c>
      <c r="B38" s="655" t="s">
        <v>403</v>
      </c>
      <c r="C38" s="651">
        <v>3.5</v>
      </c>
      <c r="D38" s="652">
        <f>IF(COUNT('ISIRF RAW'!M54)=0,"",'ISIRF RAW'!M54)</f>
        <v>35.114905858200004</v>
      </c>
      <c r="E38" s="652">
        <f>IF(COUNT('ISIRF RAW'!O54)=0,"",'ISIRF RAW'!O54)</f>
        <v>-4.9092393140660651</v>
      </c>
      <c r="F38" s="652">
        <f>IF(COUNT('ISIRF RAW'!J54)=0,"",'ISIRF RAW'!J54)</f>
        <v>2.0650444989999999</v>
      </c>
      <c r="G38" s="652">
        <f>IF(COUNT('ISIRF RAW'!L54)=0,"",'ISIRF RAW'!L54)</f>
        <v>6.3628581648703584</v>
      </c>
      <c r="H38" s="652">
        <f t="shared" si="1"/>
        <v>17.004430594693932</v>
      </c>
      <c r="I38" s="654" t="s">
        <v>462</v>
      </c>
    </row>
    <row r="39" spans="1:9" s="22" customFormat="1" ht="13" thickBot="1">
      <c r="A39" s="419">
        <v>36</v>
      </c>
      <c r="B39" s="656" t="s">
        <v>404</v>
      </c>
      <c r="C39" s="656">
        <v>3.5</v>
      </c>
      <c r="D39" s="657">
        <f>IF(COUNT('ISIRF RAW'!M55)=0,"",'ISIRF RAW'!M55)</f>
        <v>39.956910663599999</v>
      </c>
      <c r="E39" s="657">
        <f>IF(COUNT('ISIRF RAW'!O55)=0,"",'ISIRF RAW'!O55)</f>
        <v>-7.9021297285604213</v>
      </c>
      <c r="F39" s="657">
        <f>IF(COUNT('ISIRF RAW'!J55)=0,"",'ISIRF RAW'!J55)</f>
        <v>2.0837462800000002</v>
      </c>
      <c r="G39" s="657">
        <f>IF(COUNT('ISIRF RAW'!L55)=0,"",'ISIRF RAW'!L55)</f>
        <v>4.7927452278457494</v>
      </c>
      <c r="H39" s="657">
        <f t="shared" si="1"/>
        <v>19.175516255078808</v>
      </c>
      <c r="I39" s="658" t="s">
        <v>462</v>
      </c>
    </row>
    <row r="40" spans="1:9" s="22" customFormat="1" ht="13" thickTop="1">
      <c r="B40" s="433"/>
      <c r="C40" s="433"/>
      <c r="D40" s="420"/>
      <c r="E40" s="420"/>
      <c r="F40" s="420"/>
      <c r="G40" s="420"/>
      <c r="H40" s="420"/>
      <c r="I40" s="421"/>
    </row>
    <row r="41" spans="1:9" s="22" customFormat="1">
      <c r="B41" s="433"/>
      <c r="C41" s="433"/>
      <c r="D41" s="420"/>
      <c r="E41" s="420"/>
      <c r="F41" s="420"/>
      <c r="G41" s="420"/>
      <c r="H41" s="420"/>
      <c r="I41" s="421"/>
    </row>
    <row r="42" spans="1:9" s="22" customFormat="1">
      <c r="B42" s="433"/>
      <c r="C42" s="433"/>
      <c r="D42" s="420"/>
      <c r="E42" s="420"/>
      <c r="F42" s="420"/>
      <c r="G42" s="420"/>
      <c r="H42" s="420"/>
      <c r="I42" s="421"/>
    </row>
    <row r="43" spans="1:9" s="22" customFormat="1">
      <c r="B43" s="433"/>
      <c r="C43" s="433"/>
      <c r="D43" s="420"/>
      <c r="E43" s="420"/>
      <c r="F43" s="420"/>
      <c r="G43" s="420"/>
      <c r="H43" s="420"/>
      <c r="I43" s="421"/>
    </row>
    <row r="44" spans="1:9" s="22" customFormat="1">
      <c r="B44" s="433"/>
      <c r="C44" s="433"/>
      <c r="D44" s="420"/>
      <c r="E44" s="420"/>
      <c r="F44" s="420"/>
      <c r="G44" s="420"/>
      <c r="H44" s="420"/>
      <c r="I44" s="421"/>
    </row>
    <row r="45" spans="1:9" s="22" customFormat="1">
      <c r="B45" s="433"/>
      <c r="C45" s="433"/>
      <c r="D45" s="420"/>
      <c r="E45" s="420"/>
      <c r="F45" s="420"/>
      <c r="G45" s="420"/>
      <c r="H45" s="420"/>
      <c r="I45" s="421"/>
    </row>
    <row r="46" spans="1:9" s="22" customFormat="1">
      <c r="B46" s="420"/>
      <c r="C46" s="420"/>
      <c r="D46" s="420"/>
      <c r="E46" s="420"/>
      <c r="F46" s="420"/>
      <c r="G46" s="420"/>
      <c r="H46" s="420"/>
      <c r="I46" s="421"/>
    </row>
    <row r="47" spans="1:9" s="22" customFormat="1">
      <c r="B47" s="420"/>
      <c r="C47" s="420"/>
      <c r="D47" s="420"/>
      <c r="E47" s="420"/>
      <c r="F47" s="420"/>
      <c r="G47" s="420"/>
      <c r="H47" s="420"/>
      <c r="I47" s="421"/>
    </row>
    <row r="48" spans="1:9" s="22" customFormat="1">
      <c r="B48" s="420"/>
      <c r="C48" s="420"/>
      <c r="D48" s="420"/>
      <c r="E48" s="420"/>
      <c r="F48" s="420"/>
      <c r="G48" s="420"/>
      <c r="H48" s="420"/>
      <c r="I48" s="421"/>
    </row>
    <row r="49" spans="2:11" s="22" customFormat="1">
      <c r="B49" s="420"/>
      <c r="C49" s="420"/>
      <c r="D49" s="420"/>
      <c r="E49" s="420"/>
      <c r="F49" s="420"/>
      <c r="G49" s="420"/>
      <c r="H49" s="420"/>
      <c r="I49" s="421"/>
    </row>
    <row r="50" spans="2:11" s="22" customFormat="1">
      <c r="B50" s="420"/>
      <c r="C50" s="420"/>
      <c r="D50" s="420"/>
      <c r="E50" s="420"/>
      <c r="F50" s="420"/>
      <c r="G50" s="420"/>
      <c r="H50" s="420"/>
      <c r="I50" s="421"/>
    </row>
    <row r="51" spans="2:11" s="22" customFormat="1">
      <c r="B51" s="420"/>
      <c r="C51" s="420"/>
      <c r="D51" s="420"/>
      <c r="E51" s="420"/>
      <c r="F51" s="420"/>
      <c r="G51" s="420"/>
      <c r="H51" s="420"/>
      <c r="I51" s="421"/>
    </row>
    <row r="52" spans="2:11" s="22" customFormat="1">
      <c r="B52" s="420"/>
      <c r="C52" s="420"/>
      <c r="D52" s="420"/>
      <c r="E52" s="420"/>
      <c r="F52" s="420"/>
      <c r="G52" s="420"/>
      <c r="H52" s="420"/>
      <c r="I52" s="421"/>
    </row>
    <row r="53" spans="2:11" s="22" customFormat="1">
      <c r="B53" s="420"/>
      <c r="C53" s="420"/>
      <c r="D53" s="420"/>
      <c r="E53" s="420"/>
      <c r="F53" s="420"/>
      <c r="G53" s="420"/>
      <c r="H53" s="420"/>
      <c r="I53" s="421"/>
    </row>
    <row r="54" spans="2:11" s="22" customFormat="1">
      <c r="B54" s="420"/>
      <c r="C54" s="420"/>
      <c r="D54" s="420"/>
      <c r="E54" s="420"/>
      <c r="F54" s="420"/>
      <c r="G54" s="420"/>
      <c r="H54" s="420"/>
      <c r="I54" s="421"/>
    </row>
    <row r="55" spans="2:11" s="22" customFormat="1">
      <c r="B55" s="420"/>
      <c r="C55" s="420"/>
      <c r="D55" s="420"/>
      <c r="E55" s="420"/>
      <c r="F55" s="420"/>
      <c r="G55" s="420"/>
      <c r="H55" s="420"/>
      <c r="I55" s="421"/>
    </row>
    <row r="56" spans="2:11" s="22" customFormat="1">
      <c r="B56" s="420"/>
      <c r="C56" s="420"/>
      <c r="D56" s="420"/>
      <c r="E56" s="420"/>
      <c r="F56" s="420"/>
      <c r="G56" s="420"/>
      <c r="H56" s="420"/>
      <c r="I56" s="421"/>
    </row>
    <row r="57" spans="2:11" s="22" customFormat="1">
      <c r="B57" s="420"/>
      <c r="C57" s="420"/>
      <c r="D57" s="420"/>
      <c r="E57" s="420"/>
      <c r="F57" s="420"/>
      <c r="G57" s="420"/>
      <c r="H57" s="420"/>
      <c r="I57" s="421"/>
    </row>
    <row r="58" spans="2:11" s="22" customFormat="1">
      <c r="B58" s="420"/>
      <c r="C58" s="420"/>
      <c r="D58" s="420"/>
      <c r="E58" s="420"/>
      <c r="F58" s="420"/>
      <c r="G58" s="420"/>
      <c r="H58" s="420"/>
      <c r="I58" s="421"/>
    </row>
    <row r="59" spans="2:11" s="22" customFormat="1">
      <c r="B59" s="420"/>
      <c r="C59" s="420"/>
      <c r="D59" s="420"/>
      <c r="E59" s="420"/>
      <c r="F59" s="420"/>
      <c r="G59" s="420"/>
      <c r="H59" s="420"/>
      <c r="I59" s="421"/>
    </row>
    <row r="60" spans="2:11" s="22" customFormat="1">
      <c r="B60" s="420"/>
      <c r="C60" s="420"/>
      <c r="D60" s="420"/>
      <c r="E60" s="420"/>
      <c r="F60" s="420"/>
      <c r="G60" s="420"/>
      <c r="H60" s="420"/>
      <c r="I60" s="421"/>
    </row>
    <row r="61" spans="2:11" s="22" customFormat="1">
      <c r="B61" s="420"/>
      <c r="C61" s="420"/>
      <c r="D61" s="420"/>
      <c r="E61" s="420"/>
      <c r="F61" s="420"/>
      <c r="G61" s="420"/>
      <c r="H61" s="420"/>
      <c r="I61" s="421"/>
    </row>
    <row r="62" spans="2:11" s="22" customFormat="1">
      <c r="B62" s="420"/>
      <c r="C62" s="420"/>
      <c r="D62" s="420"/>
      <c r="E62" s="420"/>
      <c r="F62" s="420"/>
      <c r="G62" s="420"/>
      <c r="H62" s="420"/>
      <c r="I62" s="421"/>
    </row>
    <row r="63" spans="2:11" s="22" customFormat="1">
      <c r="B63" s="420"/>
      <c r="C63" s="420"/>
      <c r="D63" s="420"/>
      <c r="E63" s="420"/>
      <c r="F63" s="420"/>
      <c r="G63" s="420"/>
      <c r="H63" s="420"/>
      <c r="I63" s="421"/>
      <c r="K63" s="15"/>
    </row>
    <row r="64" spans="2:11" s="22" customFormat="1">
      <c r="B64" s="420"/>
      <c r="C64" s="420"/>
      <c r="D64" s="420"/>
      <c r="E64" s="420"/>
      <c r="F64" s="420"/>
      <c r="G64" s="420"/>
      <c r="H64" s="420"/>
      <c r="I64" s="421"/>
      <c r="K64" s="15"/>
    </row>
    <row r="65" spans="2:11" s="22" customFormat="1">
      <c r="B65" s="420"/>
      <c r="C65" s="420"/>
      <c r="D65" s="420"/>
      <c r="E65" s="420"/>
      <c r="F65" s="420"/>
      <c r="G65" s="420"/>
      <c r="H65" s="420"/>
      <c r="I65" s="421"/>
      <c r="K65" s="15"/>
    </row>
    <row r="66" spans="2:11" s="22" customFormat="1">
      <c r="B66" s="420"/>
      <c r="C66" s="420"/>
      <c r="D66" s="420"/>
      <c r="E66" s="420"/>
      <c r="F66" s="420"/>
      <c r="G66" s="420"/>
      <c r="H66" s="420"/>
      <c r="I66" s="421"/>
      <c r="K66" s="15"/>
    </row>
  </sheetData>
  <protectedRanges>
    <protectedRange sqref="I3:IW3 J4:J37 L4:IW37 K4:K33" name="User Data"/>
    <protectedRange password="94AB" sqref="B38:B39" name="Sample IDs"/>
    <protectedRange sqref="I4:I39" name="User Data_1"/>
    <protectedRange password="94AB" sqref="B4:C4 B5:B37 C5:C39" name="Sample IDs_1_1"/>
  </protectedRanges>
  <mergeCells count="1">
    <mergeCell ref="C2:D2"/>
  </mergeCells>
  <phoneticPr fontId="0" type="noConversion"/>
  <pageMargins left="0.75" right="0.75" top="1" bottom="1" header="0.5" footer="0.5"/>
  <pageSetup scale="7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X75"/>
  <sheetViews>
    <sheetView topLeftCell="A23" workbookViewId="0">
      <selection activeCell="G41" sqref="G41"/>
    </sheetView>
  </sheetViews>
  <sheetFormatPr defaultColWidth="9.1796875" defaultRowHeight="12.5"/>
  <cols>
    <col min="1" max="1" width="22.54296875" style="2" customWidth="1"/>
    <col min="2" max="2" width="7.81640625" style="2" customWidth="1"/>
    <col min="3" max="3" width="28.453125" style="2" customWidth="1"/>
    <col min="4" max="4" width="8.26953125" style="2" customWidth="1"/>
    <col min="5" max="5" width="12.1796875" style="2" customWidth="1"/>
    <col min="6" max="6" width="11.26953125" style="2" customWidth="1"/>
    <col min="7" max="7" width="11.1796875" style="2" customWidth="1"/>
    <col min="8" max="8" width="7.7265625" customWidth="1"/>
    <col min="9" max="9" width="22.26953125" style="2" bestFit="1" customWidth="1"/>
    <col min="10" max="10" width="6.81640625" style="2" bestFit="1" customWidth="1"/>
    <col min="11" max="11" width="9.1796875" style="2"/>
    <col min="12" max="12" width="10.1796875" style="2" customWidth="1"/>
    <col min="13" max="18" width="9.1796875" style="2"/>
    <col min="19" max="19" width="9.81640625" style="2" customWidth="1"/>
    <col min="20" max="20" width="11.453125" style="9" customWidth="1"/>
    <col min="21" max="26" width="9.1796875" style="2"/>
    <col min="27" max="27" width="12" style="2" bestFit="1" customWidth="1"/>
    <col min="28" max="33" width="9.1796875" style="2"/>
    <col min="34" max="34" width="9.7265625" style="2" customWidth="1"/>
    <col min="35" max="16384" width="9.1796875" style="2"/>
  </cols>
  <sheetData>
    <row r="1" spans="1:50" ht="14" thickTop="1" thickBot="1">
      <c r="A1" s="153" t="str">
        <f>COVER!B4</f>
        <v>ISIRF Isotope Cube INLET SUBMISSION FORM -- AS OF 4/29/2024</v>
      </c>
      <c r="B1" s="9"/>
      <c r="C1" s="9"/>
      <c r="D1" s="9"/>
      <c r="E1" s="276"/>
      <c r="F1" s="465" t="s">
        <v>32</v>
      </c>
      <c r="G1" s="159">
        <f>COUNTA('Investigator Data'!B4:B39)</f>
        <v>36</v>
      </c>
    </row>
    <row r="2" spans="1:50" ht="14" thickTop="1" thickBot="1">
      <c r="A2" s="9"/>
      <c r="B2" s="154" t="s">
        <v>10</v>
      </c>
      <c r="C2" s="375" t="str">
        <f>COVER!C2</f>
        <v>IC13C15N-240610-10KansasROAR-Mix</v>
      </c>
      <c r="D2" s="302"/>
      <c r="E2" s="281" t="s">
        <v>152</v>
      </c>
      <c r="F2" s="9"/>
      <c r="G2" s="9"/>
    </row>
    <row r="3" spans="1:50" ht="13.5" thickTop="1">
      <c r="A3" s="155" t="s">
        <v>28</v>
      </c>
      <c r="B3" s="156"/>
      <c r="C3" s="422"/>
      <c r="D3" s="301" t="s">
        <v>78</v>
      </c>
      <c r="E3" s="275" t="s">
        <v>149</v>
      </c>
      <c r="F3" s="275"/>
      <c r="G3" s="626"/>
      <c r="I3" s="4"/>
      <c r="J3" s="3"/>
      <c r="K3" s="3"/>
      <c r="L3" s="3"/>
      <c r="M3" s="6"/>
      <c r="N3" s="4"/>
      <c r="O3" s="5"/>
      <c r="P3" s="5"/>
      <c r="Q3" s="7"/>
      <c r="R3" s="5"/>
      <c r="S3" s="5"/>
      <c r="X3" s="5"/>
      <c r="Y3" s="5"/>
      <c r="Z3" s="4"/>
      <c r="AA3" s="8"/>
      <c r="AB3" s="8"/>
      <c r="AC3" s="8"/>
      <c r="AD3" s="4"/>
      <c r="AE3" s="4"/>
      <c r="AF3" s="4"/>
      <c r="AG3" s="4"/>
      <c r="AH3" s="4"/>
      <c r="AI3" s="4"/>
      <c r="AJ3" s="4"/>
      <c r="AK3" s="4"/>
      <c r="AL3" s="4"/>
      <c r="AM3" s="5"/>
      <c r="AN3" s="5"/>
      <c r="AV3" s="18"/>
      <c r="AW3" s="18"/>
      <c r="AX3" s="18"/>
    </row>
    <row r="4" spans="1:50" ht="13">
      <c r="A4" s="157" t="s">
        <v>31</v>
      </c>
      <c r="B4" s="158"/>
      <c r="C4" s="423" t="str">
        <f>COVER!C19</f>
        <v>Soil</v>
      </c>
      <c r="D4" s="347"/>
      <c r="E4" s="430" t="s">
        <v>9</v>
      </c>
      <c r="F4" s="431" t="s">
        <v>175</v>
      </c>
      <c r="G4" s="432"/>
      <c r="I4" s="4"/>
      <c r="J4" s="4"/>
      <c r="K4" s="3"/>
      <c r="L4" s="3"/>
      <c r="M4" s="6"/>
      <c r="N4" s="4"/>
      <c r="O4" s="6"/>
      <c r="P4" s="6"/>
      <c r="Q4" s="4"/>
      <c r="R4" s="5"/>
      <c r="S4" s="5"/>
      <c r="X4" s="5"/>
      <c r="Y4" s="5"/>
      <c r="Z4" s="4"/>
      <c r="AA4" s="8"/>
      <c r="AB4" s="8"/>
      <c r="AC4" s="8"/>
      <c r="AD4" s="4"/>
      <c r="AE4" s="4"/>
      <c r="AF4" s="4"/>
      <c r="AG4" s="4"/>
      <c r="AH4" s="4"/>
      <c r="AI4" s="4"/>
      <c r="AJ4" s="4"/>
      <c r="AK4" s="4"/>
      <c r="AL4" s="4"/>
      <c r="AM4" s="5"/>
      <c r="AN4" s="5"/>
      <c r="AV4" s="8"/>
      <c r="AW4" s="8"/>
      <c r="AX4" s="8"/>
    </row>
    <row r="5" spans="1:50" ht="13">
      <c r="A5" s="157" t="s">
        <v>155</v>
      </c>
      <c r="B5" s="158"/>
      <c r="C5" s="423">
        <f>COVER!C16</f>
        <v>0</v>
      </c>
      <c r="D5" s="347"/>
      <c r="E5" s="280"/>
      <c r="F5" s="280"/>
      <c r="G5" s="627"/>
      <c r="I5" s="4"/>
      <c r="J5" s="4"/>
      <c r="K5" s="1"/>
      <c r="L5" s="1"/>
      <c r="M5" s="6"/>
      <c r="N5" s="6"/>
      <c r="O5" s="6"/>
      <c r="P5" s="6"/>
      <c r="Q5" s="4"/>
      <c r="R5" s="5"/>
      <c r="S5" s="5"/>
      <c r="X5" s="5"/>
      <c r="Y5" s="5"/>
      <c r="Z5" s="4"/>
      <c r="AA5" s="8"/>
      <c r="AB5" s="8"/>
      <c r="AC5" s="8"/>
      <c r="AD5" s="4"/>
      <c r="AE5" s="4"/>
      <c r="AF5" s="4"/>
      <c r="AG5" s="4"/>
      <c r="AH5" s="4"/>
      <c r="AI5" s="4"/>
      <c r="AJ5" s="4"/>
      <c r="AK5" s="4"/>
      <c r="AL5" s="4"/>
      <c r="AM5" s="5"/>
      <c r="AN5" s="5"/>
      <c r="AV5" s="8"/>
      <c r="AW5" s="8"/>
      <c r="AX5" s="8"/>
    </row>
    <row r="6" spans="1:50" ht="13">
      <c r="A6" s="157" t="s">
        <v>127</v>
      </c>
      <c r="B6" s="160"/>
      <c r="C6" s="423" t="str">
        <f>COVER!C15</f>
        <v>13C15N</v>
      </c>
      <c r="D6" s="347"/>
      <c r="E6" s="278"/>
      <c r="F6" s="278"/>
      <c r="G6" s="628"/>
      <c r="I6" s="4"/>
      <c r="J6" s="4"/>
      <c r="K6" s="3"/>
      <c r="L6" s="3"/>
      <c r="M6" s="6"/>
      <c r="N6" s="4"/>
      <c r="O6" s="5"/>
      <c r="P6" s="5"/>
      <c r="Q6" s="7"/>
      <c r="R6" s="5"/>
      <c r="S6" s="5"/>
      <c r="X6" s="5"/>
      <c r="Y6" s="5"/>
      <c r="Z6" s="4"/>
      <c r="AA6" s="8"/>
      <c r="AB6" s="8"/>
      <c r="AC6" s="8"/>
      <c r="AD6" s="4"/>
      <c r="AE6" s="4"/>
      <c r="AF6" s="4"/>
      <c r="AG6" s="4"/>
      <c r="AH6" s="4"/>
      <c r="AI6" s="4"/>
      <c r="AJ6" s="4"/>
      <c r="AK6" s="4"/>
      <c r="AL6" s="4"/>
      <c r="AM6" s="5"/>
      <c r="AN6" s="5"/>
      <c r="AV6" s="8"/>
      <c r="AW6" s="8"/>
      <c r="AX6" s="8"/>
    </row>
    <row r="7" spans="1:50" ht="13">
      <c r="A7" s="161" t="s">
        <v>29</v>
      </c>
      <c r="B7" s="160"/>
      <c r="C7" s="632" t="str">
        <f>COVER!C14</f>
        <v>Janice Chatfield</v>
      </c>
      <c r="D7" s="348"/>
      <c r="E7" s="279"/>
      <c r="F7" s="279"/>
      <c r="G7" s="277"/>
      <c r="I7" s="4"/>
      <c r="J7" s="4"/>
      <c r="K7" s="3"/>
      <c r="L7" s="3"/>
      <c r="M7" s="6"/>
      <c r="N7" s="4"/>
      <c r="O7" s="6"/>
      <c r="P7" s="6"/>
      <c r="Q7" s="4"/>
      <c r="R7" s="5"/>
      <c r="S7" s="5"/>
      <c r="X7" s="5"/>
      <c r="Y7" s="5"/>
      <c r="Z7" s="4"/>
      <c r="AA7" s="8"/>
      <c r="AB7" s="8"/>
      <c r="AC7" s="8"/>
      <c r="AD7" s="4"/>
      <c r="AE7" s="4"/>
      <c r="AF7" s="4"/>
      <c r="AG7" s="4"/>
      <c r="AH7" s="4"/>
      <c r="AI7" s="4"/>
      <c r="AJ7" s="4"/>
      <c r="AK7" s="4"/>
      <c r="AL7" s="4"/>
      <c r="AM7" s="5"/>
      <c r="AN7" s="5"/>
      <c r="AV7" s="8"/>
      <c r="AW7" s="8"/>
      <c r="AX7" s="8"/>
    </row>
    <row r="8" spans="1:50" ht="13">
      <c r="A8" s="161" t="s">
        <v>156</v>
      </c>
      <c r="B8" s="160"/>
      <c r="C8" s="423"/>
      <c r="D8" s="348"/>
      <c r="E8" s="283"/>
      <c r="F8" s="283"/>
      <c r="G8" s="284"/>
      <c r="I8" s="4"/>
      <c r="J8" s="4"/>
      <c r="K8" s="3"/>
      <c r="L8" s="3"/>
      <c r="M8" s="6"/>
      <c r="N8" s="4"/>
      <c r="O8" s="6"/>
      <c r="P8" s="6"/>
      <c r="Q8" s="4"/>
      <c r="R8" s="5"/>
      <c r="S8" s="5"/>
      <c r="X8" s="5"/>
      <c r="Y8" s="5"/>
      <c r="Z8" s="4"/>
      <c r="AA8" s="8"/>
      <c r="AB8" s="8"/>
      <c r="AC8" s="8"/>
      <c r="AD8" s="4"/>
      <c r="AE8" s="4"/>
      <c r="AF8" s="4"/>
      <c r="AG8" s="4"/>
      <c r="AH8" s="4"/>
      <c r="AI8" s="4"/>
      <c r="AJ8" s="4"/>
      <c r="AK8" s="4"/>
      <c r="AL8" s="4"/>
      <c r="AM8" s="5"/>
      <c r="AN8" s="5"/>
      <c r="AV8" s="8"/>
      <c r="AW8" s="8"/>
      <c r="AX8" s="8"/>
    </row>
    <row r="9" spans="1:50" ht="15" thickBot="1">
      <c r="A9" s="157" t="s">
        <v>164</v>
      </c>
      <c r="B9" s="162"/>
      <c r="C9" s="632" t="s">
        <v>249</v>
      </c>
      <c r="D9" s="638">
        <f>VLOOKUP(C9,Tables!A2:C17,3,FALSE)</f>
        <v>1.2</v>
      </c>
      <c r="E9" s="300"/>
      <c r="F9" s="285"/>
      <c r="G9" s="286"/>
      <c r="I9" s="4"/>
      <c r="J9" s="4"/>
      <c r="K9" s="1"/>
      <c r="L9" s="1"/>
      <c r="M9" s="6"/>
      <c r="N9" s="6"/>
      <c r="O9" s="6"/>
      <c r="P9" s="6"/>
      <c r="Q9" s="4"/>
      <c r="R9" s="5"/>
      <c r="S9" s="5"/>
      <c r="X9" s="5"/>
      <c r="Y9" s="5"/>
      <c r="Z9" s="4"/>
      <c r="AA9" s="8"/>
      <c r="AB9" s="8"/>
      <c r="AC9" s="8"/>
      <c r="AD9" s="4"/>
      <c r="AE9" s="4"/>
      <c r="AF9" s="4"/>
      <c r="AG9" s="4"/>
      <c r="AH9" s="4"/>
      <c r="AI9" s="4"/>
      <c r="AJ9" s="4"/>
      <c r="AK9" s="4"/>
      <c r="AL9" s="4"/>
      <c r="AM9" s="5"/>
      <c r="AN9" s="5"/>
      <c r="AV9" s="8"/>
      <c r="AW9" s="8"/>
      <c r="AX9" s="8"/>
    </row>
    <row r="10" spans="1:50" ht="15" thickTop="1">
      <c r="A10" s="157" t="s">
        <v>125</v>
      </c>
      <c r="B10" s="162"/>
      <c r="C10" s="632" t="s">
        <v>255</v>
      </c>
      <c r="D10" s="638">
        <f>VLOOKUP(C10,Tables!A2:C17,3,FALSE)</f>
        <v>1</v>
      </c>
      <c r="E10" s="680" t="s">
        <v>35</v>
      </c>
      <c r="F10" s="681"/>
      <c r="G10" s="682"/>
      <c r="T10" s="2"/>
    </row>
    <row r="11" spans="1:50" ht="14.5">
      <c r="A11" s="169" t="s">
        <v>126</v>
      </c>
      <c r="B11" s="162"/>
      <c r="C11" s="632" t="s">
        <v>254</v>
      </c>
      <c r="D11" s="638">
        <f>VLOOKUP(C11,Tables!A2:C17,3,FALSE)</f>
        <v>1.5</v>
      </c>
      <c r="E11" s="165" t="s">
        <v>24</v>
      </c>
      <c r="F11" s="166"/>
      <c r="G11" s="629" t="str">
        <f>IF(COUNTA(COVER!C23)=0,"",COVER!C23)</f>
        <v>240610</v>
      </c>
      <c r="T11" s="2"/>
    </row>
    <row r="12" spans="1:50" ht="14.5">
      <c r="A12" s="169" t="s">
        <v>181</v>
      </c>
      <c r="B12" s="162"/>
      <c r="C12" s="632" t="s">
        <v>356</v>
      </c>
      <c r="D12" s="638">
        <f>VLOOKUP(C12,Tables!A2:C17,3,FALSE)</f>
        <v>6.5</v>
      </c>
      <c r="E12" s="167" t="s">
        <v>8</v>
      </c>
      <c r="F12" s="168"/>
      <c r="G12" s="630">
        <f>IF(COUNTA('ISIRF RAW'!B2)=0,"",'ISIRF RAW'!B2)</f>
        <v>44126</v>
      </c>
      <c r="T12" s="2"/>
    </row>
    <row r="13" spans="1:50">
      <c r="A13" s="161" t="s">
        <v>166</v>
      </c>
      <c r="B13" s="162"/>
      <c r="C13" s="632" t="s">
        <v>176</v>
      </c>
      <c r="D13" s="434" t="s">
        <v>177</v>
      </c>
      <c r="E13" s="167" t="s">
        <v>30</v>
      </c>
      <c r="F13" s="170"/>
      <c r="G13" s="630" t="str">
        <f>IF(COUNTA('ISIRF RAW'!B3)=0,"",'ISIRF RAW'!B3)</f>
        <v>LSDT</v>
      </c>
      <c r="T13" s="2"/>
    </row>
    <row r="14" spans="1:50" ht="13" thickBot="1">
      <c r="A14" s="173" t="s">
        <v>252</v>
      </c>
      <c r="B14" s="174"/>
      <c r="C14" s="633"/>
      <c r="D14" s="349">
        <v>5</v>
      </c>
      <c r="E14" s="171" t="s">
        <v>235</v>
      </c>
      <c r="F14" s="172"/>
      <c r="G14" s="631" t="str">
        <f>COVER!C15</f>
        <v>13C15N</v>
      </c>
      <c r="T14" s="2"/>
    </row>
    <row r="15" spans="1:50" s="33" customFormat="1" ht="14" thickTop="1" thickBot="1">
      <c r="A15" s="163"/>
      <c r="B15" s="175"/>
      <c r="C15" s="176"/>
      <c r="D15" s="176"/>
      <c r="E15" s="176"/>
      <c r="F15" s="176"/>
      <c r="G15" s="176"/>
    </row>
    <row r="16" spans="1:50" s="19" customFormat="1" ht="26.5" thickTop="1">
      <c r="A16" s="342" t="s">
        <v>33</v>
      </c>
      <c r="B16" s="343" t="s">
        <v>36</v>
      </c>
      <c r="C16" s="344" t="s">
        <v>21</v>
      </c>
      <c r="D16" s="346" t="s">
        <v>161</v>
      </c>
      <c r="E16" s="177" t="s">
        <v>22</v>
      </c>
      <c r="F16" s="345" t="s">
        <v>124</v>
      </c>
      <c r="G16" s="341"/>
      <c r="H16" s="572"/>
      <c r="I16" s="573"/>
      <c r="J16" s="574"/>
      <c r="K16" s="572"/>
    </row>
    <row r="17" spans="1:20" ht="13">
      <c r="A17" s="178" t="str">
        <f>"IC"&amp;COVER!C$15&amp;COVER!C$23&amp;"-"&amp;COVER!C$22&amp;F17</f>
        <v>IC13C15N240610-101</v>
      </c>
      <c r="B17" s="179" t="s">
        <v>37</v>
      </c>
      <c r="C17" s="180" t="s">
        <v>34</v>
      </c>
      <c r="D17" s="303"/>
      <c r="E17" s="462" t="s">
        <v>387</v>
      </c>
      <c r="F17" s="181">
        <v>1</v>
      </c>
      <c r="G17"/>
      <c r="H17" s="33"/>
      <c r="I17" s="33"/>
      <c r="J17" s="350"/>
      <c r="K17" s="33"/>
      <c r="T17" s="2"/>
    </row>
    <row r="18" spans="1:20" ht="13">
      <c r="A18" s="178" t="str">
        <f>"IC"&amp;COVER!C$15&amp;COVER!C$23&amp;"-"&amp;COVER!C$22&amp;F18</f>
        <v>IC13C15N240610-102</v>
      </c>
      <c r="B18" s="179" t="s">
        <v>38</v>
      </c>
      <c r="C18" s="180" t="s">
        <v>34</v>
      </c>
      <c r="D18" s="303"/>
      <c r="E18" s="462" t="s">
        <v>387</v>
      </c>
      <c r="F18" s="181">
        <f>F17+1</f>
        <v>2</v>
      </c>
      <c r="G18"/>
      <c r="H18" s="33"/>
      <c r="I18" s="33"/>
      <c r="J18" s="350"/>
      <c r="K18" s="33"/>
      <c r="T18" s="2"/>
    </row>
    <row r="19" spans="1:20" ht="13">
      <c r="A19" s="178" t="str">
        <f>"IC"&amp;COVER!C$15&amp;COVER!C$23&amp;"-"&amp;COVER!C$22&amp;F19</f>
        <v>IC13C15N240610-103</v>
      </c>
      <c r="B19" s="179" t="s">
        <v>39</v>
      </c>
      <c r="C19" s="180" t="str">
        <f>$C$9</f>
        <v>ISIRF Ulva</v>
      </c>
      <c r="D19" s="303">
        <f>$D$9</f>
        <v>1.2</v>
      </c>
      <c r="E19" s="461">
        <v>1.276</v>
      </c>
      <c r="F19" s="181">
        <f t="shared" ref="F19:F72" si="0">F18+1</f>
        <v>3</v>
      </c>
      <c r="G19"/>
      <c r="H19" s="33"/>
      <c r="I19" s="33"/>
      <c r="J19" s="350"/>
      <c r="K19" s="33"/>
      <c r="T19" s="2"/>
    </row>
    <row r="20" spans="1:20" ht="13">
      <c r="A20" s="178" t="str">
        <f>"IC"&amp;COVER!C$15&amp;COVER!C$23&amp;"-"&amp;COVER!C$22&amp;F20</f>
        <v>IC13C15N240610-104</v>
      </c>
      <c r="B20" s="179" t="s">
        <v>40</v>
      </c>
      <c r="C20" s="180" t="str">
        <f>$C$10</f>
        <v>ISIRF Chitin</v>
      </c>
      <c r="D20" s="303">
        <f>$D$10</f>
        <v>1</v>
      </c>
      <c r="E20" s="461">
        <v>1.038</v>
      </c>
      <c r="F20" s="181">
        <f t="shared" si="0"/>
        <v>4</v>
      </c>
      <c r="G20"/>
      <c r="H20" s="33"/>
      <c r="I20" s="33"/>
      <c r="J20" s="350"/>
      <c r="K20" s="33"/>
      <c r="T20" s="2"/>
    </row>
    <row r="21" spans="1:20" ht="13">
      <c r="A21" s="178" t="str">
        <f>"IC"&amp;COVER!C$15&amp;COVER!C$23&amp;"-"&amp;COVER!C$22&amp;F21</f>
        <v>IC13C15N240610-105</v>
      </c>
      <c r="B21" s="179" t="s">
        <v>41</v>
      </c>
      <c r="C21" s="180" t="str">
        <f>$C$11</f>
        <v>ISIRF Bamboo</v>
      </c>
      <c r="D21" s="303">
        <f>$D$11</f>
        <v>1.5</v>
      </c>
      <c r="E21" s="462">
        <v>1.597</v>
      </c>
      <c r="F21" s="181">
        <f t="shared" si="0"/>
        <v>5</v>
      </c>
      <c r="G21"/>
      <c r="H21" s="33"/>
      <c r="I21" s="33"/>
      <c r="J21" s="350"/>
      <c r="K21" s="33"/>
      <c r="T21" s="2"/>
    </row>
    <row r="22" spans="1:20" ht="13">
      <c r="A22" s="178" t="str">
        <f>"IC"&amp;COVER!C$15&amp;COVER!C$23&amp;"-"&amp;COVER!C$22&amp;F22</f>
        <v>IC13C15N240610-106</v>
      </c>
      <c r="B22" s="179" t="s">
        <v>42</v>
      </c>
      <c r="C22" s="180" t="str">
        <f>C12</f>
        <v>NBS 8412 Corn Stalk</v>
      </c>
      <c r="D22" s="303">
        <f>D12</f>
        <v>6.5</v>
      </c>
      <c r="E22" s="462">
        <v>6.5990000000000002</v>
      </c>
      <c r="F22" s="181">
        <f t="shared" si="0"/>
        <v>6</v>
      </c>
      <c r="G22"/>
      <c r="H22" s="33"/>
      <c r="I22" s="33"/>
      <c r="J22" s="350"/>
      <c r="K22" s="33"/>
      <c r="T22" s="2"/>
    </row>
    <row r="23" spans="1:20" ht="13">
      <c r="A23" s="178" t="str">
        <f>"IC"&amp;COVER!C$15&amp;COVER!C$23&amp;"-"&amp;COVER!C$22&amp;F23</f>
        <v>IC13C15N240610-107</v>
      </c>
      <c r="B23" s="179" t="s">
        <v>43</v>
      </c>
      <c r="C23" s="410" t="str">
        <f>IF('Investigator Data'!B4="","","R1-"&amp;'Investigator Data'!B4)</f>
        <v xml:space="preserve">R1-20240407_W1_G </v>
      </c>
      <c r="D23" s="304">
        <f>IF('Investigator Data'!C4="",$D$8,'Investigator Data'!C4)</f>
        <v>30</v>
      </c>
      <c r="E23" s="462">
        <v>29.978999999999999</v>
      </c>
      <c r="F23" s="181">
        <f t="shared" si="0"/>
        <v>7</v>
      </c>
      <c r="G23"/>
      <c r="H23" s="33"/>
      <c r="I23" s="33"/>
      <c r="J23" s="350"/>
      <c r="K23" s="33"/>
      <c r="T23" s="2"/>
    </row>
    <row r="24" spans="1:20" ht="13">
      <c r="A24" s="178" t="str">
        <f>"IC"&amp;COVER!C$15&amp;COVER!C$23&amp;"-"&amp;COVER!C$22&amp;F24</f>
        <v>IC13C15N240610-108</v>
      </c>
      <c r="B24" s="179" t="s">
        <v>44</v>
      </c>
      <c r="C24" s="182" t="str">
        <f>IF('Investigator Data'!B5="","",'Investigator Data'!B5)</f>
        <v xml:space="preserve">20240407_W1_H </v>
      </c>
      <c r="D24" s="304">
        <f>IF('Investigator Data'!C5="",$D$8,'Investigator Data'!C5)</f>
        <v>30</v>
      </c>
      <c r="E24" s="462">
        <v>30.463000000000001</v>
      </c>
      <c r="F24" s="181">
        <f t="shared" si="0"/>
        <v>8</v>
      </c>
      <c r="G24"/>
      <c r="H24" s="33"/>
      <c r="I24" s="33"/>
      <c r="J24" s="350"/>
      <c r="K24" s="33"/>
      <c r="T24" s="2"/>
    </row>
    <row r="25" spans="1:20" ht="13">
      <c r="A25" s="178" t="str">
        <f>"IC"&amp;COVER!C$15&amp;COVER!C$23&amp;"-"&amp;COVER!C$22&amp;F25</f>
        <v>IC13C15N240610-109</v>
      </c>
      <c r="B25" s="179" t="s">
        <v>187</v>
      </c>
      <c r="C25" s="182" t="str">
        <f>IF('Investigator Data'!B6="","",'Investigator Data'!B6)</f>
        <v>160824_L013_FAR1</v>
      </c>
      <c r="D25" s="304">
        <f>IF('Investigator Data'!C6="",$D$8,'Investigator Data'!C6)</f>
        <v>30</v>
      </c>
      <c r="E25" s="462">
        <v>29.646000000000001</v>
      </c>
      <c r="F25" s="181">
        <f t="shared" si="0"/>
        <v>9</v>
      </c>
      <c r="G25"/>
      <c r="H25" s="33"/>
      <c r="I25" s="33"/>
      <c r="J25" s="350"/>
      <c r="K25" s="33"/>
      <c r="T25" s="2"/>
    </row>
    <row r="26" spans="1:20" ht="13">
      <c r="A26" s="178" t="str">
        <f>"IC"&amp;COVER!C$15&amp;COVER!C$23&amp;"-"&amp;COVER!C$22&amp;F26</f>
        <v>IC13C15N240610-1010</v>
      </c>
      <c r="B26" s="179" t="s">
        <v>188</v>
      </c>
      <c r="C26" s="182" t="str">
        <f>IF('Investigator Data'!B7="","",'Investigator Data'!B7)</f>
        <v>160824_L013_FAR2</v>
      </c>
      <c r="D26" s="304">
        <f>IF('Investigator Data'!C7="",$D$8,'Investigator Data'!C7)</f>
        <v>30</v>
      </c>
      <c r="E26" s="462">
        <v>30.263999999999999</v>
      </c>
      <c r="F26" s="181">
        <f t="shared" si="0"/>
        <v>10</v>
      </c>
      <c r="G26"/>
      <c r="H26" s="33"/>
      <c r="I26" s="33"/>
      <c r="J26" s="350"/>
      <c r="K26" s="33"/>
      <c r="T26" s="2"/>
    </row>
    <row r="27" spans="1:20" ht="13">
      <c r="A27" s="178" t="str">
        <f>"IC"&amp;COVER!C$15&amp;COVER!C$23&amp;"-"&amp;COVER!C$22&amp;F27</f>
        <v>IC13C15N240610-1011</v>
      </c>
      <c r="B27" s="179" t="s">
        <v>189</v>
      </c>
      <c r="C27" s="182" t="str">
        <f>IF('Investigator Data'!B8="","",'Investigator Data'!B8)</f>
        <v>160824_L013_FAR3</v>
      </c>
      <c r="D27" s="304">
        <f>IF('Investigator Data'!C8="",$D$8,'Investigator Data'!C8)</f>
        <v>30</v>
      </c>
      <c r="E27" s="462">
        <v>29.372</v>
      </c>
      <c r="F27" s="181">
        <f t="shared" si="0"/>
        <v>11</v>
      </c>
      <c r="G27"/>
      <c r="H27" s="33"/>
      <c r="I27" s="33"/>
      <c r="J27" s="33"/>
      <c r="K27" s="33"/>
      <c r="T27" s="2"/>
    </row>
    <row r="28" spans="1:20" ht="13">
      <c r="A28" s="178" t="str">
        <f>"IC"&amp;COVER!C$15&amp;COVER!C$23&amp;"-"&amp;COVER!C$22&amp;F28</f>
        <v>IC13C15N240610-1012</v>
      </c>
      <c r="B28" s="179" t="s">
        <v>190</v>
      </c>
      <c r="C28" s="182" t="str">
        <f>IF('Investigator Data'!B9="","",'Investigator Data'!B9)</f>
        <v>160824_L013_FAR4</v>
      </c>
      <c r="D28" s="304">
        <f>IF('Investigator Data'!C9="",$D$8,'Investigator Data'!C9)</f>
        <v>30</v>
      </c>
      <c r="E28" s="462">
        <v>30.774999999999999</v>
      </c>
      <c r="F28" s="181">
        <f t="shared" si="0"/>
        <v>12</v>
      </c>
      <c r="G28"/>
      <c r="H28" s="2"/>
      <c r="T28" s="2"/>
    </row>
    <row r="29" spans="1:20" ht="13">
      <c r="A29" s="178" t="str">
        <f>"IC"&amp;COVER!C$15&amp;COVER!C$23&amp;"-"&amp;COVER!C$22&amp;F29</f>
        <v>IC13C15N240610-1013</v>
      </c>
      <c r="B29" s="179" t="s">
        <v>45</v>
      </c>
      <c r="C29" s="182" t="str">
        <f>IF('Investigator Data'!B10="","",'Investigator Data'!B10)</f>
        <v>160317_L017A_S1</v>
      </c>
      <c r="D29" s="304">
        <f>IF('Investigator Data'!C10="",$D$8,'Investigator Data'!C10)</f>
        <v>30</v>
      </c>
      <c r="E29" s="462">
        <v>29.466000000000001</v>
      </c>
      <c r="F29" s="181">
        <f t="shared" si="0"/>
        <v>13</v>
      </c>
      <c r="G29"/>
      <c r="H29" s="2"/>
      <c r="T29" s="2"/>
    </row>
    <row r="30" spans="1:20" ht="13">
      <c r="A30" s="178" t="str">
        <f>"IC"&amp;COVER!C$15&amp;COVER!C$23&amp;"-"&amp;COVER!C$22&amp;F30</f>
        <v>IC13C15N240610-1014</v>
      </c>
      <c r="B30" s="179" t="s">
        <v>46</v>
      </c>
      <c r="C30" s="182" t="str">
        <f>IF('Investigator Data'!B11="","",'Investigator Data'!B11)</f>
        <v>160317_L017A_S2</v>
      </c>
      <c r="D30" s="304">
        <f>IF('Investigator Data'!C11="",$D$8,'Investigator Data'!C11)</f>
        <v>30</v>
      </c>
      <c r="E30" s="462">
        <v>30.576000000000001</v>
      </c>
      <c r="F30" s="181">
        <f t="shared" si="0"/>
        <v>14</v>
      </c>
      <c r="G30"/>
      <c r="H30" s="2"/>
      <c r="T30" s="2"/>
    </row>
    <row r="31" spans="1:20" ht="13">
      <c r="A31" s="178" t="str">
        <f>"IC"&amp;COVER!C$15&amp;COVER!C$23&amp;"-"&amp;COVER!C$22&amp;F31</f>
        <v>IC13C15N240610-1015</v>
      </c>
      <c r="B31" s="179" t="s">
        <v>47</v>
      </c>
      <c r="C31" s="182" t="str">
        <f>IF('Investigator Data'!B12="","",'Investigator Data'!B12)</f>
        <v>160317_L017B_S1</v>
      </c>
      <c r="D31" s="304">
        <f>IF('Investigator Data'!C12="",$D$8,'Investigator Data'!C12)</f>
        <v>30</v>
      </c>
      <c r="E31" s="462">
        <v>30.172999999999998</v>
      </c>
      <c r="F31" s="181">
        <f t="shared" si="0"/>
        <v>15</v>
      </c>
      <c r="G31"/>
      <c r="H31" s="2"/>
      <c r="T31" s="2"/>
    </row>
    <row r="32" spans="1:20" ht="13">
      <c r="A32" s="178" t="str">
        <f>"IC"&amp;COVER!C$15&amp;COVER!C$23&amp;"-"&amp;COVER!C$22&amp;F32</f>
        <v>IC13C15N240610-1016</v>
      </c>
      <c r="B32" s="179" t="s">
        <v>48</v>
      </c>
      <c r="C32" s="180" t="str">
        <f>$C$9</f>
        <v>ISIRF Ulva</v>
      </c>
      <c r="D32" s="303">
        <f>$D$9</f>
        <v>1.2</v>
      </c>
      <c r="E32" s="462">
        <v>1.1919999999999999</v>
      </c>
      <c r="F32" s="181">
        <f t="shared" si="0"/>
        <v>16</v>
      </c>
      <c r="G32"/>
      <c r="H32" s="2"/>
      <c r="T32" s="2"/>
    </row>
    <row r="33" spans="1:20" ht="13">
      <c r="A33" s="178" t="str">
        <f>"IC"&amp;COVER!C$15&amp;COVER!C$23&amp;"-"&amp;COVER!C$22&amp;F33</f>
        <v>IC13C15N240610-1017</v>
      </c>
      <c r="B33" s="179" t="s">
        <v>49</v>
      </c>
      <c r="C33" s="182" t="str">
        <f>IF('Investigator Data'!B13="","",'Investigator Data'!B13)</f>
        <v>160317_L017B_S2</v>
      </c>
      <c r="D33" s="304">
        <f>IF('Investigator Data'!C13="",$D$8,'Investigator Data'!C13)</f>
        <v>30</v>
      </c>
      <c r="E33" s="462">
        <v>30.210999999999999</v>
      </c>
      <c r="F33" s="181">
        <f t="shared" si="0"/>
        <v>17</v>
      </c>
      <c r="G33"/>
      <c r="H33" s="2"/>
      <c r="T33" s="2"/>
    </row>
    <row r="34" spans="1:20" ht="13">
      <c r="A34" s="178" t="str">
        <f>"IC"&amp;COVER!C$15&amp;COVER!C$23&amp;"-"&amp;COVER!C$22&amp;F34</f>
        <v>IC13C15N240610-1018</v>
      </c>
      <c r="B34" s="179" t="s">
        <v>50</v>
      </c>
      <c r="C34" s="182" t="str">
        <f>IF('Investigator Data'!B14="","",'Investigator Data'!B14)</f>
        <v>160317_L017C_S1</v>
      </c>
      <c r="D34" s="304">
        <f>IF('Investigator Data'!C14="",$D$8,'Investigator Data'!C14)</f>
        <v>30</v>
      </c>
      <c r="E34" s="462">
        <v>31.516999999999999</v>
      </c>
      <c r="F34" s="181">
        <f t="shared" si="0"/>
        <v>18</v>
      </c>
      <c r="G34"/>
      <c r="H34" s="2"/>
      <c r="T34" s="2"/>
    </row>
    <row r="35" spans="1:20" ht="13">
      <c r="A35" s="178" t="str">
        <f>"IC"&amp;COVER!C$15&amp;COVER!C$23&amp;"-"&amp;COVER!C$22&amp;F35</f>
        <v>IC13C15N240610-1019</v>
      </c>
      <c r="B35" s="179" t="s">
        <v>51</v>
      </c>
      <c r="C35" s="182" t="str">
        <f>IF('Investigator Data'!B15="","",'Investigator Data'!B15)</f>
        <v>160317_L017C_S2</v>
      </c>
      <c r="D35" s="304">
        <f>IF('Investigator Data'!C15="",$D$8,'Investigator Data'!C15)</f>
        <v>30</v>
      </c>
      <c r="E35" s="462">
        <v>29.917999999999999</v>
      </c>
      <c r="F35" s="181">
        <f t="shared" si="0"/>
        <v>19</v>
      </c>
      <c r="G35"/>
      <c r="H35" s="2"/>
      <c r="T35" s="2"/>
    </row>
    <row r="36" spans="1:20" ht="13">
      <c r="A36" s="178" t="str">
        <f>"IC"&amp;COVER!C$15&amp;COVER!C$23&amp;"-"&amp;COVER!C$22&amp;F36</f>
        <v>IC13C15N240610-1020</v>
      </c>
      <c r="B36" s="179" t="s">
        <v>52</v>
      </c>
      <c r="C36" s="182" t="str">
        <f>IF('Investigator Data'!B16="","",'Investigator Data'!B16)</f>
        <v>160317_L017FAR1</v>
      </c>
      <c r="D36" s="304">
        <f>IF('Investigator Data'!C16="",$D$8,'Investigator Data'!C16)</f>
        <v>30</v>
      </c>
      <c r="E36" s="462">
        <v>29.111000000000001</v>
      </c>
      <c r="F36" s="181">
        <f t="shared" si="0"/>
        <v>20</v>
      </c>
      <c r="G36"/>
      <c r="H36" s="2"/>
      <c r="T36" s="2"/>
    </row>
    <row r="37" spans="1:20" ht="13">
      <c r="A37" s="178" t="str">
        <f>"IC"&amp;COVER!C$15&amp;COVER!C$23&amp;"-"&amp;COVER!C$22&amp;F37</f>
        <v>IC13C15N240610-1021</v>
      </c>
      <c r="B37" s="179" t="s">
        <v>191</v>
      </c>
      <c r="C37" s="410" t="str">
        <f>IF('Investigator Data'!B17="","","R2-"&amp;'Investigator Data'!B17)</f>
        <v>R2-160317_L017FAR2</v>
      </c>
      <c r="D37" s="304">
        <f>IF('Investigator Data'!C17="",$D$8,'Investigator Data'!C17)</f>
        <v>30</v>
      </c>
      <c r="E37" s="462">
        <v>29.568999999999999</v>
      </c>
      <c r="F37" s="181">
        <f t="shared" si="0"/>
        <v>21</v>
      </c>
      <c r="G37"/>
      <c r="H37" s="2"/>
      <c r="T37" s="2"/>
    </row>
    <row r="38" spans="1:20" ht="13">
      <c r="A38" s="178" t="str">
        <f>"IC"&amp;COVER!C$15&amp;COVER!C$23&amp;"-"&amp;COVER!C$22&amp;F38</f>
        <v>IC13C15N240610-1022</v>
      </c>
      <c r="B38" s="179" t="s">
        <v>192</v>
      </c>
      <c r="C38" s="410" t="str">
        <f>IF('Investigator Data'!B17="","","R2-"&amp;'Investigator Data'!B17)</f>
        <v>R2-160317_L017FAR2</v>
      </c>
      <c r="D38" s="304">
        <f>IF('Investigator Data'!C17="",$D$8,'Investigator Data'!C17)</f>
        <v>30</v>
      </c>
      <c r="E38" s="462">
        <v>29.539000000000001</v>
      </c>
      <c r="F38" s="181">
        <f t="shared" si="0"/>
        <v>22</v>
      </c>
      <c r="G38"/>
      <c r="H38" s="2"/>
      <c r="T38" s="2"/>
    </row>
    <row r="39" spans="1:20" ht="13">
      <c r="A39" s="178" t="str">
        <f>"IC"&amp;COVER!C$15&amp;COVER!C$23&amp;"-"&amp;COVER!C$22&amp;F39</f>
        <v>IC13C15N240610-1023</v>
      </c>
      <c r="B39" s="179" t="s">
        <v>193</v>
      </c>
      <c r="C39" s="182" t="str">
        <f>IF('Investigator Data'!B18="","",'Investigator Data'!B18)</f>
        <v>160317_L017FAR3</v>
      </c>
      <c r="D39" s="304">
        <f>IF('Investigator Data'!C18="",$D$8,'Investigator Data'!C18)</f>
        <v>30</v>
      </c>
      <c r="E39" s="462">
        <v>30.042999999999999</v>
      </c>
      <c r="F39" s="181">
        <f t="shared" si="0"/>
        <v>23</v>
      </c>
      <c r="G39"/>
      <c r="H39" s="2"/>
      <c r="T39" s="2"/>
    </row>
    <row r="40" spans="1:20" ht="13">
      <c r="A40" s="178" t="str">
        <f>"IC"&amp;COVER!C$15&amp;COVER!C$23&amp;"-"&amp;COVER!C$22&amp;F40</f>
        <v>IC13C15N240610-1024</v>
      </c>
      <c r="B40" s="179" t="s">
        <v>194</v>
      </c>
      <c r="C40" s="182" t="str">
        <f>IF('Investigator Data'!B19="","",'Investigator Data'!B19)</f>
        <v>160317_L017FAR4</v>
      </c>
      <c r="D40" s="304">
        <f>IF('Investigator Data'!C19="",$D$8,'Investigator Data'!C19)</f>
        <v>30</v>
      </c>
      <c r="E40" s="462">
        <v>29.004999999999999</v>
      </c>
      <c r="F40" s="181">
        <f t="shared" si="0"/>
        <v>24</v>
      </c>
      <c r="G40"/>
      <c r="H40" s="2"/>
      <c r="T40" s="2"/>
    </row>
    <row r="41" spans="1:20" ht="13">
      <c r="A41" s="178" t="str">
        <f>"IC"&amp;COVER!C$15&amp;COVER!C$23&amp;"-"&amp;COVER!C$22&amp;F41</f>
        <v>IC13C15N240610-1025</v>
      </c>
      <c r="B41" s="179" t="s">
        <v>174</v>
      </c>
      <c r="C41" s="182" t="str">
        <f>IF('Investigator Data'!B20="","",'Investigator Data'!B20)</f>
        <v>170323_L007C_S2</v>
      </c>
      <c r="D41" s="304">
        <f>IF('Investigator Data'!C20="",$D$8,'Investigator Data'!C20)</f>
        <v>30</v>
      </c>
      <c r="E41" s="462">
        <v>30.803999999999998</v>
      </c>
      <c r="F41" s="181">
        <f t="shared" si="0"/>
        <v>25</v>
      </c>
      <c r="G41" t="s">
        <v>465</v>
      </c>
      <c r="H41" s="2"/>
      <c r="T41" s="2"/>
    </row>
    <row r="42" spans="1:20" ht="13">
      <c r="A42" s="178" t="str">
        <f>"IC"&amp;COVER!C$15&amp;COVER!C$23&amp;"-"&amp;COVER!C$22&amp;F42</f>
        <v>IC13C15N240610-1026</v>
      </c>
      <c r="B42" s="179" t="s">
        <v>53</v>
      </c>
      <c r="C42" s="182" t="str">
        <f>IF('Investigator Data'!B21="","",'Investigator Data'!B21)</f>
        <v xml:space="preserve">20240407_W1_G </v>
      </c>
      <c r="D42" s="304">
        <f>IF('Investigator Data'!C21="",$D$8,'Investigator Data'!C21)</f>
        <v>30</v>
      </c>
      <c r="E42" s="462">
        <v>29.826000000000001</v>
      </c>
      <c r="F42" s="181">
        <f t="shared" si="0"/>
        <v>26</v>
      </c>
      <c r="G42"/>
      <c r="H42" s="2"/>
      <c r="T42" s="2"/>
    </row>
    <row r="43" spans="1:20" ht="13">
      <c r="A43" s="178" t="str">
        <f>"IC"&amp;COVER!C$15&amp;COVER!C$23&amp;"-"&amp;COVER!C$22&amp;F43</f>
        <v>IC13C15N240610-1027</v>
      </c>
      <c r="B43" s="179" t="s">
        <v>54</v>
      </c>
      <c r="C43" s="180" t="s">
        <v>34</v>
      </c>
      <c r="D43" s="303"/>
      <c r="E43" s="462" t="s">
        <v>387</v>
      </c>
      <c r="F43" s="181">
        <f>F42+1</f>
        <v>27</v>
      </c>
      <c r="G43"/>
      <c r="H43" s="2"/>
      <c r="T43" s="2"/>
    </row>
    <row r="44" spans="1:20" ht="13">
      <c r="A44" s="178" t="str">
        <f>"IC"&amp;COVER!C$15&amp;COVER!C$23&amp;"-"&amp;COVER!C$22&amp;F44</f>
        <v>IC13C15N240610-1028</v>
      </c>
      <c r="B44" s="179" t="s">
        <v>55</v>
      </c>
      <c r="C44" s="180" t="str">
        <f>$C$9</f>
        <v>ISIRF Ulva</v>
      </c>
      <c r="D44" s="303">
        <f>$D$9</f>
        <v>1.2</v>
      </c>
      <c r="E44" s="462">
        <v>1.123</v>
      </c>
      <c r="F44" s="181">
        <f t="shared" si="0"/>
        <v>28</v>
      </c>
      <c r="G44"/>
      <c r="H44" s="2"/>
      <c r="T44" s="2"/>
    </row>
    <row r="45" spans="1:20" ht="13">
      <c r="A45" s="178" t="str">
        <f>"IC"&amp;COVER!C$15&amp;COVER!C$23&amp;"-"&amp;COVER!C$22&amp;F45</f>
        <v>IC13C15N240610-1029</v>
      </c>
      <c r="B45" s="179" t="s">
        <v>56</v>
      </c>
      <c r="C45" s="180" t="str">
        <f>C10</f>
        <v>ISIRF Chitin</v>
      </c>
      <c r="D45" s="303">
        <f>$D$10</f>
        <v>1</v>
      </c>
      <c r="E45" s="462">
        <v>1.069</v>
      </c>
      <c r="F45" s="181">
        <f t="shared" si="0"/>
        <v>29</v>
      </c>
      <c r="G45"/>
      <c r="H45" s="2"/>
      <c r="T45" s="2"/>
    </row>
    <row r="46" spans="1:20" ht="13">
      <c r="A46" s="178" t="str">
        <f>"IC"&amp;COVER!C$15&amp;COVER!C$23&amp;"-"&amp;COVER!C$22&amp;F46</f>
        <v>IC13C15N240610-1030</v>
      </c>
      <c r="B46" s="179" t="s">
        <v>57</v>
      </c>
      <c r="C46" s="180" t="str">
        <f>C11</f>
        <v>ISIRF Bamboo</v>
      </c>
      <c r="D46" s="303">
        <f>$D$11</f>
        <v>1.5</v>
      </c>
      <c r="E46" s="462">
        <v>1.526</v>
      </c>
      <c r="F46" s="181">
        <f t="shared" si="0"/>
        <v>30</v>
      </c>
      <c r="G46"/>
      <c r="H46" s="2"/>
      <c r="T46" s="2"/>
    </row>
    <row r="47" spans="1:20" ht="13">
      <c r="A47" s="178" t="str">
        <f>"IC"&amp;COVER!C$15&amp;COVER!C$23&amp;"-"&amp;COVER!C$22&amp;F47</f>
        <v>IC13C15N240610-1031</v>
      </c>
      <c r="B47" s="179" t="s">
        <v>58</v>
      </c>
      <c r="C47" s="180" t="str">
        <f>C12</f>
        <v>NBS 8412 Corn Stalk</v>
      </c>
      <c r="D47" s="303">
        <f>$D$12</f>
        <v>6.5</v>
      </c>
      <c r="E47" s="462">
        <v>6.5529999999999999</v>
      </c>
      <c r="F47" s="181">
        <f t="shared" si="0"/>
        <v>31</v>
      </c>
      <c r="G47"/>
      <c r="H47" s="2"/>
      <c r="T47" s="2"/>
    </row>
    <row r="48" spans="1:20" ht="13">
      <c r="A48" s="178" t="str">
        <f>"IC"&amp;COVER!C$15&amp;COVER!C$23&amp;"-"&amp;COVER!C$22&amp;F48</f>
        <v>IC13C15N240610-1032</v>
      </c>
      <c r="B48" s="179" t="s">
        <v>59</v>
      </c>
      <c r="C48" s="183" t="str">
        <f>IF('Investigator Data'!B22="","",'Investigator Data'!B22)</f>
        <v xml:space="preserve">20240407_W1_H </v>
      </c>
      <c r="D48" s="304">
        <f>IF('Investigator Data'!C22="",$D$8,'Investigator Data'!C22)</f>
        <v>30</v>
      </c>
      <c r="E48" s="462">
        <v>30.565999999999999</v>
      </c>
      <c r="F48" s="181">
        <f t="shared" si="0"/>
        <v>32</v>
      </c>
      <c r="G48"/>
      <c r="H48" s="2"/>
      <c r="T48" s="2"/>
    </row>
    <row r="49" spans="1:20" ht="13">
      <c r="A49" s="178" t="str">
        <f>"IC"&amp;COVER!C$15&amp;COVER!C$23&amp;"-"&amp;COVER!C$22&amp;F49</f>
        <v>IC13C15N240610-1033</v>
      </c>
      <c r="B49" s="179" t="s">
        <v>195</v>
      </c>
      <c r="C49" s="183" t="str">
        <f>IF('Investigator Data'!B23="","",'Investigator Data'!B23)</f>
        <v>E2-Fin- P - 27  New 7/23/24</v>
      </c>
      <c r="D49" s="304">
        <f>IF('Investigator Data'!C23="",$D$8,'Investigator Data'!C23)</f>
        <v>3.5</v>
      </c>
      <c r="E49" s="462"/>
      <c r="F49" s="181">
        <f t="shared" si="0"/>
        <v>33</v>
      </c>
      <c r="G49"/>
      <c r="H49" s="2"/>
      <c r="T49" s="2"/>
    </row>
    <row r="50" spans="1:20" ht="13">
      <c r="A50" s="178" t="str">
        <f>"IC"&amp;COVER!C$15&amp;COVER!C$23&amp;"-"&amp;COVER!C$22&amp;F50</f>
        <v>IC13C15N240610-1034</v>
      </c>
      <c r="B50" s="179" t="s">
        <v>196</v>
      </c>
      <c r="C50" s="183" t="str">
        <f>IF('Investigator Data'!B24="","",'Investigator Data'!B24)</f>
        <v>E2-Fin- P - 27  Old 7/23/24</v>
      </c>
      <c r="D50" s="304">
        <f>IF('Investigator Data'!C24="",$D$8,'Investigator Data'!C24)</f>
        <v>3.5</v>
      </c>
      <c r="E50" s="462"/>
      <c r="F50" s="181">
        <f t="shared" si="0"/>
        <v>34</v>
      </c>
      <c r="G50"/>
      <c r="H50" s="2"/>
      <c r="T50" s="2"/>
    </row>
    <row r="51" spans="1:20" ht="13">
      <c r="A51" s="178" t="str">
        <f>"IC"&amp;COVER!C$15&amp;COVER!C$23&amp;"-"&amp;COVER!C$22&amp;F51</f>
        <v>IC13C15N240610-1035</v>
      </c>
      <c r="B51" s="179" t="s">
        <v>197</v>
      </c>
      <c r="C51" s="183" t="str">
        <f>IF('Investigator Data'!B25="","",'Investigator Data'!B25)</f>
        <v>E2-Fin- P - 27 Sheath 7/23/24</v>
      </c>
      <c r="D51" s="304">
        <f>IF('Investigator Data'!C25="",$D$8,'Investigator Data'!C25)</f>
        <v>3.5</v>
      </c>
      <c r="E51" s="462"/>
      <c r="F51" s="181">
        <f t="shared" si="0"/>
        <v>35</v>
      </c>
      <c r="G51"/>
      <c r="H51" s="2"/>
      <c r="T51" s="2"/>
    </row>
    <row r="52" spans="1:20" ht="13">
      <c r="A52" s="178" t="str">
        <f>"IC"&amp;COVER!C$15&amp;COVER!C$23&amp;"-"&amp;COVER!C$22&amp;F52</f>
        <v>IC13C15N240610-1036</v>
      </c>
      <c r="B52" s="179" t="s">
        <v>198</v>
      </c>
      <c r="C52" s="183" t="str">
        <f>IF('Investigator Data'!B26="","",'Investigator Data'!B26)</f>
        <v>E2-Fin- P - 28  New 7/23/24</v>
      </c>
      <c r="D52" s="304">
        <f>IF('Investigator Data'!C26="",$D$8,'Investigator Data'!C26)</f>
        <v>3.5</v>
      </c>
      <c r="E52" s="462"/>
      <c r="F52" s="181">
        <f t="shared" si="0"/>
        <v>36</v>
      </c>
      <c r="G52"/>
      <c r="H52" s="2"/>
      <c r="T52" s="2"/>
    </row>
    <row r="53" spans="1:20" ht="13">
      <c r="A53" s="178" t="str">
        <f>"IC"&amp;COVER!C$15&amp;COVER!C$23&amp;"-"&amp;COVER!C$22&amp;F53</f>
        <v>IC13C15N240610-1037</v>
      </c>
      <c r="B53" s="179" t="s">
        <v>60</v>
      </c>
      <c r="C53" s="183" t="str">
        <f>IF('Investigator Data'!B27="","",'Investigator Data'!B27)</f>
        <v>E2-Fin- P - 28  Old 7/23/24</v>
      </c>
      <c r="D53" s="304">
        <f>IF('Investigator Data'!C27="",$D$8,'Investigator Data'!C27)</f>
        <v>3.5</v>
      </c>
      <c r="E53" s="462"/>
      <c r="F53" s="181">
        <f t="shared" si="0"/>
        <v>37</v>
      </c>
      <c r="G53"/>
      <c r="H53" s="2"/>
      <c r="T53" s="2"/>
    </row>
    <row r="54" spans="1:20" ht="13">
      <c r="A54" s="178" t="str">
        <f>"IC"&amp;COVER!C$15&amp;COVER!C$23&amp;"-"&amp;COVER!C$22&amp;F54</f>
        <v>IC13C15N240610-1038</v>
      </c>
      <c r="B54" s="179" t="s">
        <v>61</v>
      </c>
      <c r="C54" s="183" t="str">
        <f>IF('Investigator Data'!B28="","",'Investigator Data'!B28)</f>
        <v>E2-Fin- P - 28 Sheath 7/23/24</v>
      </c>
      <c r="D54" s="304">
        <f>IF('Investigator Data'!C28="",$D$8,'Investigator Data'!C28)</f>
        <v>3.5</v>
      </c>
      <c r="E54" s="462"/>
      <c r="F54" s="181">
        <f t="shared" si="0"/>
        <v>38</v>
      </c>
      <c r="G54"/>
      <c r="H54" s="2"/>
      <c r="T54" s="2"/>
    </row>
    <row r="55" spans="1:20" ht="13">
      <c r="A55" s="178" t="str">
        <f>"IC"&amp;COVER!C$15&amp;COVER!C$23&amp;"-"&amp;COVER!C$22&amp;F55</f>
        <v>IC13C15N240610-1039</v>
      </c>
      <c r="B55" s="179" t="s">
        <v>62</v>
      </c>
      <c r="C55" s="183" t="str">
        <f>IF('Investigator Data'!B29="","",'Investigator Data'!B29)</f>
        <v>E2-Fin- P - 29  New 7/23/24</v>
      </c>
      <c r="D55" s="304">
        <f>IF('Investigator Data'!C29="",$D$8,'Investigator Data'!C29)</f>
        <v>3.5</v>
      </c>
      <c r="E55" s="462"/>
      <c r="F55" s="181">
        <f t="shared" si="0"/>
        <v>39</v>
      </c>
      <c r="G55"/>
      <c r="H55" s="2"/>
      <c r="T55" s="2"/>
    </row>
    <row r="56" spans="1:20" ht="13">
      <c r="A56" s="178" t="str">
        <f>"IC"&amp;COVER!C$15&amp;COVER!C$23&amp;"-"&amp;COVER!C$22&amp;F56</f>
        <v>IC13C15N240610-1040</v>
      </c>
      <c r="B56" s="179" t="s">
        <v>63</v>
      </c>
      <c r="C56" s="183" t="str">
        <f>IF('Investigator Data'!B30="","",'Investigator Data'!B30)</f>
        <v>E2-Fin- P - 29  Old 7/23/24</v>
      </c>
      <c r="D56" s="304">
        <f>IF('Investigator Data'!C30="",$D$8,'Investigator Data'!C30)</f>
        <v>3.5</v>
      </c>
      <c r="E56" s="462"/>
      <c r="F56" s="181">
        <f t="shared" si="0"/>
        <v>40</v>
      </c>
      <c r="G56"/>
      <c r="H56" s="2"/>
      <c r="T56" s="2"/>
    </row>
    <row r="57" spans="1:20" ht="13">
      <c r="A57" s="178" t="str">
        <f>"IC"&amp;COVER!C$15&amp;COVER!C$23&amp;"-"&amp;COVER!C$22&amp;F57</f>
        <v>IC13C15N240610-1041</v>
      </c>
      <c r="B57" s="179" t="s">
        <v>64</v>
      </c>
      <c r="C57" s="180" t="str">
        <f>$C$9</f>
        <v>ISIRF Ulva</v>
      </c>
      <c r="D57" s="303">
        <f>$D$9</f>
        <v>1.2</v>
      </c>
      <c r="E57" s="462"/>
      <c r="F57" s="181">
        <f t="shared" si="0"/>
        <v>41</v>
      </c>
      <c r="G57"/>
      <c r="H57" s="2"/>
      <c r="T57" s="2"/>
    </row>
    <row r="58" spans="1:20" ht="13">
      <c r="A58" s="178" t="str">
        <f>"IC"&amp;COVER!C$15&amp;COVER!C$23&amp;"-"&amp;COVER!C$22&amp;F58</f>
        <v>IC13C15N240610-1042</v>
      </c>
      <c r="B58" s="179" t="s">
        <v>65</v>
      </c>
      <c r="C58" s="183" t="str">
        <f>IF('Investigator Data'!B31="","",'Investigator Data'!B31)</f>
        <v>E2-Fin- P - 29 Sheath 7/23/24</v>
      </c>
      <c r="D58" s="304">
        <f>IF('Investigator Data'!C31="",$D$8,'Investigator Data'!C31)</f>
        <v>3.5</v>
      </c>
      <c r="E58" s="462"/>
      <c r="F58" s="181">
        <f t="shared" si="0"/>
        <v>42</v>
      </c>
      <c r="G58"/>
      <c r="H58" s="2"/>
      <c r="T58" s="2"/>
    </row>
    <row r="59" spans="1:20" ht="13">
      <c r="A59" s="178" t="str">
        <f>"IC"&amp;COVER!C$15&amp;COVER!C$23&amp;"-"&amp;COVER!C$22&amp;F59</f>
        <v>IC13C15N240610-1043</v>
      </c>
      <c r="B59" s="179" t="s">
        <v>11</v>
      </c>
      <c r="C59" s="183" t="str">
        <f>IF('Investigator Data'!B32="","",'Investigator Data'!B32)</f>
        <v>E2-Fin- P - 30  New 7/23/24</v>
      </c>
      <c r="D59" s="304">
        <f>IF('Investigator Data'!C32="",$D$8,'Investigator Data'!C32)</f>
        <v>3.5</v>
      </c>
      <c r="E59" s="462"/>
      <c r="F59" s="181">
        <f t="shared" si="0"/>
        <v>43</v>
      </c>
      <c r="G59"/>
      <c r="H59" s="2"/>
      <c r="T59" s="2"/>
    </row>
    <row r="60" spans="1:20" ht="13">
      <c r="A60" s="178" t="str">
        <f>"IC"&amp;COVER!C$15&amp;COVER!C$23&amp;"-"&amp;COVER!C$22&amp;F60</f>
        <v>IC13C15N240610-1044</v>
      </c>
      <c r="B60" s="179" t="s">
        <v>12</v>
      </c>
      <c r="C60" s="183" t="str">
        <f>IF('Investigator Data'!B33="","",'Investigator Data'!B33)</f>
        <v>E2-Fin- P - 30  Old 7/23/24</v>
      </c>
      <c r="D60" s="304">
        <f>IF('Investigator Data'!C33="",$D$8,'Investigator Data'!C33)</f>
        <v>3.5</v>
      </c>
      <c r="E60" s="462"/>
      <c r="F60" s="181">
        <f t="shared" si="0"/>
        <v>44</v>
      </c>
      <c r="G60"/>
      <c r="H60" s="2"/>
      <c r="T60" s="2"/>
    </row>
    <row r="61" spans="1:20" ht="13">
      <c r="A61" s="178" t="str">
        <f>"IC"&amp;COVER!C$15&amp;COVER!C$23&amp;"-"&amp;COVER!C$22&amp;F61</f>
        <v>IC13C15N240610-1045</v>
      </c>
      <c r="B61" s="179" t="s">
        <v>199</v>
      </c>
      <c r="C61" s="183" t="str">
        <f>IF('Investigator Data'!B34="","",'Investigator Data'!B34)</f>
        <v>E2-Fin- P - 30 Sheath 7/23/24</v>
      </c>
      <c r="D61" s="304">
        <f>IF('Investigator Data'!C34="",$D$8,'Investigator Data'!C34)</f>
        <v>3.5</v>
      </c>
      <c r="E61" s="462"/>
      <c r="F61" s="181">
        <f t="shared" si="0"/>
        <v>45</v>
      </c>
      <c r="G61"/>
      <c r="H61" s="2"/>
      <c r="T61" s="2"/>
    </row>
    <row r="62" spans="1:20" ht="13">
      <c r="A62" s="178" t="str">
        <f>"IC"&amp;COVER!C$15&amp;COVER!C$23&amp;"-"&amp;COVER!C$22&amp;F62</f>
        <v>IC13C15N240610-1046</v>
      </c>
      <c r="B62" s="179" t="s">
        <v>200</v>
      </c>
      <c r="C62" s="183" t="str">
        <f>IF('Investigator Data'!B35="","",'Investigator Data'!B35)</f>
        <v>E2-Fin- P - 19  New 7/23/24</v>
      </c>
      <c r="D62" s="304">
        <f>IF('Investigator Data'!C35="",$D$8,'Investigator Data'!C35)</f>
        <v>3.5</v>
      </c>
      <c r="E62" s="462"/>
      <c r="F62" s="181">
        <f t="shared" si="0"/>
        <v>46</v>
      </c>
      <c r="G62"/>
      <c r="H62" s="2"/>
      <c r="T62" s="2"/>
    </row>
    <row r="63" spans="1:20" ht="13">
      <c r="A63" s="178" t="str">
        <f>"IC"&amp;COVER!C$15&amp;COVER!C$23&amp;"-"&amp;COVER!C$22&amp;F63</f>
        <v>IC13C15N240610-1047</v>
      </c>
      <c r="B63" s="179" t="s">
        <v>201</v>
      </c>
      <c r="C63" s="183" t="str">
        <f>IF('Investigator Data'!B36="","",'Investigator Data'!B36)</f>
        <v>E2-Fin- P - 19  Old 7/23/24</v>
      </c>
      <c r="D63" s="304">
        <f>IF('Investigator Data'!C36="",$D$8,'Investigator Data'!C36)</f>
        <v>3.5</v>
      </c>
      <c r="E63" s="462"/>
      <c r="F63" s="181">
        <f t="shared" si="0"/>
        <v>47</v>
      </c>
      <c r="G63"/>
      <c r="H63" s="2"/>
      <c r="T63" s="2"/>
    </row>
    <row r="64" spans="1:20" ht="13">
      <c r="A64" s="178" t="str">
        <f>"IC"&amp;COVER!C$15&amp;COVER!C$23&amp;"-"&amp;COVER!C$22&amp;F64</f>
        <v>IC13C15N240610-1048</v>
      </c>
      <c r="B64" s="179" t="s">
        <v>202</v>
      </c>
      <c r="C64" s="183" t="str">
        <f>IF('Investigator Data'!B37="","",'Investigator Data'!B37)</f>
        <v>E2-Fin- P - 19 Sheath 7/23/24</v>
      </c>
      <c r="D64" s="304">
        <f>IF('Investigator Data'!C37="",$D$8,'Investigator Data'!C37)</f>
        <v>3.5</v>
      </c>
      <c r="E64" s="462"/>
      <c r="F64" s="181">
        <f t="shared" si="0"/>
        <v>48</v>
      </c>
      <c r="G64"/>
      <c r="H64" s="2"/>
      <c r="T64" s="2"/>
    </row>
    <row r="65" spans="1:20" ht="13">
      <c r="A65" s="178" t="str">
        <f>"IC"&amp;COVER!C$15&amp;COVER!C$23&amp;"-"&amp;COVER!C$22&amp;F65</f>
        <v>IC13C15N240610-1049</v>
      </c>
      <c r="B65" s="179" t="s">
        <v>13</v>
      </c>
      <c r="C65" s="183" t="str">
        <f>IF('Investigator Data'!B38="","",'Investigator Data'!B38)</f>
        <v>E2-Fin- P - 7  New 7/23/24</v>
      </c>
      <c r="D65" s="304">
        <f>IF('Investigator Data'!C38="",$D$8,'Investigator Data'!C38)</f>
        <v>3.5</v>
      </c>
      <c r="E65" s="462"/>
      <c r="F65" s="181">
        <f t="shared" si="0"/>
        <v>49</v>
      </c>
      <c r="G65"/>
      <c r="H65" s="2"/>
      <c r="T65" s="2"/>
    </row>
    <row r="66" spans="1:20" ht="13">
      <c r="A66" s="178" t="str">
        <f>"IC"&amp;COVER!C$15&amp;COVER!C$23&amp;"-"&amp;COVER!C$22&amp;F66</f>
        <v>IC13C15N240610-1050</v>
      </c>
      <c r="B66" s="179" t="s">
        <v>167</v>
      </c>
      <c r="C66" s="183" t="str">
        <f>IF('Investigator Data'!B39="","",'Investigator Data'!B39)</f>
        <v>E2-Fin- P - 7  Old 7/23/24</v>
      </c>
      <c r="D66" s="304">
        <f>IF('Investigator Data'!C39="",$D$8,'Investigator Data'!C39)</f>
        <v>3.5</v>
      </c>
      <c r="E66" s="462"/>
      <c r="F66" s="181">
        <f t="shared" si="0"/>
        <v>50</v>
      </c>
    </row>
    <row r="67" spans="1:20" ht="13">
      <c r="A67" s="178" t="str">
        <f>"IC"&amp;COVER!C$15&amp;COVER!C$23&amp;"-"&amp;COVER!C$22&amp;F67</f>
        <v>IC13C15N240610-1051</v>
      </c>
      <c r="B67" s="179" t="s">
        <v>168</v>
      </c>
      <c r="C67" s="410" t="str">
        <f>IF('Investigator Data'!B4="","","R1-"&amp;'Investigator Data'!B4)</f>
        <v xml:space="preserve">R1-20240407_W1_G </v>
      </c>
      <c r="D67" s="304">
        <f>IF('Investigator Data'!C4="",$D$8,'Investigator Data'!C4)</f>
        <v>30</v>
      </c>
      <c r="E67" s="462"/>
      <c r="F67" s="181">
        <f t="shared" si="0"/>
        <v>51</v>
      </c>
    </row>
    <row r="68" spans="1:20" ht="13">
      <c r="A68" s="178" t="str">
        <f>"IC"&amp;COVER!C$15&amp;COVER!C$23&amp;"-"&amp;COVER!C$22&amp;F68</f>
        <v>IC13C15N240610-1052</v>
      </c>
      <c r="B68" s="179" t="s">
        <v>169</v>
      </c>
      <c r="C68" s="180" t="s">
        <v>34</v>
      </c>
      <c r="D68" s="303"/>
      <c r="E68" s="462"/>
      <c r="F68" s="181">
        <f t="shared" si="0"/>
        <v>52</v>
      </c>
    </row>
    <row r="69" spans="1:20" ht="13">
      <c r="A69" s="178" t="str">
        <f>"IC"&amp;COVER!C$15&amp;COVER!C$23&amp;"-"&amp;COVER!C$22&amp;F69</f>
        <v>IC13C15N240610-1053</v>
      </c>
      <c r="B69" s="179" t="s">
        <v>170</v>
      </c>
      <c r="C69" s="180" t="str">
        <f>$C$9</f>
        <v>ISIRF Ulva</v>
      </c>
      <c r="D69" s="303">
        <f>$D$9</f>
        <v>1.2</v>
      </c>
      <c r="E69" s="463"/>
      <c r="F69" s="181">
        <f t="shared" si="0"/>
        <v>53</v>
      </c>
    </row>
    <row r="70" spans="1:20" ht="13">
      <c r="A70" s="178" t="str">
        <f>"IC"&amp;COVER!C$15&amp;COVER!C$23&amp;"-"&amp;COVER!C$22&amp;F70</f>
        <v>IC13C15N240610-1054</v>
      </c>
      <c r="B70" s="179" t="s">
        <v>171</v>
      </c>
      <c r="C70" s="180" t="str">
        <f>$C$10</f>
        <v>ISIRF Chitin</v>
      </c>
      <c r="D70" s="303">
        <f>$D$10</f>
        <v>1</v>
      </c>
      <c r="E70" s="463"/>
      <c r="F70" s="181">
        <f t="shared" si="0"/>
        <v>54</v>
      </c>
    </row>
    <row r="71" spans="1:20" ht="13">
      <c r="A71" s="178" t="str">
        <f>"IC"&amp;COVER!C$15&amp;COVER!C$23&amp;"-"&amp;COVER!C$22&amp;F71</f>
        <v>IC13C15N240610-1055</v>
      </c>
      <c r="B71" s="179" t="s">
        <v>172</v>
      </c>
      <c r="C71" s="180" t="str">
        <f>$C$11</f>
        <v>ISIRF Bamboo</v>
      </c>
      <c r="D71" s="303">
        <f>$D$11</f>
        <v>1.5</v>
      </c>
      <c r="E71" s="462"/>
      <c r="F71" s="181">
        <f t="shared" si="0"/>
        <v>55</v>
      </c>
    </row>
    <row r="72" spans="1:20" ht="13">
      <c r="A72" s="440" t="str">
        <f>"IC"&amp;COVER!C$15&amp;COVER!C$23&amp;"-"&amp;COVER!C$22&amp;F72</f>
        <v>IC13C15N240610-1056</v>
      </c>
      <c r="B72" s="441" t="s">
        <v>173</v>
      </c>
      <c r="C72" s="442" t="str">
        <f>C12</f>
        <v>NBS 8412 Corn Stalk</v>
      </c>
      <c r="D72" s="443">
        <f>$D$12</f>
        <v>6.5</v>
      </c>
      <c r="E72" s="464"/>
      <c r="F72" s="444">
        <f t="shared" si="0"/>
        <v>56</v>
      </c>
    </row>
    <row r="73" spans="1:20" ht="13">
      <c r="B73" s="439"/>
    </row>
    <row r="74" spans="1:20" ht="13">
      <c r="B74" s="439"/>
    </row>
    <row r="75" spans="1:20" ht="13">
      <c r="B75" s="439"/>
    </row>
  </sheetData>
  <sheetProtection formatCells="0" formatColumns="0" formatRows="0" insertColumns="0" insertRows="0" insertHyperlinks="0" deleteColumns="0" deleteRows="0" sort="0" autoFilter="0" pivotTables="0"/>
  <protectedRanges>
    <protectedRange password="94AB" sqref="B10:B14" name="Standards_1"/>
    <protectedRange password="94AB" sqref="C13:D14" name="Standards_1_1"/>
  </protectedRanges>
  <mergeCells count="1">
    <mergeCell ref="E10:G10"/>
  </mergeCells>
  <phoneticPr fontId="0" type="noConversion"/>
  <conditionalFormatting sqref="E71 E24:E42 E69 E44:E67">
    <cfRule type="expression" dxfId="31" priority="10" stopIfTrue="1">
      <formula>C24=""</formula>
    </cfRule>
  </conditionalFormatting>
  <conditionalFormatting sqref="E72">
    <cfRule type="expression" dxfId="30" priority="9" stopIfTrue="1">
      <formula>C72=""</formula>
    </cfRule>
  </conditionalFormatting>
  <conditionalFormatting sqref="E23">
    <cfRule type="expression" dxfId="29" priority="5" stopIfTrue="1">
      <formula>C23=""</formula>
    </cfRule>
  </conditionalFormatting>
  <conditionalFormatting sqref="E70">
    <cfRule type="expression" dxfId="28" priority="4" stopIfTrue="1">
      <formula>C70=""</formula>
    </cfRule>
  </conditionalFormatting>
  <conditionalFormatting sqref="E17:E18">
    <cfRule type="expression" dxfId="27" priority="3" stopIfTrue="1">
      <formula>C17=""</formula>
    </cfRule>
  </conditionalFormatting>
  <conditionalFormatting sqref="E43">
    <cfRule type="expression" dxfId="26" priority="2" stopIfTrue="1">
      <formula>C43=""</formula>
    </cfRule>
  </conditionalFormatting>
  <conditionalFormatting sqref="E68">
    <cfRule type="expression" dxfId="25" priority="1" stopIfTrue="1">
      <formula>C68=""</formula>
    </cfRule>
  </conditionalFormatting>
  <pageMargins left="0.44" right="0.46" top="0.64" bottom="0.46" header="0.34" footer="0.45"/>
  <pageSetup scale="75" orientation="portrait" r:id="rId1"/>
  <headerFooter alignWithMargins="0">
    <oddHeader>&amp;C&amp;F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Tables!$A$2:$A$17</xm:f>
          </x14:formula1>
          <xm:sqref>C9:C12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R50"/>
  <sheetViews>
    <sheetView workbookViewId="0">
      <selection activeCell="E20" sqref="E20"/>
    </sheetView>
  </sheetViews>
  <sheetFormatPr defaultColWidth="9.1796875" defaultRowHeight="12.5"/>
  <cols>
    <col min="1" max="1" width="12.7265625" style="26" customWidth="1"/>
    <col min="2" max="2" width="27" style="26" customWidth="1"/>
    <col min="3" max="3" width="19.54296875" style="26" customWidth="1"/>
    <col min="4" max="4" width="18.7265625" style="26" bestFit="1" customWidth="1"/>
    <col min="5" max="5" width="11.453125" style="26" bestFit="1" customWidth="1"/>
    <col min="6" max="6" width="7.7265625" style="46" customWidth="1"/>
    <col min="7" max="7" width="8.81640625" style="46" bestFit="1" customWidth="1"/>
    <col min="8" max="9" width="10" style="46" bestFit="1" customWidth="1"/>
    <col min="10" max="10" width="8.453125" style="46" bestFit="1" customWidth="1"/>
    <col min="11" max="11" width="8.54296875" style="46" bestFit="1" customWidth="1"/>
    <col min="12" max="12" width="10" style="46" bestFit="1" customWidth="1"/>
    <col min="13" max="13" width="11.453125" style="46" customWidth="1"/>
    <col min="14" max="14" width="10.453125" style="45" customWidth="1"/>
    <col min="15" max="15" width="8.54296875" style="45" customWidth="1"/>
    <col min="16" max="16" width="6.7265625" style="45" customWidth="1"/>
    <col min="17" max="17" width="12.81640625" style="45" customWidth="1"/>
    <col min="18" max="16384" width="9.1796875" style="26"/>
  </cols>
  <sheetData>
    <row r="1" spans="1:17">
      <c r="A1" s="49"/>
      <c r="B1" s="49"/>
      <c r="C1" s="49"/>
      <c r="D1" s="49"/>
      <c r="E1" s="49"/>
      <c r="F1" s="50"/>
      <c r="G1" s="50"/>
      <c r="H1" s="50"/>
      <c r="I1" s="50"/>
      <c r="J1" s="50"/>
      <c r="K1" s="50"/>
      <c r="L1" s="50"/>
      <c r="M1" s="50"/>
      <c r="N1" s="51"/>
      <c r="O1" s="51"/>
      <c r="P1" s="51"/>
      <c r="Q1" s="51"/>
    </row>
    <row r="2" spans="1:17" ht="13">
      <c r="A2" s="49"/>
      <c r="B2" s="49"/>
      <c r="C2" s="49"/>
      <c r="D2" s="49"/>
      <c r="E2" s="52" t="s">
        <v>10</v>
      </c>
      <c r="F2" s="53" t="str">
        <f>COVER!C2</f>
        <v>IC13C15N-240610-10KansasROAR-Mix</v>
      </c>
      <c r="G2" s="54"/>
      <c r="H2" s="54"/>
      <c r="I2" s="55"/>
      <c r="J2" s="50"/>
      <c r="K2" s="50"/>
      <c r="L2" s="50"/>
      <c r="M2" s="50"/>
      <c r="N2" s="51"/>
      <c r="O2" s="51"/>
      <c r="P2" s="51"/>
      <c r="Q2" s="51"/>
    </row>
    <row r="3" spans="1:17" ht="13" thickBot="1">
      <c r="A3" s="49"/>
      <c r="B3" s="49"/>
      <c r="C3" s="49"/>
      <c r="D3" s="49"/>
      <c r="E3" s="49"/>
      <c r="F3" s="50"/>
      <c r="G3" s="50"/>
      <c r="H3" s="50"/>
      <c r="I3" s="50"/>
      <c r="J3" s="50"/>
      <c r="K3" s="50"/>
      <c r="L3" s="50"/>
      <c r="M3" s="50"/>
      <c r="N3" s="51"/>
      <c r="O3" s="51"/>
      <c r="P3" s="51"/>
      <c r="Q3" s="51"/>
    </row>
    <row r="4" spans="1:17" ht="15.5" thickTop="1">
      <c r="A4" s="56" t="s">
        <v>91</v>
      </c>
      <c r="B4" s="57"/>
      <c r="C4" s="58"/>
      <c r="D4" s="59"/>
      <c r="E4" s="60" t="s">
        <v>216</v>
      </c>
      <c r="F4" s="61"/>
      <c r="G4" s="61"/>
      <c r="H4" s="59"/>
      <c r="I4" s="61" t="s">
        <v>67</v>
      </c>
      <c r="J4" s="61"/>
      <c r="K4" s="62"/>
      <c r="L4" s="63"/>
      <c r="M4" s="64" t="s">
        <v>81</v>
      </c>
      <c r="N4" s="65"/>
      <c r="O4" s="66"/>
      <c r="P4" s="26"/>
      <c r="Q4" s="26"/>
    </row>
    <row r="5" spans="1:17" ht="15.5" thickBot="1">
      <c r="A5" s="67"/>
      <c r="B5" s="68"/>
      <c r="C5" s="69" t="s">
        <v>85</v>
      </c>
      <c r="D5" s="70" t="s">
        <v>14</v>
      </c>
      <c r="E5" s="70" t="s">
        <v>15</v>
      </c>
      <c r="F5" s="70" t="s">
        <v>139</v>
      </c>
      <c r="G5" s="71" t="s">
        <v>5</v>
      </c>
      <c r="H5" s="70" t="s">
        <v>14</v>
      </c>
      <c r="I5" s="70" t="s">
        <v>15</v>
      </c>
      <c r="J5" s="70" t="s">
        <v>139</v>
      </c>
      <c r="K5" s="71" t="s">
        <v>233</v>
      </c>
      <c r="L5" s="72" t="s">
        <v>94</v>
      </c>
      <c r="M5" s="73" t="s">
        <v>223</v>
      </c>
      <c r="N5" s="74"/>
      <c r="O5" s="75">
        <f>IF(SUM(L7:L11)&lt;2,"",SQRT((SUMPRODUCT(F6:F11,L6:L11))/SUM(L6:L11)))</f>
        <v>8.0222990596539298E-2</v>
      </c>
      <c r="P5" s="26"/>
      <c r="Q5" s="26"/>
    </row>
    <row r="6" spans="1:17" ht="14" thickTop="1" thickBot="1">
      <c r="A6" s="76" t="s">
        <v>138</v>
      </c>
      <c r="B6" s="77"/>
      <c r="C6" s="78" t="str">
        <f>'ISIRF 13C'!A7</f>
        <v>NBS 8412 Corn Stalk</v>
      </c>
      <c r="D6" s="376">
        <f>'ISIRF 13C'!C7</f>
        <v>-10.841718568997189</v>
      </c>
      <c r="E6" s="133">
        <f>'ISIRF 13C'!B33</f>
        <v>-10.614454877285498</v>
      </c>
      <c r="F6" s="133">
        <f>'ISIRF 13C'!C33</f>
        <v>2.1483940027467742E-3</v>
      </c>
      <c r="G6" s="107">
        <f>'ISIRF 13C'!D33</f>
        <v>4.6350771328498672E-2</v>
      </c>
      <c r="H6" s="106">
        <f>'ISIRF 13C'!D7</f>
        <v>46.118182173666668</v>
      </c>
      <c r="I6" s="108">
        <f>'ISIRF 13C'!E33</f>
        <v>48.249835924266669</v>
      </c>
      <c r="J6" s="108">
        <f>'ISIRF 13C'!F33</f>
        <v>5.236948994754794</v>
      </c>
      <c r="K6" s="391">
        <f>'ISIRF 13C'!G33</f>
        <v>4.7428930454698814E-2</v>
      </c>
      <c r="L6" s="400">
        <f>'ISIRF 13C'!H33</f>
        <v>3</v>
      </c>
      <c r="M6" s="82" t="s">
        <v>89</v>
      </c>
      <c r="N6" s="83"/>
      <c r="O6" s="84">
        <f>AVERAGE(K6:K11)</f>
        <v>4.1047288045539448E-2</v>
      </c>
      <c r="P6" s="26"/>
      <c r="Q6" s="26"/>
    </row>
    <row r="7" spans="1:17" ht="13.5" thickTop="1">
      <c r="A7" s="85" t="s">
        <v>86</v>
      </c>
      <c r="B7" s="86"/>
      <c r="C7" s="87" t="str">
        <f>'ISIRF 13C'!D11</f>
        <v>ISIRF Ulva</v>
      </c>
      <c r="D7" s="101">
        <f>'ISIRF 13C'!C4</f>
        <v>-12.890511300308667</v>
      </c>
      <c r="E7" s="99">
        <f>'ISIRF 13C'!B30</f>
        <v>-12.898287430581721</v>
      </c>
      <c r="F7" s="99">
        <f>'ISIRF 13C'!C30</f>
        <v>1.0481124372673565E-2</v>
      </c>
      <c r="G7" s="100">
        <f>'ISIRF 13C'!D30</f>
        <v>0.10237736259873842</v>
      </c>
      <c r="H7" s="101">
        <f>'ISIRF 13C'!D4</f>
        <v>33.294437556499993</v>
      </c>
      <c r="I7" s="99">
        <f>'ISIRF 13C'!E30</f>
        <v>33.050447486699994</v>
      </c>
      <c r="J7" s="99">
        <f>'ISIRF 13C'!F30</f>
        <v>3.0084039396257851</v>
      </c>
      <c r="K7" s="100">
        <f>'ISIRF 13C'!G30</f>
        <v>5.2479625882302247E-2</v>
      </c>
      <c r="L7" s="401">
        <f>'ISIRF 13C'!H30</f>
        <v>5</v>
      </c>
      <c r="M7" s="88" t="s">
        <v>82</v>
      </c>
      <c r="N7" s="89"/>
      <c r="O7" s="90"/>
      <c r="P7" s="26"/>
      <c r="Q7" s="26"/>
    </row>
    <row r="8" spans="1:17" ht="15">
      <c r="A8" s="91" t="s">
        <v>87</v>
      </c>
      <c r="B8" s="92"/>
      <c r="C8" s="93" t="str">
        <f>'ISIRF 13C'!A5</f>
        <v>ISIRF Chitin</v>
      </c>
      <c r="D8" s="105">
        <f>'ISIRF 13C'!C5</f>
        <v>-21.201039386165913</v>
      </c>
      <c r="E8" s="106">
        <f>'ISIRF 13C'!B31</f>
        <v>-21.178354302389135</v>
      </c>
      <c r="F8" s="106">
        <f>'ISIRF 13C'!C31</f>
        <v>5.3845783479091096E-3</v>
      </c>
      <c r="G8" s="377">
        <f>'ISIRF 13C'!D31</f>
        <v>7.3379686207485986E-2</v>
      </c>
      <c r="H8" s="378">
        <f>'ISIRF 13C'!D5</f>
        <v>44.925158736166672</v>
      </c>
      <c r="I8" s="103">
        <f>'ISIRF 13C'!E31</f>
        <v>48.751479021699993</v>
      </c>
      <c r="J8" s="103">
        <f>'ISIRF 13C'!F31</f>
        <v>18.928844051233046</v>
      </c>
      <c r="K8" s="104">
        <f>'ISIRF 13C'!G31</f>
        <v>8.9243018416854891E-2</v>
      </c>
      <c r="L8" s="402">
        <f>'ISIRF 13C'!H31</f>
        <v>3</v>
      </c>
      <c r="M8" s="73" t="s">
        <v>223</v>
      </c>
      <c r="N8" s="74"/>
      <c r="O8" s="75">
        <f>IF(COUNT(E6:E7)=0,"",D6-E6)</f>
        <v>-0.22726369171169125</v>
      </c>
      <c r="P8" s="26"/>
      <c r="Q8" s="26"/>
    </row>
    <row r="9" spans="1:17" ht="15" thickBot="1">
      <c r="A9" s="91" t="s">
        <v>88</v>
      </c>
      <c r="B9" s="94"/>
      <c r="C9" s="95" t="str">
        <f>'ISIRF 13C'!A6</f>
        <v>ISIRF Bamboo</v>
      </c>
      <c r="D9" s="378">
        <f>'ISIRF 13C'!C6</f>
        <v>-30.291663706283909</v>
      </c>
      <c r="E9" s="103">
        <f>'ISIRF 13C'!B32</f>
        <v>-30.301388572938947</v>
      </c>
      <c r="F9" s="103">
        <f>'ISIRF 13C'!C32</f>
        <v>1.53993191290495E-3</v>
      </c>
      <c r="G9" s="104">
        <f>'ISIRF 13C'!D32</f>
        <v>3.9241966221189147E-2</v>
      </c>
      <c r="H9" s="378">
        <f>'ISIRF 13C'!D6</f>
        <v>45.850178489166666</v>
      </c>
      <c r="I9" s="381">
        <f>'ISIRF 13C'!E32</f>
        <v>46.224572404500002</v>
      </c>
      <c r="J9" s="106">
        <f>'ISIRF 13C'!F32</f>
        <v>1.762118989628598</v>
      </c>
      <c r="K9" s="106">
        <f>'ISIRF 13C'!G32</f>
        <v>2.8717373274012588E-2</v>
      </c>
      <c r="L9" s="403">
        <f>'ISIRF 13C'!H32</f>
        <v>3</v>
      </c>
      <c r="M9" s="96" t="s">
        <v>89</v>
      </c>
      <c r="N9" s="97"/>
      <c r="O9" s="648">
        <f>(H6-I6)</f>
        <v>-2.1316537506000017</v>
      </c>
      <c r="P9" s="42"/>
      <c r="Q9" s="26"/>
    </row>
    <row r="10" spans="1:17" ht="14" thickTop="1" thickBot="1">
      <c r="A10" s="85" t="s">
        <v>92</v>
      </c>
      <c r="B10" s="86"/>
      <c r="C10" s="87" t="str">
        <f>'Investigator Data'!B4</f>
        <v xml:space="preserve">20240407_W1_G </v>
      </c>
      <c r="D10" s="101"/>
      <c r="E10" s="99">
        <f>'ISIRF 13C'!B28</f>
        <v>-17.085892604062586</v>
      </c>
      <c r="F10" s="99">
        <f>'ISIRF 13C'!C28</f>
        <v>9.4503541289759621E-4</v>
      </c>
      <c r="G10" s="100">
        <f>'ISIRF 13C'!D28</f>
        <v>3.074142828330519E-2</v>
      </c>
      <c r="H10" s="101"/>
      <c r="I10" s="99">
        <f>'ISIRF 13C'!E28</f>
        <v>1.513555022</v>
      </c>
      <c r="J10" s="99">
        <f>'ISIRF 13C'!F28</f>
        <v>2.6318332867656308E-4</v>
      </c>
      <c r="K10" s="100">
        <f>'ISIRF 13C'!G28</f>
        <v>1.0718425022547067E-2</v>
      </c>
      <c r="L10" s="102">
        <f>'ISIRF 13C'!H28</f>
        <v>2</v>
      </c>
      <c r="M10" s="51"/>
      <c r="N10" s="51"/>
      <c r="O10" s="51"/>
      <c r="P10" s="26"/>
      <c r="Q10" s="26"/>
    </row>
    <row r="11" spans="1:17" ht="13.5" thickTop="1">
      <c r="A11" s="91" t="s">
        <v>93</v>
      </c>
      <c r="B11" s="92"/>
      <c r="C11" s="87" t="str">
        <f>'Investigator Data'!B17</f>
        <v>160317_L017FAR2</v>
      </c>
      <c r="D11" s="101"/>
      <c r="E11" s="99">
        <f>'ISIRF 13C'!B29</f>
        <v>-27.370675002415233</v>
      </c>
      <c r="F11" s="99">
        <f>'ISIRF 13C'!C29</f>
        <v>1.7164351242349135E-2</v>
      </c>
      <c r="G11" s="100">
        <f>'ISIRF 13C'!D29</f>
        <v>0.13101279037692898</v>
      </c>
      <c r="H11" s="101"/>
      <c r="I11" s="99">
        <f>'ISIRF 13C'!E29</f>
        <v>2.6813649610999999</v>
      </c>
      <c r="J11" s="99">
        <f>'ISIRF 13C'!F29</f>
        <v>2.251539210663153E-3</v>
      </c>
      <c r="K11" s="100">
        <f>'ISIRF 13C'!G29</f>
        <v>1.769635522282105E-2</v>
      </c>
      <c r="L11" s="102">
        <f>'ISIRF 13C'!H29</f>
        <v>2</v>
      </c>
      <c r="M11" s="51"/>
      <c r="N11" s="51"/>
      <c r="O11" s="51"/>
      <c r="P11" s="26"/>
      <c r="Q11" s="26"/>
    </row>
    <row r="12" spans="1:17" ht="13" thickBot="1">
      <c r="A12" s="110"/>
      <c r="B12" s="110"/>
      <c r="C12" s="110"/>
      <c r="D12" s="379"/>
      <c r="E12" s="379"/>
      <c r="F12" s="379"/>
      <c r="G12" s="379"/>
      <c r="H12" s="379"/>
      <c r="I12" s="379"/>
      <c r="J12" s="379"/>
      <c r="K12" s="379"/>
      <c r="L12" s="392"/>
      <c r="M12" s="109"/>
      <c r="N12" s="109"/>
      <c r="O12" s="51"/>
      <c r="P12" s="26"/>
      <c r="Q12" s="26"/>
    </row>
    <row r="13" spans="1:17" ht="15.5" thickTop="1">
      <c r="A13" s="111" t="s">
        <v>95</v>
      </c>
      <c r="B13" s="57"/>
      <c r="C13" s="58"/>
      <c r="D13" s="396"/>
      <c r="E13" s="397" t="s">
        <v>217</v>
      </c>
      <c r="F13" s="398"/>
      <c r="G13" s="399"/>
      <c r="H13" s="398"/>
      <c r="I13" s="398" t="s">
        <v>68</v>
      </c>
      <c r="J13" s="398"/>
      <c r="K13" s="399"/>
      <c r="L13" s="396"/>
      <c r="M13" s="64" t="s">
        <v>83</v>
      </c>
      <c r="N13" s="65"/>
      <c r="O13" s="66"/>
      <c r="P13" s="26"/>
      <c r="Q13" s="26"/>
    </row>
    <row r="14" spans="1:17" ht="15.5" thickBot="1">
      <c r="A14" s="67"/>
      <c r="B14" s="68"/>
      <c r="C14" s="69" t="s">
        <v>85</v>
      </c>
      <c r="D14" s="79" t="s">
        <v>14</v>
      </c>
      <c r="E14" s="80" t="s">
        <v>15</v>
      </c>
      <c r="F14" s="80" t="s">
        <v>139</v>
      </c>
      <c r="G14" s="81" t="s">
        <v>5</v>
      </c>
      <c r="H14" s="80" t="s">
        <v>14</v>
      </c>
      <c r="I14" s="80" t="s">
        <v>15</v>
      </c>
      <c r="J14" s="80" t="s">
        <v>139</v>
      </c>
      <c r="K14" s="81" t="s">
        <v>234</v>
      </c>
      <c r="L14" s="79" t="s">
        <v>94</v>
      </c>
      <c r="M14" s="73" t="s">
        <v>224</v>
      </c>
      <c r="N14" s="74"/>
      <c r="O14" s="75">
        <f>IF(SUM(L16:L20)&lt;2,"",SQRT(SUMPRODUCT(F15:F20,L15:L20)/SUM(L15:L20)))</f>
        <v>7.8958065372122008E-2</v>
      </c>
      <c r="P14" s="26"/>
      <c r="Q14" s="26"/>
    </row>
    <row r="15" spans="1:17" ht="14" thickTop="1" thickBot="1">
      <c r="A15" s="76" t="s">
        <v>138</v>
      </c>
      <c r="B15" s="76"/>
      <c r="C15" s="112" t="str">
        <f>'ISIRF 15N'!A7</f>
        <v>NBS 8412 Corn Stalk</v>
      </c>
      <c r="D15" s="380">
        <f>'ISIRF 15N'!C7</f>
        <v>11.625902657950022</v>
      </c>
      <c r="E15" s="381">
        <f>'ISIRF 15N'!B33</f>
        <v>10.29367701732037</v>
      </c>
      <c r="F15" s="381">
        <f>'ISIRF 15N'!C33</f>
        <v>2.9534873983382568E-3</v>
      </c>
      <c r="G15" s="382">
        <f>'ISIRF 15N'!D33</f>
        <v>5.4345997077413687E-2</v>
      </c>
      <c r="H15" s="381">
        <f>'ISIRF 15N'!D7</f>
        <v>0.73011740333333341</v>
      </c>
      <c r="I15" s="381">
        <f>'ISIRF 15N'!E33</f>
        <v>0.79738057606666668</v>
      </c>
      <c r="J15" s="393">
        <f>'ISIRF 15N'!F33</f>
        <v>2.0739122972947537E-3</v>
      </c>
      <c r="K15" s="394">
        <f>'ISIRF 15N'!G33</f>
        <v>5.7112285663014385E-2</v>
      </c>
      <c r="L15" s="407">
        <f>'ISIRF 15N'!H33</f>
        <v>3</v>
      </c>
      <c r="M15" s="82" t="s">
        <v>90</v>
      </c>
      <c r="N15" s="83"/>
      <c r="O15" s="84">
        <f>AVERAGE(K15:K20)</f>
        <v>3.9040124191843016E-2</v>
      </c>
      <c r="P15" s="26"/>
      <c r="Q15" s="26"/>
    </row>
    <row r="16" spans="1:17" ht="13.5" thickTop="1">
      <c r="A16" s="113" t="s">
        <v>86</v>
      </c>
      <c r="B16" s="114"/>
      <c r="C16" s="115" t="str">
        <f>'ISIRF 15N'!A4</f>
        <v>ISIRF Ulva</v>
      </c>
      <c r="D16" s="383">
        <f>'ISIRF 15N'!C4</f>
        <v>7.4989402826592171</v>
      </c>
      <c r="E16" s="124">
        <f>'ISIRF 15N'!B30</f>
        <v>7.4990913613849131</v>
      </c>
      <c r="F16" s="125">
        <f>'ISIRF 15N'!C30</f>
        <v>1.0988618431569161E-2</v>
      </c>
      <c r="G16" s="126">
        <f>'ISIRF 15N'!D30</f>
        <v>0.10482661127580707</v>
      </c>
      <c r="H16" s="124">
        <f>'ISIRF 15N'!D4</f>
        <v>4.2927354420000006</v>
      </c>
      <c r="I16" s="124">
        <f>'ISIRF 15N'!E30</f>
        <v>4.1232979293800005</v>
      </c>
      <c r="J16" s="384">
        <f>'ISIRF 15N'!F30</f>
        <v>5.1923676710708272E-2</v>
      </c>
      <c r="K16" s="126">
        <f>'ISIRF 15N'!G30</f>
        <v>5.5263451147094515E-2</v>
      </c>
      <c r="L16" s="404">
        <f>'ISIRF 15N'!H30</f>
        <v>5</v>
      </c>
      <c r="M16" s="88" t="s">
        <v>84</v>
      </c>
      <c r="N16" s="89"/>
      <c r="O16" s="90"/>
      <c r="P16" s="26"/>
      <c r="Q16" s="26"/>
    </row>
    <row r="17" spans="1:18" ht="15.5">
      <c r="A17" s="116" t="s">
        <v>87</v>
      </c>
      <c r="B17" s="117"/>
      <c r="C17" s="118" t="str">
        <f>'ISIRF 15N'!A5</f>
        <v>ISIRF Chitin</v>
      </c>
      <c r="D17" s="380">
        <f>'ISIRF 15N'!C5</f>
        <v>-5.009378479975914</v>
      </c>
      <c r="E17" s="129">
        <f>'ISIRF 15N'!B31</f>
        <v>-5.0062386938454759</v>
      </c>
      <c r="F17" s="384">
        <f>'ISIRF 15N'!C31</f>
        <v>2.858940371659137E-3</v>
      </c>
      <c r="G17" s="385">
        <f>'ISIRF 15N'!D31</f>
        <v>5.3469059947404508E-2</v>
      </c>
      <c r="H17" s="129">
        <f>'ISIRF 15N'!D5</f>
        <v>6.5259674513333339</v>
      </c>
      <c r="I17" s="129">
        <f>'ISIRF 15N'!E31</f>
        <v>6.7166629420333335</v>
      </c>
      <c r="J17" s="130">
        <f>'ISIRF 15N'!F31</f>
        <v>0.2234995432074976</v>
      </c>
      <c r="K17" s="131">
        <f>'ISIRF 15N'!G31</f>
        <v>7.0385753626174608E-2</v>
      </c>
      <c r="L17" s="405">
        <f>'ISIRF 15N'!H31</f>
        <v>3</v>
      </c>
      <c r="M17" s="73" t="s">
        <v>224</v>
      </c>
      <c r="N17" s="119"/>
      <c r="O17" s="649">
        <f>IF(COUNT(E15:E16)=0,"",D15-E15)</f>
        <v>1.3322256406296518</v>
      </c>
      <c r="P17" s="26"/>
      <c r="Q17" s="26"/>
    </row>
    <row r="18" spans="1:18" ht="13.5" thickBot="1">
      <c r="A18" s="120" t="s">
        <v>88</v>
      </c>
      <c r="B18" s="121"/>
      <c r="C18" s="122" t="str">
        <f>'ISIRF 15N'!A6</f>
        <v>ISIRF Bamboo</v>
      </c>
      <c r="D18" s="380">
        <f>'ISIRF 15N'!C6</f>
        <v>2.0694573473526137</v>
      </c>
      <c r="E18" s="129">
        <f>'ISIRF 15N'!B32</f>
        <v>2.0660657633460162</v>
      </c>
      <c r="F18" s="386">
        <f>'ISIRF 15N'!C32</f>
        <v>6.4200714725236654E-3</v>
      </c>
      <c r="G18" s="387">
        <f>'ISIRF 15N'!D32</f>
        <v>8.0125348501729879E-2</v>
      </c>
      <c r="H18" s="390">
        <f>'ISIRF 15N'!D6</f>
        <v>3.046377295333333</v>
      </c>
      <c r="I18" s="390">
        <f>'ISIRF 15N'!E32</f>
        <v>2.9324395382333335</v>
      </c>
      <c r="J18" s="386">
        <f>'ISIRF 15N'!F32</f>
        <v>2.8611498607547586E-3</v>
      </c>
      <c r="K18" s="386">
        <f>'ISIRF 15N'!G32</f>
        <v>1.8240688900571712E-2</v>
      </c>
      <c r="L18" s="406">
        <f>'ISIRF 15N'!H32</f>
        <v>3</v>
      </c>
      <c r="M18" s="96" t="s">
        <v>90</v>
      </c>
      <c r="N18" s="123"/>
      <c r="O18" s="98">
        <f>IF(COUNT(I15,I17:I18)=0,"",H15-I15)</f>
        <v>-6.7263172733333265E-2</v>
      </c>
      <c r="P18" s="26"/>
      <c r="Q18" s="26"/>
    </row>
    <row r="19" spans="1:18" ht="14" thickTop="1" thickBot="1">
      <c r="A19" s="113" t="s">
        <v>92</v>
      </c>
      <c r="B19" s="114"/>
      <c r="C19" s="112" t="str">
        <f>'Investigator Data'!B4</f>
        <v xml:space="preserve">20240407_W1_G </v>
      </c>
      <c r="D19" s="506"/>
      <c r="E19" s="507">
        <f>'ISIRF 15N'!B28</f>
        <v>5.9045748176075374</v>
      </c>
      <c r="F19" s="507">
        <f>'ISIRF 15N'!C28</f>
        <v>1.0280020382455818E-2</v>
      </c>
      <c r="G19" s="508">
        <f>'ISIRF 15N'!D28</f>
        <v>0.10139043535982976</v>
      </c>
      <c r="H19" s="390"/>
      <c r="I19" s="507">
        <f>'ISIRF 15N'!E28</f>
        <v>0.1342108719</v>
      </c>
      <c r="J19" s="507">
        <f>'ISIRF 15N'!F28</f>
        <v>1.0584390695439788E-5</v>
      </c>
      <c r="K19" s="508">
        <f>'ISIRF 15N'!G28</f>
        <v>2.4240704274644531E-2</v>
      </c>
      <c r="L19" s="509">
        <f>'ISIRF 15N'!H28</f>
        <v>2</v>
      </c>
      <c r="M19" s="51"/>
      <c r="N19" s="51"/>
      <c r="O19" s="51"/>
      <c r="P19" s="26"/>
      <c r="Q19" s="26"/>
    </row>
    <row r="20" spans="1:18" ht="14" thickTop="1" thickBot="1">
      <c r="A20" s="120" t="s">
        <v>93</v>
      </c>
      <c r="B20" s="121"/>
      <c r="C20" s="505" t="str">
        <f>'Investigator Data'!B17</f>
        <v>160317_L017FAR2</v>
      </c>
      <c r="D20" s="506"/>
      <c r="E20" s="507">
        <f>'ISIRF 15N'!B29</f>
        <v>4.2757735804480861</v>
      </c>
      <c r="F20" s="507">
        <f>'ISIRF 15N'!C29</f>
        <v>9.0694606143240543E-6</v>
      </c>
      <c r="G20" s="508">
        <f>'ISIRF 15N'!D29</f>
        <v>3.0115545179066664E-3</v>
      </c>
      <c r="H20" s="390"/>
      <c r="I20" s="507">
        <f>'ISIRF 15N'!E29</f>
        <v>0.19752975900000003</v>
      </c>
      <c r="J20" s="507">
        <f>'ISIRF 15N'!F29</f>
        <v>3.1589567470580138E-6</v>
      </c>
      <c r="K20" s="508">
        <f>'ISIRF 15N'!G29</f>
        <v>8.9978615395583279E-3</v>
      </c>
      <c r="L20" s="509">
        <f>'ISIRF 15N'!H29</f>
        <v>2</v>
      </c>
      <c r="M20" s="51"/>
      <c r="N20" s="51"/>
      <c r="O20" s="51"/>
      <c r="P20" s="26"/>
      <c r="Q20" s="26"/>
    </row>
    <row r="21" spans="1:18" ht="13.5" thickTop="1" thickBot="1">
      <c r="A21" s="49"/>
      <c r="B21" s="49"/>
      <c r="C21" s="49"/>
      <c r="D21" s="50"/>
      <c r="E21" s="50"/>
      <c r="F21" s="50"/>
      <c r="G21" s="50"/>
      <c r="H21" s="50"/>
      <c r="I21" s="50"/>
      <c r="J21" s="50"/>
      <c r="K21" s="134"/>
      <c r="L21" s="135"/>
      <c r="M21" s="135"/>
      <c r="N21" s="136"/>
      <c r="O21" s="51"/>
      <c r="P21" s="26"/>
      <c r="Q21" s="26"/>
    </row>
    <row r="22" spans="1:18" ht="15.5" thickTop="1">
      <c r="A22" s="111" t="s">
        <v>210</v>
      </c>
      <c r="B22" s="57"/>
      <c r="C22" s="58"/>
      <c r="D22" s="396"/>
      <c r="E22" s="397" t="s">
        <v>218</v>
      </c>
      <c r="F22" s="398"/>
      <c r="G22" s="399"/>
      <c r="H22" s="398"/>
      <c r="I22" s="398" t="s">
        <v>184</v>
      </c>
      <c r="J22" s="398"/>
      <c r="K22" s="399"/>
      <c r="L22" s="396"/>
      <c r="M22" s="64" t="s">
        <v>219</v>
      </c>
      <c r="N22" s="65"/>
      <c r="O22" s="66"/>
      <c r="P22" s="26"/>
      <c r="Q22" s="26"/>
    </row>
    <row r="23" spans="1:18" ht="15.5" thickBot="1">
      <c r="A23" s="67"/>
      <c r="B23" s="68"/>
      <c r="C23" s="69" t="s">
        <v>85</v>
      </c>
      <c r="D23" s="79" t="s">
        <v>14</v>
      </c>
      <c r="E23" s="80" t="s">
        <v>15</v>
      </c>
      <c r="F23" s="80" t="s">
        <v>139</v>
      </c>
      <c r="G23" s="81" t="s">
        <v>5</v>
      </c>
      <c r="H23" s="80" t="s">
        <v>14</v>
      </c>
      <c r="I23" s="80" t="s">
        <v>15</v>
      </c>
      <c r="J23" s="80" t="s">
        <v>139</v>
      </c>
      <c r="K23" s="81" t="s">
        <v>5</v>
      </c>
      <c r="L23" s="79" t="s">
        <v>94</v>
      </c>
      <c r="M23" s="73" t="s">
        <v>222</v>
      </c>
      <c r="N23" s="74"/>
      <c r="O23" s="75" t="str">
        <f>IF(SUM(L25:L29)&lt;2,"",SQRT(SUMPRODUCT(F24:F29,L24:L29)/SUM(L24:L29)))</f>
        <v/>
      </c>
      <c r="P23" s="26"/>
      <c r="Q23" s="26"/>
    </row>
    <row r="24" spans="1:18" ht="14" thickTop="1" thickBot="1">
      <c r="A24" s="76" t="s">
        <v>138</v>
      </c>
      <c r="B24" s="76"/>
      <c r="C24" s="112"/>
      <c r="D24" s="380"/>
      <c r="E24" s="381"/>
      <c r="F24" s="381"/>
      <c r="G24" s="382"/>
      <c r="H24" s="381"/>
      <c r="I24" s="381"/>
      <c r="J24" s="393"/>
      <c r="K24" s="394"/>
      <c r="L24" s="407"/>
      <c r="M24" s="82" t="s">
        <v>221</v>
      </c>
      <c r="N24" s="83"/>
      <c r="O24" s="84" t="str">
        <f>IF(SUM(L25:L29)&lt;2,"",SQRT(SUMPRODUCT(J24:J29,L24:L29)/SUM(L24:L29)))</f>
        <v/>
      </c>
      <c r="P24" s="26"/>
      <c r="Q24" s="26"/>
    </row>
    <row r="25" spans="1:18" ht="13.5" thickTop="1">
      <c r="A25" s="113" t="s">
        <v>86</v>
      </c>
      <c r="B25" s="114"/>
      <c r="C25" s="115"/>
      <c r="D25" s="383"/>
      <c r="E25" s="124"/>
      <c r="F25" s="125"/>
      <c r="G25" s="126"/>
      <c r="H25" s="124"/>
      <c r="I25" s="124"/>
      <c r="J25" s="384"/>
      <c r="K25" s="395"/>
      <c r="L25" s="404"/>
      <c r="M25" s="88" t="s">
        <v>220</v>
      </c>
      <c r="N25" s="89"/>
      <c r="O25" s="90"/>
      <c r="P25" s="26"/>
      <c r="Q25" s="26"/>
    </row>
    <row r="26" spans="1:18" ht="15">
      <c r="A26" s="116" t="s">
        <v>87</v>
      </c>
      <c r="B26" s="117"/>
      <c r="C26" s="118"/>
      <c r="D26" s="380"/>
      <c r="E26" s="129"/>
      <c r="F26" s="384"/>
      <c r="G26" s="385"/>
      <c r="H26" s="129"/>
      <c r="I26" s="129"/>
      <c r="J26" s="130"/>
      <c r="K26" s="131"/>
      <c r="L26" s="405"/>
      <c r="M26" s="73" t="s">
        <v>222</v>
      </c>
      <c r="N26" s="119"/>
      <c r="O26" s="75" t="str">
        <f>IF(COUNT(E24:E25)=0,"",D24-E24)</f>
        <v/>
      </c>
      <c r="P26" s="26"/>
      <c r="Q26" s="26"/>
    </row>
    <row r="27" spans="1:18" ht="13.5" thickBot="1">
      <c r="A27" s="120" t="s">
        <v>88</v>
      </c>
      <c r="B27" s="121"/>
      <c r="C27" s="122"/>
      <c r="D27" s="380"/>
      <c r="E27" s="129"/>
      <c r="F27" s="386"/>
      <c r="G27" s="387"/>
      <c r="H27" s="390"/>
      <c r="I27" s="390"/>
      <c r="J27" s="386"/>
      <c r="K27" s="386"/>
      <c r="L27" s="406"/>
      <c r="M27" s="96" t="s">
        <v>221</v>
      </c>
      <c r="N27" s="123"/>
      <c r="O27" s="98" t="str">
        <f>IF(COUNT(I24,I26:I27)=0,"",AVERAGE(H24-I24,H26-I26,H27-I27))</f>
        <v/>
      </c>
      <c r="P27" s="26"/>
      <c r="Q27" s="26"/>
    </row>
    <row r="28" spans="1:18" ht="13.5" thickTop="1">
      <c r="A28" s="113" t="s">
        <v>92</v>
      </c>
      <c r="B28" s="114"/>
      <c r="C28" s="112"/>
      <c r="D28" s="388"/>
      <c r="E28" s="125"/>
      <c r="F28" s="125"/>
      <c r="G28" s="126"/>
      <c r="H28" s="124"/>
      <c r="I28" s="125"/>
      <c r="J28" s="125"/>
      <c r="K28" s="126"/>
      <c r="L28" s="127"/>
      <c r="M28" s="51"/>
      <c r="N28" s="51"/>
      <c r="O28" s="51"/>
      <c r="P28" s="26"/>
      <c r="Q28" s="26"/>
    </row>
    <row r="29" spans="1:18" ht="13">
      <c r="A29" s="116" t="s">
        <v>93</v>
      </c>
      <c r="B29" s="117"/>
      <c r="C29" s="128"/>
      <c r="D29" s="389"/>
      <c r="E29" s="130"/>
      <c r="F29" s="130"/>
      <c r="G29" s="131"/>
      <c r="H29" s="129"/>
      <c r="I29" s="130"/>
      <c r="J29" s="130"/>
      <c r="K29" s="131"/>
      <c r="L29" s="132"/>
      <c r="M29" s="51"/>
      <c r="N29" s="51"/>
      <c r="O29" s="51"/>
      <c r="P29" s="26"/>
      <c r="Q29" s="26"/>
    </row>
    <row r="30" spans="1:18" ht="13" thickBot="1">
      <c r="A30" s="49"/>
      <c r="B30" s="49"/>
      <c r="C30" s="49"/>
      <c r="D30" s="49"/>
      <c r="E30" s="49"/>
      <c r="F30" s="50"/>
      <c r="G30" s="50"/>
      <c r="H30" s="50"/>
      <c r="I30" s="50"/>
      <c r="J30" s="50"/>
      <c r="K30" s="50"/>
      <c r="L30" s="50"/>
      <c r="M30" s="134"/>
      <c r="N30" s="135"/>
      <c r="O30" s="135"/>
      <c r="P30" s="136"/>
      <c r="Q30" s="51"/>
    </row>
    <row r="31" spans="1:18" ht="13" thickTop="1">
      <c r="A31" s="137" t="s">
        <v>119</v>
      </c>
      <c r="B31" s="138"/>
      <c r="C31" s="138"/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9"/>
      <c r="O31" s="139"/>
      <c r="P31" s="65"/>
      <c r="Q31" s="65"/>
      <c r="R31" s="140"/>
    </row>
    <row r="32" spans="1:18" ht="26">
      <c r="A32" s="141" t="s">
        <v>75</v>
      </c>
      <c r="B32" s="142" t="s">
        <v>76</v>
      </c>
      <c r="C32" s="142"/>
      <c r="D32" s="142" t="s">
        <v>0</v>
      </c>
      <c r="E32" s="142" t="s">
        <v>77</v>
      </c>
      <c r="F32" s="143" t="s">
        <v>132</v>
      </c>
      <c r="G32" s="142" t="s">
        <v>78</v>
      </c>
      <c r="H32" s="144" t="s">
        <v>211</v>
      </c>
      <c r="I32" s="145" t="s">
        <v>225</v>
      </c>
      <c r="J32" s="146" t="s">
        <v>68</v>
      </c>
      <c r="K32" s="146" t="s">
        <v>230</v>
      </c>
      <c r="L32" s="144" t="s">
        <v>226</v>
      </c>
      <c r="M32" s="145" t="s">
        <v>227</v>
      </c>
      <c r="N32" s="146" t="s">
        <v>67</v>
      </c>
      <c r="O32" s="146" t="s">
        <v>215</v>
      </c>
      <c r="P32" s="541"/>
      <c r="Q32" s="541" t="s">
        <v>97</v>
      </c>
      <c r="R32" s="147"/>
    </row>
    <row r="33" spans="1:18">
      <c r="A33" s="580">
        <f>'ISIRF RAW'!$B$2</f>
        <v>44126</v>
      </c>
      <c r="B33" s="543" t="str">
        <f>'ISIRF 15N'!B11</f>
        <v>IC13C15N-240610-10KansasROAR-Mix_3.raw</v>
      </c>
      <c r="C33" s="324"/>
      <c r="D33" s="323" t="str">
        <f>'ISIRF 15N'!D11</f>
        <v>ISIRF Ulva</v>
      </c>
      <c r="E33" s="324" t="str">
        <f>'ISIRF 15N'!E11</f>
        <v>QC.STD</v>
      </c>
      <c r="F33" s="325">
        <f>'ISIRF 15N'!F11</f>
        <v>4</v>
      </c>
      <c r="G33" s="326">
        <f>'ISIRF 15N'!G11</f>
        <v>1.276</v>
      </c>
      <c r="H33" s="325">
        <f>'ISIRF 15N'!H11</f>
        <v>5.9308284999999996</v>
      </c>
      <c r="I33" s="472">
        <f>'ISIRF 15N'!I11</f>
        <v>90634464</v>
      </c>
      <c r="J33" s="326">
        <f>'ISIRF 15N'!J11</f>
        <v>3.7791571937000006</v>
      </c>
      <c r="K33" s="326">
        <f>'ISIRF 15N'!K11</f>
        <v>7.429469148092366</v>
      </c>
      <c r="L33" s="544">
        <f>'ISIRF 13C'!H11</f>
        <v>6.0966385000000001</v>
      </c>
      <c r="M33" s="474">
        <f>'ISIRF 13C'!I11</f>
        <v>65640784</v>
      </c>
      <c r="N33" s="326">
        <f>'ISIRF 13C'!J11</f>
        <v>30.095353443400001</v>
      </c>
      <c r="O33" s="545">
        <f>'ISIRF 13C'!K11</f>
        <v>-12.827970462091924</v>
      </c>
      <c r="P33" s="329" t="str">
        <f>'ISIRF 15N'!L11&amp;'ISIRF 13C'!L11</f>
        <v/>
      </c>
      <c r="Q33" s="148"/>
      <c r="R33" s="149" t="str">
        <f>IF(COUNTA('ISIRF 15N'!L11)=1,"See ISIRF 15N","")</f>
        <v/>
      </c>
    </row>
    <row r="34" spans="1:18">
      <c r="A34" s="581">
        <f>'ISIRF RAW'!$B$2</f>
        <v>44126</v>
      </c>
      <c r="B34" s="542" t="str">
        <f>'ISIRF 15N'!B12</f>
        <v>IC13C15N-240610-10KansasROAR-Mix_16.raw</v>
      </c>
      <c r="C34" s="322"/>
      <c r="D34" s="330" t="str">
        <f>'ISIRF 15N'!D12</f>
        <v>ISIRF Ulva</v>
      </c>
      <c r="E34" s="322" t="str">
        <f>'ISIRF 15N'!E12</f>
        <v>QC.STD</v>
      </c>
      <c r="F34" s="331">
        <f>'ISIRF 15N'!F12</f>
        <v>17</v>
      </c>
      <c r="G34" s="327">
        <f>'ISIRF 15N'!G12</f>
        <v>1.1919999999999999</v>
      </c>
      <c r="H34" s="331">
        <f>'ISIRF 15N'!H12</f>
        <v>6.4144969999999999</v>
      </c>
      <c r="I34" s="473">
        <f>'ISIRF 15N'!I12</f>
        <v>99723088</v>
      </c>
      <c r="J34" s="327">
        <f>'ISIRF 15N'!J12</f>
        <v>4.3353683023</v>
      </c>
      <c r="K34" s="327">
        <f>'ISIRF 15N'!K12</f>
        <v>7.3702207049018114</v>
      </c>
      <c r="L34" s="476">
        <f>'ISIRF 13C'!H12</f>
        <v>6.4232614999999997</v>
      </c>
      <c r="M34" s="475">
        <f>'ISIRF 13C'!I12</f>
        <v>69939928</v>
      </c>
      <c r="N34" s="327">
        <f>'ISIRF 13C'!J12</f>
        <v>34.281927623999998</v>
      </c>
      <c r="O34" s="328">
        <f>'ISIRF 13C'!K12</f>
        <v>-13.027314505757579</v>
      </c>
      <c r="P34" s="332" t="str">
        <f>'ISIRF 15N'!L12&amp;'ISIRF 13C'!L12</f>
        <v/>
      </c>
      <c r="Q34" s="150"/>
      <c r="R34" s="151" t="str">
        <f>IF(COUNTA('ISIRF 15N'!L12)=1,"See ISIRF 15N","")</f>
        <v/>
      </c>
    </row>
    <row r="35" spans="1:18">
      <c r="A35" s="581">
        <f>'ISIRF RAW'!$B$2</f>
        <v>44126</v>
      </c>
      <c r="B35" s="542" t="str">
        <f>'ISIRF 15N'!B13</f>
        <v>IC13C15N-240610-10KansasROAR-Mix_28.raw</v>
      </c>
      <c r="C35" s="322"/>
      <c r="D35" s="330" t="str">
        <f>'ISIRF 15N'!D13</f>
        <v>ISIRF Ulva</v>
      </c>
      <c r="E35" s="322" t="str">
        <f>'ISIRF 15N'!E13</f>
        <v>QC.STD</v>
      </c>
      <c r="F35" s="331">
        <f>'ISIRF 15N'!F13</f>
        <v>29</v>
      </c>
      <c r="G35" s="327">
        <f>'ISIRF 15N'!G13</f>
        <v>1.123</v>
      </c>
      <c r="H35" s="331">
        <f>'ISIRF 15N'!H13</f>
        <v>5.8188864999999996</v>
      </c>
      <c r="I35" s="473">
        <f>'ISIRF 15N'!I13</f>
        <v>88030392</v>
      </c>
      <c r="J35" s="327">
        <f>'ISIRF 15N'!J13</f>
        <v>4.1315255478000008</v>
      </c>
      <c r="K35" s="327">
        <f>'ISIRF 15N'!K13</f>
        <v>7.6399837563454085</v>
      </c>
      <c r="L35" s="476">
        <f>'ISIRF 13C'!H13</f>
        <v>5.8194749999999997</v>
      </c>
      <c r="M35" s="475">
        <f>'ISIRF 13C'!I13</f>
        <v>63618928</v>
      </c>
      <c r="N35" s="327">
        <f>'ISIRF 13C'!J13</f>
        <v>33.205756960599999</v>
      </c>
      <c r="O35" s="328">
        <f>'ISIRF 13C'!K13</f>
        <v>-12.765696495728996</v>
      </c>
      <c r="P35" s="332" t="str">
        <f>'ISIRF 15N'!L13&amp;'ISIRF 13C'!L13</f>
        <v/>
      </c>
      <c r="Q35" s="150"/>
      <c r="R35" s="151" t="str">
        <f>IF(COUNTA('ISIRF 15N'!L13)=1,"See ISIRF 15N","")</f>
        <v/>
      </c>
    </row>
    <row r="36" spans="1:18">
      <c r="A36" s="581">
        <f>'ISIRF RAW'!$B$2</f>
        <v>44126</v>
      </c>
      <c r="B36" s="542" t="str">
        <f>'ISIRF 15N'!B14</f>
        <v>IC13C15N-240610-10KansasROAR-Mix_41.raw</v>
      </c>
      <c r="C36" s="322"/>
      <c r="D36" s="330" t="str">
        <f>'ISIRF 15N'!D14</f>
        <v>ISIRF Ulva</v>
      </c>
      <c r="E36" s="322" t="str">
        <f>'ISIRF 15N'!E14</f>
        <v>QC.STD</v>
      </c>
      <c r="F36" s="331">
        <f>'ISIRF 15N'!F14</f>
        <v>42</v>
      </c>
      <c r="G36" s="327">
        <f>'ISIRF 15N'!G14</f>
        <v>1.1439999999999999</v>
      </c>
      <c r="H36" s="331">
        <f>'ISIRF 15N'!H14</f>
        <v>6.0359990000000003</v>
      </c>
      <c r="I36" s="473">
        <f>'ISIRF 15N'!I14</f>
        <v>91565168</v>
      </c>
      <c r="J36" s="327">
        <f>'ISIRF 15N'!J14</f>
        <v>4.0500308932999998</v>
      </c>
      <c r="K36" s="327">
        <f>'ISIRF 15N'!K14</f>
        <v>7.5056429950950871</v>
      </c>
      <c r="L36" s="476">
        <f>'ISIRF 13C'!H14</f>
        <v>6.0982339999999997</v>
      </c>
      <c r="M36" s="475">
        <f>'ISIRF 13C'!I14</f>
        <v>65274864</v>
      </c>
      <c r="N36" s="327">
        <f>'ISIRF 13C'!J14</f>
        <v>33.319536018999997</v>
      </c>
      <c r="O36" s="328">
        <f>'ISIRF 13C'!K14</f>
        <v>-12.931874419979184</v>
      </c>
      <c r="P36" s="332" t="str">
        <f>'ISIRF 15N'!L14&amp;'ISIRF 13C'!L14</f>
        <v/>
      </c>
      <c r="Q36" s="150"/>
      <c r="R36" s="151" t="str">
        <f>IF(COUNTA('ISIRF 15N'!L14)=1,"See ISIRF 15N","")</f>
        <v/>
      </c>
    </row>
    <row r="37" spans="1:18">
      <c r="A37" s="582">
        <f>'ISIRF RAW'!$B$2</f>
        <v>44126</v>
      </c>
      <c r="B37" s="546" t="str">
        <f>'ISIRF 15N'!B15</f>
        <v>IC13C15N-240610-10KansasROAR-Mix_53.raw</v>
      </c>
      <c r="C37" s="547"/>
      <c r="D37" s="548" t="str">
        <f>'ISIRF 15N'!D15</f>
        <v>ISIRF Ulva</v>
      </c>
      <c r="E37" s="547" t="str">
        <f>'ISIRF 15N'!E15</f>
        <v>QC.STD</v>
      </c>
      <c r="F37" s="549">
        <f>'ISIRF 15N'!F15</f>
        <v>54</v>
      </c>
      <c r="G37" s="550">
        <f>'ISIRF 15N'!G15</f>
        <v>1.254</v>
      </c>
      <c r="H37" s="549">
        <f>'ISIRF 15N'!H15</f>
        <v>6.7827190000000002</v>
      </c>
      <c r="I37" s="551">
        <f>'ISIRF 15N'!I15</f>
        <v>101819856</v>
      </c>
      <c r="J37" s="550">
        <f>'ISIRF 15N'!J15</f>
        <v>4.3204077098000004</v>
      </c>
      <c r="K37" s="550">
        <f>'ISIRF 15N'!K15</f>
        <v>7.550140202489894</v>
      </c>
      <c r="L37" s="552">
        <f>'ISIRF 13C'!H15</f>
        <v>6.836074</v>
      </c>
      <c r="M37" s="553">
        <f>'ISIRF 13C'!I15</f>
        <v>73920736</v>
      </c>
      <c r="N37" s="550">
        <f>'ISIRF 13C'!J15</f>
        <v>34.349663386499998</v>
      </c>
      <c r="O37" s="554">
        <f>'ISIRF 13C'!K15</f>
        <v>-12.938581269350916</v>
      </c>
      <c r="P37" s="570" t="str">
        <f>'ISIRF 15N'!L15&amp;'ISIRF 13C'!L15</f>
        <v/>
      </c>
      <c r="Q37" s="555"/>
      <c r="R37" s="556" t="str">
        <f>IF(COUNTA('ISIRF 15N'!L15)=1,"See ISIRF 15N","")</f>
        <v/>
      </c>
    </row>
    <row r="38" spans="1:18">
      <c r="A38" s="580">
        <f>'ISIRF RAW'!$B$2</f>
        <v>44126</v>
      </c>
      <c r="B38" s="543" t="str">
        <f>'ISIRF 15N'!B16</f>
        <v>IC13C15N-240610-10KansasROAR-Mix_4.raw</v>
      </c>
      <c r="C38" s="324"/>
      <c r="D38" s="323" t="str">
        <f>'ISIRF 15N'!D16</f>
        <v>ISIRF Chitin</v>
      </c>
      <c r="E38" s="324" t="str">
        <f>'ISIRF 15N'!E16</f>
        <v>Cal-H.STD</v>
      </c>
      <c r="F38" s="325">
        <f>'ISIRF 15N'!F16</f>
        <v>5</v>
      </c>
      <c r="G38" s="326">
        <f>'ISIRF 15N'!G16</f>
        <v>1.038</v>
      </c>
      <c r="H38" s="325">
        <f>'ISIRF 15N'!H16</f>
        <v>10.194267</v>
      </c>
      <c r="I38" s="472">
        <f>'ISIRF 15N'!I16</f>
        <v>150292480</v>
      </c>
      <c r="J38" s="326">
        <f>'ISIRF 15N'!J16</f>
        <v>7.2603709626000006</v>
      </c>
      <c r="K38" s="326">
        <f>'ISIRF 15N'!K16</f>
        <v>-5.0677687588221936</v>
      </c>
      <c r="L38" s="544">
        <f>'ISIRF 13C'!H16</f>
        <v>8.6421569999999992</v>
      </c>
      <c r="M38" s="474">
        <f>'ISIRF 13C'!H16</f>
        <v>8.6421569999999992</v>
      </c>
      <c r="N38" s="326">
        <f>'ISIRF 13C'!J16</f>
        <v>53.7568676876</v>
      </c>
      <c r="O38" s="545">
        <f>'ISIRF 13C'!K16</f>
        <v>-21.237718859291583</v>
      </c>
      <c r="P38" s="683"/>
      <c r="Q38" s="684"/>
      <c r="R38" s="685"/>
    </row>
    <row r="39" spans="1:18">
      <c r="A39" s="581">
        <f>'ISIRF RAW'!$B$2</f>
        <v>44126</v>
      </c>
      <c r="B39" s="542" t="str">
        <f>'ISIRF 15N'!B17</f>
        <v>IC13C15N-240610-10KansasROAR-Mix_29.raw</v>
      </c>
      <c r="C39" s="322"/>
      <c r="D39" s="330" t="str">
        <f>'ISIRF 15N'!D17</f>
        <v>ISIRF Chitin</v>
      </c>
      <c r="E39" s="322" t="str">
        <f>'ISIRF 15N'!E17</f>
        <v>Cal-H.STD</v>
      </c>
      <c r="F39" s="331">
        <f>'ISIRF 15N'!F17</f>
        <v>30</v>
      </c>
      <c r="G39" s="327">
        <f>'ISIRF 15N'!G17</f>
        <v>1.069</v>
      </c>
      <c r="H39" s="331">
        <f>'ISIRF 15N'!H17</f>
        <v>8.8813490000000002</v>
      </c>
      <c r="I39" s="473">
        <f>'ISIRF 15N'!I17</f>
        <v>134010720</v>
      </c>
      <c r="J39" s="327">
        <f>'ISIRF 15N'!J17</f>
        <v>6.40255098</v>
      </c>
      <c r="K39" s="327">
        <f>'ISIRF 15N'!K17</f>
        <v>-4.9710601933749299</v>
      </c>
      <c r="L39" s="476">
        <f>'ISIRF 13C'!H17</f>
        <v>7.5567425000000004</v>
      </c>
      <c r="M39" s="475">
        <f>'ISIRF 13C'!I17</f>
        <v>83886128</v>
      </c>
      <c r="N39" s="327">
        <f>'ISIRF 13C'!J17</f>
        <v>45.876753401499997</v>
      </c>
      <c r="O39" s="328">
        <f>'ISIRF 13C'!K17</f>
        <v>-21.096313019117908</v>
      </c>
      <c r="P39" s="332"/>
      <c r="Q39" s="150"/>
      <c r="R39" s="151"/>
    </row>
    <row r="40" spans="1:18">
      <c r="A40" s="582">
        <f>'ISIRF RAW'!$B$2</f>
        <v>44126</v>
      </c>
      <c r="B40" s="546" t="str">
        <f>'ISIRF 15N'!B18</f>
        <v>IC13C15N-240610-10KansasROAR-Mix_54.raw</v>
      </c>
      <c r="C40" s="547"/>
      <c r="D40" s="548" t="str">
        <f>'ISIRF 15N'!D18</f>
        <v>ISIRF Chitin</v>
      </c>
      <c r="E40" s="547" t="str">
        <f>'ISIRF 15N'!E18</f>
        <v>Cal-H.STD</v>
      </c>
      <c r="F40" s="549">
        <f>'ISIRF 15N'!F18</f>
        <v>55</v>
      </c>
      <c r="G40" s="550">
        <f>'ISIRF 15N'!G18</f>
        <v>1.077</v>
      </c>
      <c r="H40" s="549">
        <f>'ISIRF 15N'!H18</f>
        <v>9.1782979999999998</v>
      </c>
      <c r="I40" s="551">
        <f>'ISIRF 15N'!I18</f>
        <v>136139440</v>
      </c>
      <c r="J40" s="550">
        <f>'ISIRF 15N'!J18</f>
        <v>6.4870668835000007</v>
      </c>
      <c r="K40" s="550">
        <f>'ISIRF 15N'!K18</f>
        <v>-4.9798871293393034</v>
      </c>
      <c r="L40" s="552">
        <f>'ISIRF 13C'!H18</f>
        <v>7.7549725</v>
      </c>
      <c r="M40" s="553">
        <f>'ISIRF 13C'!I18</f>
        <v>86180208</v>
      </c>
      <c r="N40" s="550">
        <f>'ISIRF 13C'!J18</f>
        <v>46.620815975999996</v>
      </c>
      <c r="O40" s="557">
        <f>'ISIRF 13C'!K18</f>
        <v>-21.201031028757914</v>
      </c>
      <c r="P40" s="558"/>
      <c r="Q40" s="555"/>
      <c r="R40" s="556"/>
    </row>
    <row r="41" spans="1:18">
      <c r="A41" s="580">
        <f>'ISIRF RAW'!$B$2</f>
        <v>44126</v>
      </c>
      <c r="B41" s="543" t="str">
        <f>'ISIRF 15N'!B19</f>
        <v>IC13C15N-240610-10KansasROAR-Mix_5.raw</v>
      </c>
      <c r="C41" s="324"/>
      <c r="D41" s="323" t="str">
        <f>'ISIRF 15N'!D19</f>
        <v>ISIRF Bamboo</v>
      </c>
      <c r="E41" s="324" t="str">
        <f>'ISIRF 15N'!E19</f>
        <v>Cal-L.STD</v>
      </c>
      <c r="F41" s="325">
        <f>'ISIRF 15N'!F19</f>
        <v>6</v>
      </c>
      <c r="G41" s="326">
        <f>'ISIRF 15N'!G19</f>
        <v>1.597</v>
      </c>
      <c r="H41" s="325">
        <f>'ISIRF 15N'!H19</f>
        <v>6.1373804999999999</v>
      </c>
      <c r="I41" s="472">
        <f>'ISIRF 15N'!I19</f>
        <v>92285552</v>
      </c>
      <c r="J41" s="326">
        <f>'ISIRF 15N'!J19</f>
        <v>2.9548431122000003</v>
      </c>
      <c r="K41" s="326">
        <f>'ISIRF 15N'!K19</f>
        <v>2.1341035372694113</v>
      </c>
      <c r="L41" s="544">
        <f>'ISIRF 13C'!H19</f>
        <v>10.995298999999999</v>
      </c>
      <c r="M41" s="474">
        <f>'ISIRF 13C'!I19</f>
        <v>124850336</v>
      </c>
      <c r="N41" s="326">
        <f>'ISIRF 13C'!J19</f>
        <v>45.483088753899999</v>
      </c>
      <c r="O41" s="545">
        <f>'ISIRF 13C'!K19</f>
        <v>-30.316283315034536</v>
      </c>
      <c r="P41" s="329"/>
      <c r="Q41" s="148"/>
      <c r="R41" s="149"/>
    </row>
    <row r="42" spans="1:18">
      <c r="A42" s="581">
        <f>'ISIRF RAW'!$B$2</f>
        <v>44126</v>
      </c>
      <c r="B42" s="542" t="str">
        <f>'ISIRF 15N'!B20</f>
        <v>IC13C15N-240610-10KansasROAR-Mix_30.raw</v>
      </c>
      <c r="C42" s="322"/>
      <c r="D42" s="330" t="str">
        <f>'ISIRF 15N'!D20</f>
        <v>ISIRF Bamboo</v>
      </c>
      <c r="E42" s="322" t="str">
        <f>'ISIRF 15N'!E20</f>
        <v>Cal-L.STD</v>
      </c>
      <c r="F42" s="331">
        <f>'ISIRF 15N'!F20</f>
        <v>31</v>
      </c>
      <c r="G42" s="327">
        <f>'ISIRF 15N'!G20</f>
        <v>1.526</v>
      </c>
      <c r="H42" s="331">
        <f>'ISIRF 15N'!H20</f>
        <v>5.7106640000000004</v>
      </c>
      <c r="I42" s="473">
        <f>'ISIRF 15N'!I20</f>
        <v>85068096</v>
      </c>
      <c r="J42" s="327">
        <f>'ISIRF 15N'!J20</f>
        <v>2.8713908881000001</v>
      </c>
      <c r="K42" s="327">
        <f>'ISIRF 15N'!K20</f>
        <v>1.9777493859986168</v>
      </c>
      <c r="L42" s="476">
        <f>'ISIRF 13C'!H20</f>
        <v>10.688116000000001</v>
      </c>
      <c r="M42" s="475">
        <f>'ISIRF 13C'!I20</f>
        <v>119239944</v>
      </c>
      <c r="N42" s="327">
        <f>'ISIRF 13C'!J20</f>
        <v>45.433517996999996</v>
      </c>
      <c r="O42" s="328">
        <f>'ISIRF 13C'!K20</f>
        <v>-30.331002528180623</v>
      </c>
      <c r="P42" s="332"/>
      <c r="Q42" s="150"/>
      <c r="R42" s="151"/>
    </row>
    <row r="43" spans="1:18">
      <c r="A43" s="582">
        <f>'ISIRF RAW'!$B$2</f>
        <v>44126</v>
      </c>
      <c r="B43" s="546" t="str">
        <f>'ISIRF 15N'!B21</f>
        <v>IC13C15N-240610-10KansasROAR-Mix_55.raw</v>
      </c>
      <c r="C43" s="547"/>
      <c r="D43" s="548" t="str">
        <f>'ISIRF 15N'!D21</f>
        <v>ISIRF Bamboo</v>
      </c>
      <c r="E43" s="547" t="str">
        <f>'ISIRF 15N'!E21</f>
        <v>Cal-L.STD</v>
      </c>
      <c r="F43" s="549">
        <f>'ISIRF 15N'!F21</f>
        <v>56</v>
      </c>
      <c r="G43" s="550">
        <f>'ISIRF 15N'!G21</f>
        <v>1.3919999999999999</v>
      </c>
      <c r="H43" s="549">
        <f>'ISIRF 15N'!H21</f>
        <v>5.3256614999999998</v>
      </c>
      <c r="I43" s="551">
        <f>'ISIRF 15N'!I21</f>
        <v>80485160</v>
      </c>
      <c r="J43" s="550">
        <f>'ISIRF 15N'!J21</f>
        <v>2.9710846144</v>
      </c>
      <c r="K43" s="550">
        <f>'ISIRF 15N'!K21</f>
        <v>2.0863443667700214</v>
      </c>
      <c r="L43" s="552">
        <f>'ISIRF 13C'!H21</f>
        <v>10.28598</v>
      </c>
      <c r="M43" s="553">
        <f>'ISIRF 13C'!I21</f>
        <v>114307688</v>
      </c>
      <c r="N43" s="550">
        <f>'ISIRF 13C'!J21</f>
        <v>47.757110462599996</v>
      </c>
      <c r="O43" s="557">
        <f>'ISIRF 13C'!K21</f>
        <v>-30.256879875601687</v>
      </c>
      <c r="P43" s="570"/>
      <c r="Q43" s="555"/>
      <c r="R43" s="556"/>
    </row>
    <row r="44" spans="1:18">
      <c r="A44" s="580">
        <f>'ISIRF RAW'!$B$2</f>
        <v>44126</v>
      </c>
      <c r="B44" s="543" t="str">
        <f>'ISIRF 15N'!B22</f>
        <v>IC13C15N-240610-10KansasROAR-Mix_6.raw</v>
      </c>
      <c r="C44" s="324"/>
      <c r="D44" s="323" t="str">
        <f>'ISIRF 15N'!D22</f>
        <v>NBS 8412 Corn Stalk</v>
      </c>
      <c r="E44" s="324" t="str">
        <f>'ISIRF 15N'!E22</f>
        <v>QA STD</v>
      </c>
      <c r="F44" s="325">
        <f>'ISIRF 15N'!F22</f>
        <v>7</v>
      </c>
      <c r="G44" s="326">
        <f>'ISIRF 15N'!G22</f>
        <v>6.5990000000000002</v>
      </c>
      <c r="H44" s="325">
        <f>'ISIRF 15N'!H22</f>
        <v>5.6588430000000001</v>
      </c>
      <c r="I44" s="472">
        <f>'ISIRF 15N'!I22</f>
        <v>103271760</v>
      </c>
      <c r="J44" s="326">
        <f>'ISIRF 15N'!J22</f>
        <v>0.80436385050000003</v>
      </c>
      <c r="K44" s="326">
        <f>'ISIRF 15N'!K22</f>
        <v>10.355653617131804</v>
      </c>
      <c r="L44" s="544">
        <f>'ISIRF 13C'!H22</f>
        <v>37.246516</v>
      </c>
      <c r="M44" s="474">
        <f>'ISIRF 13C'!I22</f>
        <v>544861760</v>
      </c>
      <c r="N44" s="326">
        <f>'ISIRF 13C'!J22</f>
        <v>48.085647588299999</v>
      </c>
      <c r="O44" s="545">
        <f>'ISIRF 13C'!K22</f>
        <v>-10.587334850596029</v>
      </c>
      <c r="P44" s="329"/>
      <c r="Q44" s="148"/>
      <c r="R44" s="149"/>
    </row>
    <row r="45" spans="1:18">
      <c r="A45" s="581">
        <f>'ISIRF RAW'!$B$2</f>
        <v>44126</v>
      </c>
      <c r="B45" s="542" t="str">
        <f>'ISIRF 15N'!B23</f>
        <v>IC13C15N-240610-10KansasROAR-Mix_31.raw</v>
      </c>
      <c r="C45" s="322"/>
      <c r="D45" s="330" t="str">
        <f>'ISIRF 15N'!D23</f>
        <v>NBS 8412 Corn Stalk</v>
      </c>
      <c r="E45" s="322" t="str">
        <f>'ISIRF 15N'!E23</f>
        <v>QA STD</v>
      </c>
      <c r="F45" s="331">
        <f>'ISIRF 15N'!F23</f>
        <v>32</v>
      </c>
      <c r="G45" s="327">
        <f>'ISIRF 15N'!G23</f>
        <v>6.5529999999999999</v>
      </c>
      <c r="H45" s="331">
        <f>'ISIRF 15N'!H23</f>
        <v>5.2922120000000001</v>
      </c>
      <c r="I45" s="473">
        <f>'ISIRF 15N'!I23</f>
        <v>96283296</v>
      </c>
      <c r="J45" s="152">
        <f>'ISIRF 15N'!J23</f>
        <v>0.74875206140000006</v>
      </c>
      <c r="K45" s="327">
        <f>'ISIRF 15N'!K23</f>
        <v>10.271212988949415</v>
      </c>
      <c r="L45" s="476">
        <f>'ISIRF 13C'!H23</f>
        <v>36.700127999999999</v>
      </c>
      <c r="M45" s="475">
        <f>'ISIRF 13C'!I23</f>
        <v>521974848</v>
      </c>
      <c r="N45" s="327">
        <f>'ISIRF 13C'!J23</f>
        <v>46.047913753099998</v>
      </c>
      <c r="O45" s="328">
        <f>'ISIRF 13C'!K23</f>
        <v>-10.667974521722355</v>
      </c>
      <c r="P45" s="332"/>
      <c r="Q45" s="150"/>
      <c r="R45" s="151"/>
    </row>
    <row r="46" spans="1:18">
      <c r="A46" s="582">
        <f>'ISIRF RAW'!$B$2</f>
        <v>44126</v>
      </c>
      <c r="B46" s="546" t="str">
        <f>'ISIRF 15N'!B24</f>
        <v>IC13C15N-240610-10KansasROAR-Mix_56.raw</v>
      </c>
      <c r="C46" s="547"/>
      <c r="D46" s="559" t="str">
        <f>'ISIRF 15N'!D24</f>
        <v>NBS 8412 Corn Stalk</v>
      </c>
      <c r="E46" s="560" t="str">
        <f>'ISIRF 15N'!E24</f>
        <v>QA STD</v>
      </c>
      <c r="F46" s="561">
        <f>'ISIRF 15N'!F24</f>
        <v>57</v>
      </c>
      <c r="G46" s="554">
        <f>'ISIRF 15N'!G24</f>
        <v>6.407</v>
      </c>
      <c r="H46" s="562">
        <f>'ISIRF 15N'!H24</f>
        <v>5.7796915000000002</v>
      </c>
      <c r="I46" s="563">
        <f>'ISIRF 15N'!I24</f>
        <v>103803808</v>
      </c>
      <c r="J46" s="554">
        <f>'ISIRF 15N'!J24</f>
        <v>0.83902581630000006</v>
      </c>
      <c r="K46" s="554">
        <f>'ISIRF 15N'!K24</f>
        <v>10.254164445879892</v>
      </c>
      <c r="L46" s="564">
        <f>'ISIRF 13C'!H24</f>
        <v>38.554416000000003</v>
      </c>
      <c r="M46" s="565">
        <f>'ISIRF 13C'!I24</f>
        <v>562178048</v>
      </c>
      <c r="N46" s="566">
        <f>'ISIRF 13C'!J24</f>
        <v>50.615946431399998</v>
      </c>
      <c r="O46" s="554">
        <f>'ISIRF 13C'!K24</f>
        <v>-10.588055259538105</v>
      </c>
      <c r="P46" s="558"/>
      <c r="Q46" s="555"/>
      <c r="R46" s="556"/>
    </row>
    <row r="47" spans="1:18">
      <c r="A47" s="580">
        <f>'ISIRF RAW'!$B$2</f>
        <v>44126</v>
      </c>
      <c r="B47" s="543" t="str">
        <f>'ISIRF RAW'!T12</f>
        <v>IC13C15N-240610-10KansasROAR-Mix_7.raw</v>
      </c>
      <c r="C47" s="324"/>
      <c r="D47" s="567" t="str">
        <f>'ISIRF RAW'!A12</f>
        <v xml:space="preserve">R1-20240407_W1_G </v>
      </c>
      <c r="E47" s="568" t="s">
        <v>228</v>
      </c>
      <c r="F47" s="325">
        <f>'ISIRF RAW'!B12</f>
        <v>8</v>
      </c>
      <c r="G47" s="545">
        <f>'ISIRF RAW'!C12</f>
        <v>29.978999999999999</v>
      </c>
      <c r="H47" s="569">
        <f>'ISIRF RAW'!D12</f>
        <v>3.7402519999999999</v>
      </c>
      <c r="I47" s="472">
        <f>'ISIRF RAW'!E12</f>
        <v>72322192</v>
      </c>
      <c r="J47" s="545">
        <f>'ISIRF RAW'!J12</f>
        <v>0.13191039469999999</v>
      </c>
      <c r="K47" s="545">
        <f>'ISIRF RAW'!L12</f>
        <v>5.9762686819979294</v>
      </c>
      <c r="L47" s="544">
        <f>'ISIRF RAW'!F12</f>
        <v>6.8324674999999999</v>
      </c>
      <c r="M47" s="474">
        <f>'ISIRF RAW'!G12</f>
        <v>77966440</v>
      </c>
      <c r="N47" s="326">
        <f>'ISIRF RAW'!M12</f>
        <v>1.5250263630000001</v>
      </c>
      <c r="O47" s="545">
        <f>'ISIRF RAW'!O12</f>
        <v>-17.064155131660101</v>
      </c>
      <c r="P47" s="329"/>
      <c r="Q47" s="148"/>
      <c r="R47" s="149"/>
    </row>
    <row r="48" spans="1:18">
      <c r="A48" s="582">
        <f>'ISIRF RAW'!$B$2</f>
        <v>44126</v>
      </c>
      <c r="B48" s="546" t="str">
        <f>'ISIRF RAW'!T56</f>
        <v>IC13C15N-240610-10KansasROAR-Mix_51.raw</v>
      </c>
      <c r="C48" s="547"/>
      <c r="D48" s="559" t="str">
        <f>'ISIRF RAW'!A56</f>
        <v xml:space="preserve">R1-20240407_W1_G </v>
      </c>
      <c r="E48" s="560" t="s">
        <v>228</v>
      </c>
      <c r="F48" s="561">
        <f>'ISIRF RAW'!B56</f>
        <v>52</v>
      </c>
      <c r="G48" s="554">
        <f>'ISIRF RAW'!C56</f>
        <v>29.015000000000001</v>
      </c>
      <c r="H48" s="562">
        <f>'ISIRF RAW'!D56</f>
        <v>3.7999377499999998</v>
      </c>
      <c r="I48" s="563">
        <f>'ISIRF RAW'!E56</f>
        <v>73455800</v>
      </c>
      <c r="J48" s="554">
        <f>'ISIRF RAW'!J56</f>
        <v>0.13651134910000001</v>
      </c>
      <c r="K48" s="554">
        <f>'ISIRF RAW'!L56</f>
        <v>5.8328809532171455</v>
      </c>
      <c r="L48" s="564">
        <f>'ISIRF RAW'!F56</f>
        <v>6.6466310000000002</v>
      </c>
      <c r="M48" s="565">
        <f>'ISIRF RAW'!G56</f>
        <v>74694648</v>
      </c>
      <c r="N48" s="566">
        <f>'ISIRF RAW'!M56</f>
        <v>1.502083681</v>
      </c>
      <c r="O48" s="554">
        <f>'ISIRF RAW'!O56</f>
        <v>-17.107630076465071</v>
      </c>
      <c r="P48" s="570"/>
      <c r="Q48" s="555"/>
      <c r="R48" s="556" t="str">
        <f>IF(COUNTA('ISIRF 15N'!L26)=1,"See ISIRF 15N","")</f>
        <v/>
      </c>
    </row>
    <row r="49" spans="1:18">
      <c r="A49" s="580">
        <f>'ISIRF RAW'!$B$2</f>
        <v>44126</v>
      </c>
      <c r="B49" s="543" t="str">
        <f>'ISIRF RAW'!T26</f>
        <v>IC13C15N-240610-10KansasROAR-Mix_21.raw</v>
      </c>
      <c r="C49" s="324"/>
      <c r="D49" s="567" t="str">
        <f>'ISIRF RAW'!A26</f>
        <v>R2-160317_L017FAR2</v>
      </c>
      <c r="E49" s="568" t="s">
        <v>229</v>
      </c>
      <c r="F49" s="325">
        <f>'ISIRF RAW'!B26</f>
        <v>22</v>
      </c>
      <c r="G49" s="545">
        <f>'ISIRF RAW'!C26</f>
        <v>29.568999999999999</v>
      </c>
      <c r="H49" s="569">
        <f>'ISIRF RAW'!D26</f>
        <v>5.7604040000000003</v>
      </c>
      <c r="I49" s="472">
        <f>'ISIRF RAW'!E26</f>
        <v>112672672</v>
      </c>
      <c r="J49" s="545">
        <f>'ISIRF RAW'!J26</f>
        <v>0.19627298600000001</v>
      </c>
      <c r="K49" s="545">
        <f>'ISIRF RAW'!L26</f>
        <v>4.2779030710696109</v>
      </c>
      <c r="L49" s="544">
        <f>'ISIRF RAW'!F26</f>
        <v>11.820710999999999</v>
      </c>
      <c r="M49" s="474">
        <f>'ISIRF RAW'!G26</f>
        <v>134794544</v>
      </c>
      <c r="N49" s="326">
        <f>'ISIRF RAW'!M26</f>
        <v>2.6478124708000004</v>
      </c>
      <c r="O49" s="545">
        <f>'ISIRF RAW'!O26</f>
        <v>-27.278034969917535</v>
      </c>
      <c r="P49" s="329"/>
      <c r="Q49" s="148"/>
      <c r="R49" s="149"/>
    </row>
    <row r="50" spans="1:18">
      <c r="A50" s="582">
        <f>'ISIRF RAW'!$B$2</f>
        <v>44126</v>
      </c>
      <c r="B50" s="546" t="str">
        <f>'ISIRF RAW'!T27</f>
        <v>IC13C15N-240610-10KansasROAR-Mix_22.raw</v>
      </c>
      <c r="C50" s="547"/>
      <c r="D50" s="559" t="str">
        <f>'ISIRF RAW'!A27</f>
        <v>R2-160317_L017FAR2</v>
      </c>
      <c r="E50" s="560" t="s">
        <v>229</v>
      </c>
      <c r="F50" s="561">
        <f>'ISIRF RAW'!B27</f>
        <v>23</v>
      </c>
      <c r="G50" s="554">
        <f>'ISIRF RAW'!C27</f>
        <v>29.539000000000001</v>
      </c>
      <c r="H50" s="562">
        <f>'ISIRF RAW'!D27</f>
        <v>5.6356655</v>
      </c>
      <c r="I50" s="563">
        <f>'ISIRF RAW'!E27</f>
        <v>113512480</v>
      </c>
      <c r="J50" s="554">
        <f>'ISIRF RAW'!J27</f>
        <v>0.19878653200000002</v>
      </c>
      <c r="K50" s="554">
        <f>'ISIRF RAW'!L27</f>
        <v>4.2736440898265613</v>
      </c>
      <c r="L50" s="564">
        <f>'ISIRF RAW'!F27</f>
        <v>12.258011</v>
      </c>
      <c r="M50" s="565">
        <f>'ISIRF RAW'!G27</f>
        <v>138392144</v>
      </c>
      <c r="N50" s="566">
        <f>'ISIRF RAW'!M27</f>
        <v>2.7149174513999998</v>
      </c>
      <c r="O50" s="554">
        <f>'ISIRF RAW'!O27</f>
        <v>-27.463315034912931</v>
      </c>
      <c r="P50" s="570"/>
      <c r="Q50" s="555"/>
      <c r="R50" s="556" t="str">
        <f>IF(COUNTA('ISIRF 15N'!L27)=1,"See ISIRF 15N","")</f>
        <v/>
      </c>
    </row>
  </sheetData>
  <mergeCells count="1">
    <mergeCell ref="P38:R38"/>
  </mergeCells>
  <phoneticPr fontId="0" type="noConversion"/>
  <conditionalFormatting sqref="G15:G18 G20">
    <cfRule type="cellIs" dxfId="24" priority="11" operator="greaterThan">
      <formula>0.3</formula>
    </cfRule>
  </conditionalFormatting>
  <conditionalFormatting sqref="O14:O15">
    <cfRule type="cellIs" dxfId="23" priority="10" operator="greaterThan">
      <formula>0.3</formula>
    </cfRule>
  </conditionalFormatting>
  <conditionalFormatting sqref="O17">
    <cfRule type="cellIs" dxfId="22" priority="9" operator="greaterThan">
      <formula>"abs(0.6)"</formula>
    </cfRule>
  </conditionalFormatting>
  <conditionalFormatting sqref="O18">
    <cfRule type="cellIs" dxfId="21" priority="8" operator="greaterThan">
      <formula>0.5</formula>
    </cfRule>
  </conditionalFormatting>
  <conditionalFormatting sqref="G6:G9 G11">
    <cfRule type="cellIs" dxfId="20" priority="7" operator="greaterThan">
      <formula>0.3</formula>
    </cfRule>
  </conditionalFormatting>
  <conditionalFormatting sqref="O5">
    <cfRule type="cellIs" dxfId="19" priority="6" operator="greaterThan">
      <formula>0.3</formula>
    </cfRule>
  </conditionalFormatting>
  <conditionalFormatting sqref="O6">
    <cfRule type="cellIs" dxfId="18" priority="5" operator="greaterThan">
      <formula>1</formula>
    </cfRule>
  </conditionalFormatting>
  <conditionalFormatting sqref="O8">
    <cfRule type="cellIs" dxfId="17" priority="4" operator="greaterThan">
      <formula>"abs(0.6)"</formula>
    </cfRule>
  </conditionalFormatting>
  <conditionalFormatting sqref="O9">
    <cfRule type="cellIs" dxfId="16" priority="3" operator="greaterThan">
      <formula>0.5</formula>
    </cfRule>
  </conditionalFormatting>
  <conditionalFormatting sqref="G19">
    <cfRule type="cellIs" dxfId="15" priority="2" operator="greaterThan">
      <formula>0.3</formula>
    </cfRule>
  </conditionalFormatting>
  <conditionalFormatting sqref="G10">
    <cfRule type="cellIs" dxfId="14" priority="1" operator="greaterThan">
      <formula>0.3</formula>
    </cfRule>
  </conditionalFormatting>
  <pageMargins left="0.75" right="0.75" top="1" bottom="1" header="0.5" footer="0.5"/>
  <pageSetup scale="65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K71"/>
  <sheetViews>
    <sheetView workbookViewId="0">
      <pane xSplit="1" ySplit="5" topLeftCell="B15" activePane="bottomRight" state="frozen"/>
      <selection pane="topRight" activeCell="B1" sqref="B1"/>
      <selection pane="bottomLeft" activeCell="A5" sqref="A5"/>
      <selection pane="bottomRight" activeCell="A30" sqref="A30:XFD30"/>
    </sheetView>
  </sheetViews>
  <sheetFormatPr defaultColWidth="9.1796875" defaultRowHeight="12.5"/>
  <cols>
    <col min="1" max="1" width="28.26953125" style="39" customWidth="1"/>
    <col min="2" max="2" width="14" style="2" customWidth="1"/>
    <col min="3" max="3" width="8.26953125" style="292" customWidth="1"/>
    <col min="4" max="4" width="7.81640625" style="2" customWidth="1"/>
    <col min="5" max="5" width="12.26953125" style="292" customWidth="1"/>
    <col min="6" max="6" width="7.54296875" style="2" customWidth="1"/>
    <col min="7" max="7" width="10.54296875" style="292" customWidth="1"/>
    <col min="8" max="9" width="7.54296875" style="292" customWidth="1"/>
    <col min="10" max="10" width="6.26953125" style="43" customWidth="1"/>
    <col min="11" max="11" width="6.54296875" style="43" bestFit="1" customWidth="1"/>
    <col min="12" max="12" width="9.7265625" style="43" customWidth="1"/>
    <col min="13" max="13" width="6.7265625" style="297" customWidth="1"/>
    <col min="14" max="14" width="7.81640625" style="298" customWidth="1"/>
    <col min="15" max="15" width="10.54296875" style="184" bestFit="1" customWidth="1"/>
    <col min="16" max="16" width="6.7265625" style="297" customWidth="1"/>
    <col min="17" max="17" width="7.81640625" style="298" customWidth="1"/>
    <col min="18" max="18" width="10.54296875" style="184" bestFit="1" customWidth="1"/>
    <col min="19" max="19" width="12.26953125" style="2" bestFit="1" customWidth="1"/>
    <col min="20" max="20" width="38.453125" bestFit="1" customWidth="1"/>
    <col min="21" max="16384" width="9.1796875" style="2"/>
  </cols>
  <sheetData>
    <row r="1" spans="1:21" ht="13.5" thickTop="1">
      <c r="A1" s="164" t="s">
        <v>35</v>
      </c>
      <c r="B1" s="282"/>
    </row>
    <row r="2" spans="1:21" ht="13" thickBot="1">
      <c r="A2" s="167" t="s">
        <v>8</v>
      </c>
      <c r="B2" s="577">
        <v>44126</v>
      </c>
    </row>
    <row r="3" spans="1:21" ht="13.5" thickBot="1">
      <c r="A3" s="167" t="s">
        <v>30</v>
      </c>
      <c r="B3" s="578" t="s">
        <v>463</v>
      </c>
      <c r="C3" s="370"/>
      <c r="D3" s="293" t="s">
        <v>10</v>
      </c>
      <c r="E3" s="20" t="str">
        <f>COVER!C2</f>
        <v>IC13C15N-240610-10KansasROAR-Mix</v>
      </c>
      <c r="F3" s="296"/>
      <c r="G3" s="21"/>
      <c r="H3" s="445"/>
      <c r="I3" s="445"/>
      <c r="J3" s="292"/>
      <c r="M3" s="43"/>
      <c r="N3" s="297"/>
      <c r="O3" s="298"/>
      <c r="P3" s="43"/>
      <c r="Q3" s="297"/>
      <c r="R3" s="298"/>
      <c r="S3" s="184"/>
      <c r="T3" s="2"/>
      <c r="U3"/>
    </row>
    <row r="4" spans="1:21" ht="15" thickBot="1">
      <c r="A4" s="171" t="s">
        <v>7</v>
      </c>
      <c r="B4" s="579" t="s">
        <v>324</v>
      </c>
    </row>
    <row r="5" spans="1:21" s="484" customFormat="1" ht="44.25" customHeight="1" thickTop="1">
      <c r="A5" s="479" t="s">
        <v>128</v>
      </c>
      <c r="B5" s="480" t="s">
        <v>118</v>
      </c>
      <c r="C5" s="481" t="s">
        <v>109</v>
      </c>
      <c r="D5" s="482" t="s">
        <v>185</v>
      </c>
      <c r="E5" s="481" t="s">
        <v>110</v>
      </c>
      <c r="F5" s="482" t="s">
        <v>186</v>
      </c>
      <c r="G5" s="481" t="s">
        <v>111</v>
      </c>
      <c r="H5" s="481" t="s">
        <v>203</v>
      </c>
      <c r="I5" s="481" t="s">
        <v>204</v>
      </c>
      <c r="J5" s="299" t="s">
        <v>115</v>
      </c>
      <c r="K5" s="299" t="s">
        <v>116</v>
      </c>
      <c r="L5" s="44" t="s">
        <v>117</v>
      </c>
      <c r="M5" s="299" t="s">
        <v>112</v>
      </c>
      <c r="N5" s="299" t="s">
        <v>113</v>
      </c>
      <c r="O5" s="40" t="s">
        <v>114</v>
      </c>
      <c r="P5" s="299" t="s">
        <v>205</v>
      </c>
      <c r="Q5" s="299" t="s">
        <v>206</v>
      </c>
      <c r="R5" s="40" t="s">
        <v>207</v>
      </c>
      <c r="S5" s="483" t="s">
        <v>9</v>
      </c>
      <c r="T5" s="477" t="s">
        <v>212</v>
      </c>
    </row>
    <row r="6" spans="1:21">
      <c r="A6" s="287" t="str">
        <f>'Weigh Sheet'!C17</f>
        <v>blank</v>
      </c>
      <c r="B6" s="288">
        <v>2</v>
      </c>
      <c r="C6" s="294">
        <v>37.5</v>
      </c>
      <c r="D6" s="294">
        <v>0.1340744375</v>
      </c>
      <c r="E6" s="466">
        <v>3501392</v>
      </c>
      <c r="F6" s="294">
        <v>0</v>
      </c>
      <c r="G6" s="466">
        <v>0</v>
      </c>
      <c r="H6" s="294"/>
      <c r="I6" s="294"/>
      <c r="J6" s="289">
        <v>5.8111186000000007E-3</v>
      </c>
      <c r="K6" s="289">
        <v>-7.0382616472779409</v>
      </c>
      <c r="L6" s="290">
        <v>-7.2272459894731469</v>
      </c>
      <c r="M6" s="289">
        <v>0</v>
      </c>
      <c r="N6" s="289">
        <v>-0.27156298151917652</v>
      </c>
      <c r="O6" s="290">
        <v>-0.49641610162858346</v>
      </c>
      <c r="P6" s="289"/>
      <c r="Q6" s="289"/>
      <c r="R6" s="290"/>
      <c r="S6" s="504">
        <v>45588.659386574072</v>
      </c>
      <c r="T6" s="478" t="s">
        <v>405</v>
      </c>
    </row>
    <row r="7" spans="1:21">
      <c r="A7" s="287" t="str">
        <f>'Weigh Sheet'!C18</f>
        <v>blank</v>
      </c>
      <c r="B7" s="288">
        <v>3</v>
      </c>
      <c r="C7" s="294">
        <v>37.5</v>
      </c>
      <c r="D7" s="295">
        <v>0.14529059375</v>
      </c>
      <c r="E7" s="466">
        <v>3407860</v>
      </c>
      <c r="F7" s="294">
        <v>0</v>
      </c>
      <c r="G7" s="466">
        <v>0</v>
      </c>
      <c r="H7" s="294"/>
      <c r="I7" s="294"/>
      <c r="J7" s="289">
        <v>5.1827321000000003E-3</v>
      </c>
      <c r="K7" s="289">
        <v>-4.2210105949937118</v>
      </c>
      <c r="L7" s="290">
        <v>-4.5009308624274365</v>
      </c>
      <c r="M7" s="289">
        <v>0</v>
      </c>
      <c r="N7" s="289">
        <v>-0.20273213888801181</v>
      </c>
      <c r="O7" s="290">
        <v>-0.42558838873918359</v>
      </c>
      <c r="P7" s="289"/>
      <c r="Q7" s="289"/>
      <c r="R7" s="290"/>
      <c r="S7" s="504">
        <v>45588.667453703703</v>
      </c>
      <c r="T7" s="478" t="s">
        <v>406</v>
      </c>
    </row>
    <row r="8" spans="1:21">
      <c r="A8" s="287" t="str">
        <f>'Weigh Sheet'!C19</f>
        <v>ISIRF Ulva</v>
      </c>
      <c r="B8" s="288">
        <v>4</v>
      </c>
      <c r="C8" s="294">
        <v>1.276</v>
      </c>
      <c r="D8" s="295">
        <v>5.9308284999999996</v>
      </c>
      <c r="E8" s="466">
        <v>90634464</v>
      </c>
      <c r="F8" s="294">
        <v>6.0966385000000001</v>
      </c>
      <c r="G8" s="466">
        <v>65640784</v>
      </c>
      <c r="H8" s="294"/>
      <c r="I8" s="294"/>
      <c r="J8" s="289">
        <v>3.7791571937000006</v>
      </c>
      <c r="K8" s="289">
        <v>8.1073265258255347</v>
      </c>
      <c r="L8" s="290">
        <v>7.429469148092366</v>
      </c>
      <c r="M8" s="289">
        <v>30.095353443400001</v>
      </c>
      <c r="N8" s="289">
        <v>-12.255449555805781</v>
      </c>
      <c r="O8" s="290">
        <v>-12.827970462091924</v>
      </c>
      <c r="P8" s="289"/>
      <c r="Q8" s="289"/>
      <c r="R8" s="290"/>
      <c r="S8" s="504">
        <v>45588.675474537034</v>
      </c>
      <c r="T8" s="478" t="s">
        <v>407</v>
      </c>
    </row>
    <row r="9" spans="1:21">
      <c r="A9" s="287" t="str">
        <f>'Weigh Sheet'!C20</f>
        <v>ISIRF Chitin</v>
      </c>
      <c r="B9" s="288">
        <v>5</v>
      </c>
      <c r="C9" s="294">
        <v>1.038</v>
      </c>
      <c r="D9" s="295">
        <v>10.194267</v>
      </c>
      <c r="E9" s="466">
        <v>150292480</v>
      </c>
      <c r="F9" s="294">
        <v>8.6421569999999992</v>
      </c>
      <c r="G9" s="466">
        <v>95464720</v>
      </c>
      <c r="H9" s="294"/>
      <c r="I9" s="294"/>
      <c r="J9" s="291">
        <v>7.2603709626000006</v>
      </c>
      <c r="K9" s="291">
        <v>-4.8067553037586039</v>
      </c>
      <c r="L9" s="290">
        <v>-5.0677687588221936</v>
      </c>
      <c r="M9" s="289">
        <v>53.7568676876</v>
      </c>
      <c r="N9" s="291">
        <v>-20.428099001641137</v>
      </c>
      <c r="O9" s="290">
        <v>-21.237718859291583</v>
      </c>
      <c r="P9" s="289"/>
      <c r="Q9" s="291"/>
      <c r="R9" s="290"/>
      <c r="S9" s="504">
        <v>45588.683518518519</v>
      </c>
      <c r="T9" s="478" t="s">
        <v>408</v>
      </c>
    </row>
    <row r="10" spans="1:21">
      <c r="A10" s="287" t="str">
        <f>'Weigh Sheet'!C21</f>
        <v>ISIRF Bamboo</v>
      </c>
      <c r="B10" s="288">
        <v>6</v>
      </c>
      <c r="C10" s="295">
        <v>1.597</v>
      </c>
      <c r="D10" s="295">
        <v>6.1373804999999999</v>
      </c>
      <c r="E10" s="466">
        <v>92285552</v>
      </c>
      <c r="F10" s="294">
        <v>10.995298999999999</v>
      </c>
      <c r="G10" s="466">
        <v>124850336</v>
      </c>
      <c r="H10" s="294"/>
      <c r="I10" s="294"/>
      <c r="J10" s="291">
        <v>2.9548431122000003</v>
      </c>
      <c r="K10" s="291">
        <v>2.6353346084837814</v>
      </c>
      <c r="L10" s="290">
        <v>2.1341035372694113</v>
      </c>
      <c r="M10" s="289">
        <v>45.483088753899999</v>
      </c>
      <c r="N10" s="291">
        <v>-29.250708343070958</v>
      </c>
      <c r="O10" s="290">
        <v>-30.316283315034536</v>
      </c>
      <c r="P10" s="289"/>
      <c r="Q10" s="291"/>
      <c r="R10" s="290"/>
      <c r="S10" s="504">
        <v>45588.691516203704</v>
      </c>
      <c r="T10" s="478" t="s">
        <v>409</v>
      </c>
    </row>
    <row r="11" spans="1:21">
      <c r="A11" s="287" t="str">
        <f>'Weigh Sheet'!C22</f>
        <v>NBS 8412 Corn Stalk</v>
      </c>
      <c r="B11" s="288">
        <v>7</v>
      </c>
      <c r="C11" s="295">
        <v>6.5990000000000002</v>
      </c>
      <c r="D11" s="295">
        <v>5.6588430000000001</v>
      </c>
      <c r="E11" s="466">
        <v>103271760</v>
      </c>
      <c r="F11" s="294">
        <v>37.246516</v>
      </c>
      <c r="G11" s="466">
        <v>544861760</v>
      </c>
      <c r="H11" s="294"/>
      <c r="I11" s="294"/>
      <c r="J11" s="291">
        <v>0.80436385050000003</v>
      </c>
      <c r="K11" s="291">
        <v>11.131113538852256</v>
      </c>
      <c r="L11" s="290">
        <v>10.355653617131804</v>
      </c>
      <c r="M11" s="289">
        <v>48.085647588299999</v>
      </c>
      <c r="N11" s="291">
        <v>-10.077984960704631</v>
      </c>
      <c r="O11" s="290">
        <v>-10.587334850596029</v>
      </c>
      <c r="P11" s="289"/>
      <c r="Q11" s="291"/>
      <c r="R11" s="290"/>
      <c r="S11" s="504">
        <v>45588.699571759258</v>
      </c>
      <c r="T11" s="478" t="s">
        <v>410</v>
      </c>
    </row>
    <row r="12" spans="1:21">
      <c r="A12" s="287" t="str">
        <f>'Weigh Sheet'!C23</f>
        <v xml:space="preserve">R1-20240407_W1_G </v>
      </c>
      <c r="B12" s="288">
        <v>8</v>
      </c>
      <c r="C12" s="295">
        <v>29.978999999999999</v>
      </c>
      <c r="D12" s="295">
        <v>3.7402519999999999</v>
      </c>
      <c r="E12" s="466">
        <v>72322192</v>
      </c>
      <c r="F12" s="294">
        <v>6.8324674999999999</v>
      </c>
      <c r="G12" s="466">
        <v>77966440</v>
      </c>
      <c r="H12" s="294"/>
      <c r="I12" s="294"/>
      <c r="J12" s="291">
        <v>0.13191039469999999</v>
      </c>
      <c r="K12" s="291">
        <v>6.6056547265273897</v>
      </c>
      <c r="L12" s="290">
        <v>5.9762686819979294</v>
      </c>
      <c r="M12" s="289">
        <v>1.5250263630000001</v>
      </c>
      <c r="N12" s="291">
        <v>-16.372202002731647</v>
      </c>
      <c r="O12" s="290">
        <v>-17.064155131660101</v>
      </c>
      <c r="P12" s="289"/>
      <c r="Q12" s="291"/>
      <c r="R12" s="290"/>
      <c r="S12" s="504">
        <v>45588.707615740743</v>
      </c>
      <c r="T12" s="478" t="s">
        <v>411</v>
      </c>
    </row>
    <row r="13" spans="1:21">
      <c r="A13" s="287" t="str">
        <f>'Weigh Sheet'!C24</f>
        <v xml:space="preserve">20240407_W1_H </v>
      </c>
      <c r="B13" s="288">
        <v>9</v>
      </c>
      <c r="C13" s="295">
        <v>30.463000000000001</v>
      </c>
      <c r="D13" s="295">
        <v>4.9578484999999999</v>
      </c>
      <c r="E13" s="466">
        <v>94631312</v>
      </c>
      <c r="F13" s="294">
        <v>9.012283</v>
      </c>
      <c r="G13" s="466">
        <v>110453280</v>
      </c>
      <c r="H13" s="294"/>
      <c r="I13" s="294"/>
      <c r="J13" s="291">
        <v>0.16642254649999999</v>
      </c>
      <c r="K13" s="291">
        <v>6.5893345026711456</v>
      </c>
      <c r="L13" s="290">
        <v>5.9604752463579018</v>
      </c>
      <c r="M13" s="289">
        <v>2.1198480205000001</v>
      </c>
      <c r="N13" s="291">
        <v>-16.230331835711198</v>
      </c>
      <c r="O13" s="290">
        <v>-16.918169130716592</v>
      </c>
      <c r="P13" s="289"/>
      <c r="Q13" s="291"/>
      <c r="R13" s="290"/>
      <c r="S13" s="504">
        <v>45588.715636574074</v>
      </c>
      <c r="T13" s="478" t="s">
        <v>412</v>
      </c>
    </row>
    <row r="14" spans="1:21">
      <c r="A14" s="287" t="str">
        <f>'Weigh Sheet'!C25</f>
        <v>160824_L013_FAR1</v>
      </c>
      <c r="B14" s="288">
        <v>10</v>
      </c>
      <c r="C14" s="295">
        <v>29.646000000000001</v>
      </c>
      <c r="D14" s="295">
        <v>4.9755890000000003</v>
      </c>
      <c r="E14" s="466">
        <v>86020272</v>
      </c>
      <c r="F14" s="294">
        <v>7.9905059999999999</v>
      </c>
      <c r="G14" s="466">
        <v>91211264</v>
      </c>
      <c r="H14" s="294"/>
      <c r="I14" s="294"/>
      <c r="J14" s="291">
        <v>0.16139711910000001</v>
      </c>
      <c r="K14" s="291">
        <v>5.2840258135684435</v>
      </c>
      <c r="L14" s="290">
        <v>4.6972996334924737</v>
      </c>
      <c r="M14" s="289">
        <v>1.8003063931999999</v>
      </c>
      <c r="N14" s="291">
        <v>-24.735232461850281</v>
      </c>
      <c r="O14" s="290">
        <v>-25.669807737394258</v>
      </c>
      <c r="P14" s="289"/>
      <c r="Q14" s="291"/>
      <c r="R14" s="290"/>
      <c r="S14" s="504">
        <v>45588.723657407405</v>
      </c>
      <c r="T14" s="478" t="s">
        <v>413</v>
      </c>
    </row>
    <row r="15" spans="1:21">
      <c r="A15" s="287" t="str">
        <f>'Weigh Sheet'!C26</f>
        <v>160824_L013_FAR2</v>
      </c>
      <c r="B15" s="288">
        <v>11</v>
      </c>
      <c r="C15" s="295">
        <v>30.263999999999999</v>
      </c>
      <c r="D15" s="295">
        <v>4.8916519999999997</v>
      </c>
      <c r="E15" s="466">
        <v>81015248</v>
      </c>
      <c r="F15" s="294">
        <v>7.5660175000000001</v>
      </c>
      <c r="G15" s="466">
        <v>84011216</v>
      </c>
      <c r="H15" s="294"/>
      <c r="I15" s="294"/>
      <c r="J15" s="291">
        <v>0.14422926699999999</v>
      </c>
      <c r="K15" s="291">
        <v>5.1426605575758115</v>
      </c>
      <c r="L15" s="290">
        <v>4.560497400145568</v>
      </c>
      <c r="M15" s="289">
        <v>1.6261491183000001</v>
      </c>
      <c r="N15" s="291">
        <v>-24.516755913236722</v>
      </c>
      <c r="O15" s="290">
        <v>-25.444992906328078</v>
      </c>
      <c r="P15" s="289"/>
      <c r="Q15" s="291"/>
      <c r="R15" s="290"/>
      <c r="S15" s="504">
        <v>45588.731666666667</v>
      </c>
      <c r="T15" s="478" t="s">
        <v>414</v>
      </c>
    </row>
    <row r="16" spans="1:21">
      <c r="A16" s="287" t="str">
        <f>'Weigh Sheet'!C27</f>
        <v>160824_L013_FAR3</v>
      </c>
      <c r="B16" s="288">
        <v>12</v>
      </c>
      <c r="C16" s="295">
        <v>29.372</v>
      </c>
      <c r="D16" s="295">
        <v>4.0451885000000001</v>
      </c>
      <c r="E16" s="466">
        <v>77197968</v>
      </c>
      <c r="F16" s="294">
        <v>7.4561145</v>
      </c>
      <c r="G16" s="466">
        <v>82167680</v>
      </c>
      <c r="H16" s="294"/>
      <c r="I16" s="294"/>
      <c r="J16" s="291">
        <v>0.1408734334</v>
      </c>
      <c r="K16" s="291">
        <v>5.0141253875166099</v>
      </c>
      <c r="L16" s="290">
        <v>4.4361111200497039</v>
      </c>
      <c r="M16" s="289">
        <v>1.6401171073</v>
      </c>
      <c r="N16" s="291">
        <v>-24.94558325766118</v>
      </c>
      <c r="O16" s="290">
        <v>-25.886261077237663</v>
      </c>
      <c r="P16" s="289"/>
      <c r="Q16" s="291"/>
      <c r="R16" s="290"/>
      <c r="S16" s="504">
        <v>45588.739710648151</v>
      </c>
      <c r="T16" s="478" t="s">
        <v>415</v>
      </c>
    </row>
    <row r="17" spans="1:20">
      <c r="A17" s="287" t="str">
        <f>'Weigh Sheet'!C28</f>
        <v>160824_L013_FAR4</v>
      </c>
      <c r="B17" s="288">
        <v>13</v>
      </c>
      <c r="C17" s="295">
        <v>30.774999999999999</v>
      </c>
      <c r="D17" s="295">
        <v>4.2921990000000001</v>
      </c>
      <c r="E17" s="466">
        <v>74681152</v>
      </c>
      <c r="F17" s="294">
        <v>6.5709365000000002</v>
      </c>
      <c r="G17" s="466">
        <v>74350216</v>
      </c>
      <c r="H17" s="294"/>
      <c r="I17" s="294"/>
      <c r="J17" s="291">
        <v>0.13121209500000003</v>
      </c>
      <c r="K17" s="291">
        <v>5.1831542674059357</v>
      </c>
      <c r="L17" s="290">
        <v>4.5996840440091162</v>
      </c>
      <c r="M17" s="289">
        <v>1.4130857453999999</v>
      </c>
      <c r="N17" s="291">
        <v>-24.806286259948077</v>
      </c>
      <c r="O17" s="290">
        <v>-25.742922896514706</v>
      </c>
      <c r="P17" s="289"/>
      <c r="Q17" s="291"/>
      <c r="R17" s="290"/>
      <c r="S17" s="504">
        <v>45588.747754629629</v>
      </c>
      <c r="T17" s="478" t="s">
        <v>416</v>
      </c>
    </row>
    <row r="18" spans="1:20">
      <c r="A18" s="287" t="str">
        <f>'Weigh Sheet'!C29</f>
        <v>160317_L017A_S1</v>
      </c>
      <c r="B18" s="288">
        <v>14</v>
      </c>
      <c r="C18" s="295">
        <v>29.466000000000001</v>
      </c>
      <c r="D18" s="295">
        <v>4.7614795000000001</v>
      </c>
      <c r="E18" s="466">
        <v>83651808</v>
      </c>
      <c r="F18" s="294">
        <v>8.552861</v>
      </c>
      <c r="G18" s="466">
        <v>96729984</v>
      </c>
      <c r="H18" s="294"/>
      <c r="I18" s="294"/>
      <c r="J18" s="291">
        <v>0.14597127090000001</v>
      </c>
      <c r="K18" s="291">
        <v>4.8023063492687639</v>
      </c>
      <c r="L18" s="290">
        <v>4.2311292290310991</v>
      </c>
      <c r="M18" s="289">
        <v>1.9157687975999997</v>
      </c>
      <c r="N18" s="291">
        <v>-26.169986534962543</v>
      </c>
      <c r="O18" s="290">
        <v>-27.146185850354939</v>
      </c>
      <c r="P18" s="289"/>
      <c r="Q18" s="291"/>
      <c r="R18" s="290"/>
      <c r="S18" s="504">
        <v>45588.755798611113</v>
      </c>
      <c r="T18" s="478" t="s">
        <v>417</v>
      </c>
    </row>
    <row r="19" spans="1:20">
      <c r="A19" s="287" t="str">
        <f>'Weigh Sheet'!C30</f>
        <v>160317_L017A_S2</v>
      </c>
      <c r="B19" s="288">
        <v>15</v>
      </c>
      <c r="C19" s="295">
        <v>30.576000000000001</v>
      </c>
      <c r="D19" s="295">
        <v>4.2311315</v>
      </c>
      <c r="E19" s="466">
        <v>74605776</v>
      </c>
      <c r="F19" s="294">
        <v>7.3287389999999997</v>
      </c>
      <c r="G19" s="466">
        <v>80673784</v>
      </c>
      <c r="H19" s="294"/>
      <c r="I19" s="294"/>
      <c r="J19" s="291">
        <v>0.1318496368</v>
      </c>
      <c r="K19" s="291">
        <v>5.5409316126688832</v>
      </c>
      <c r="L19" s="290">
        <v>4.9459129637618524</v>
      </c>
      <c r="M19" s="289">
        <v>1.5423307815999998</v>
      </c>
      <c r="N19" s="291">
        <v>-25.641991010042915</v>
      </c>
      <c r="O19" s="290">
        <v>-26.602872503948756</v>
      </c>
      <c r="P19" s="289"/>
      <c r="Q19" s="291"/>
      <c r="R19" s="290"/>
      <c r="S19" s="504">
        <v>45588.763888888891</v>
      </c>
      <c r="T19" s="478" t="s">
        <v>418</v>
      </c>
    </row>
    <row r="20" spans="1:20">
      <c r="A20" s="287" t="str">
        <f>'Weigh Sheet'!C31</f>
        <v>160317_L017B_S1</v>
      </c>
      <c r="B20" s="288">
        <v>16</v>
      </c>
      <c r="C20" s="295">
        <v>30.172999999999998</v>
      </c>
      <c r="D20" s="295">
        <v>6.4416469999999997</v>
      </c>
      <c r="E20" s="466">
        <v>123354968</v>
      </c>
      <c r="F20" s="294">
        <v>12.753228</v>
      </c>
      <c r="G20" s="466">
        <v>143491072</v>
      </c>
      <c r="H20" s="294"/>
      <c r="I20" s="294"/>
      <c r="J20" s="291">
        <v>0.21432723760000003</v>
      </c>
      <c r="K20" s="291">
        <v>4.6541834040159298</v>
      </c>
      <c r="L20" s="290">
        <v>4.08778743278687</v>
      </c>
      <c r="M20" s="289">
        <v>2.7655795461000001</v>
      </c>
      <c r="N20" s="291">
        <v>-26.345875135352873</v>
      </c>
      <c r="O20" s="290">
        <v>-27.327177202672395</v>
      </c>
      <c r="P20" s="289"/>
      <c r="Q20" s="291"/>
      <c r="R20" s="290"/>
      <c r="S20" s="504">
        <v>45588.771944444445</v>
      </c>
      <c r="T20" s="478" t="s">
        <v>419</v>
      </c>
    </row>
    <row r="21" spans="1:20">
      <c r="A21" s="287" t="str">
        <f>'Weigh Sheet'!C32</f>
        <v>ISIRF Ulva</v>
      </c>
      <c r="B21" s="288">
        <v>17</v>
      </c>
      <c r="C21" s="294">
        <v>1.1919999999999999</v>
      </c>
      <c r="D21" s="295">
        <v>6.4144969999999999</v>
      </c>
      <c r="E21" s="466">
        <v>99723088</v>
      </c>
      <c r="F21" s="294">
        <v>6.4232614999999997</v>
      </c>
      <c r="G21" s="466">
        <v>69939928</v>
      </c>
      <c r="H21" s="294"/>
      <c r="I21" s="294"/>
      <c r="J21" s="291">
        <v>4.3353683023</v>
      </c>
      <c r="K21" s="291">
        <v>8.0461018576758665</v>
      </c>
      <c r="L21" s="290">
        <v>7.3702207049018114</v>
      </c>
      <c r="M21" s="289">
        <v>34.281927623999998</v>
      </c>
      <c r="N21" s="291">
        <v>-12.44917342375612</v>
      </c>
      <c r="O21" s="290">
        <v>-13.027314505757579</v>
      </c>
      <c r="P21" s="289"/>
      <c r="Q21" s="291"/>
      <c r="R21" s="290"/>
      <c r="S21" s="504">
        <v>45588.780023148145</v>
      </c>
      <c r="T21" s="478" t="s">
        <v>420</v>
      </c>
    </row>
    <row r="22" spans="1:20">
      <c r="A22" s="287" t="str">
        <f>'Weigh Sheet'!C33</f>
        <v>160317_L017B_S2</v>
      </c>
      <c r="B22" s="288">
        <v>18</v>
      </c>
      <c r="C22" s="295">
        <v>30.210999999999999</v>
      </c>
      <c r="D22" s="295">
        <v>6.0413880000000004</v>
      </c>
      <c r="E22" s="466">
        <v>114146040</v>
      </c>
      <c r="F22" s="294">
        <v>11.078801</v>
      </c>
      <c r="G22" s="466">
        <v>125707120</v>
      </c>
      <c r="H22" s="294"/>
      <c r="I22" s="294"/>
      <c r="J22" s="291">
        <v>0.19608571850000001</v>
      </c>
      <c r="K22" s="291">
        <v>4.7639256830205197</v>
      </c>
      <c r="L22" s="290">
        <v>4.1939874234068384</v>
      </c>
      <c r="M22" s="289">
        <v>2.4186277500000002</v>
      </c>
      <c r="N22" s="291">
        <v>-26.092311050067273</v>
      </c>
      <c r="O22" s="290">
        <v>-27.066256900884021</v>
      </c>
      <c r="P22" s="289"/>
      <c r="Q22" s="291"/>
      <c r="R22" s="290"/>
      <c r="S22" s="504">
        <v>45588.788078703707</v>
      </c>
      <c r="T22" s="478" t="s">
        <v>421</v>
      </c>
    </row>
    <row r="23" spans="1:20">
      <c r="A23" s="287" t="str">
        <f>'Weigh Sheet'!C34</f>
        <v>160317_L017C_S1</v>
      </c>
      <c r="B23" s="288">
        <v>19</v>
      </c>
      <c r="C23" s="295">
        <v>31.516999999999999</v>
      </c>
      <c r="D23" s="295">
        <v>5.9791889999999999</v>
      </c>
      <c r="E23" s="466">
        <v>117869832</v>
      </c>
      <c r="F23" s="294">
        <v>11.751096</v>
      </c>
      <c r="G23" s="466">
        <v>132623392</v>
      </c>
      <c r="H23" s="294"/>
      <c r="I23" s="294"/>
      <c r="J23" s="291">
        <v>0.19483643620000002</v>
      </c>
      <c r="K23" s="291">
        <v>4.8242846100545194</v>
      </c>
      <c r="L23" s="290">
        <v>4.2523980700872688</v>
      </c>
      <c r="M23" s="289">
        <v>2.4445370928999997</v>
      </c>
      <c r="N23" s="291">
        <v>-25.958798634510032</v>
      </c>
      <c r="O23" s="290">
        <v>-26.928871120399954</v>
      </c>
      <c r="P23" s="289"/>
      <c r="Q23" s="291"/>
      <c r="R23" s="290"/>
      <c r="S23" s="504">
        <v>45588.796076388891</v>
      </c>
      <c r="T23" s="478" t="s">
        <v>422</v>
      </c>
    </row>
    <row r="24" spans="1:20">
      <c r="A24" s="287" t="str">
        <f>'Weigh Sheet'!C35</f>
        <v>160317_L017C_S2</v>
      </c>
      <c r="B24" s="288">
        <v>20</v>
      </c>
      <c r="C24" s="295">
        <v>29.917999999999999</v>
      </c>
      <c r="D24" s="295">
        <v>5.8791679999999999</v>
      </c>
      <c r="E24" s="466">
        <v>106332720</v>
      </c>
      <c r="F24" s="294">
        <v>11.352574000000001</v>
      </c>
      <c r="G24" s="466">
        <v>127268800</v>
      </c>
      <c r="H24" s="294"/>
      <c r="I24" s="294"/>
      <c r="J24" s="291">
        <v>0.1850344391</v>
      </c>
      <c r="K24" s="291">
        <v>4.7847535875044427</v>
      </c>
      <c r="L24" s="290">
        <v>4.2141430396459896</v>
      </c>
      <c r="M24" s="289">
        <v>2.4719207821000002</v>
      </c>
      <c r="N24" s="291">
        <v>-26.237834427480095</v>
      </c>
      <c r="O24" s="290">
        <v>-27.216002096498176</v>
      </c>
      <c r="P24" s="289"/>
      <c r="Q24" s="291"/>
      <c r="R24" s="290"/>
      <c r="S24" s="504">
        <v>45588.804108796299</v>
      </c>
      <c r="T24" s="478" t="s">
        <v>423</v>
      </c>
    </row>
    <row r="25" spans="1:20">
      <c r="A25" s="287" t="str">
        <f>'Weigh Sheet'!C36</f>
        <v>160317_L017FAR1</v>
      </c>
      <c r="B25" s="288">
        <v>21</v>
      </c>
      <c r="C25" s="295">
        <v>29.111000000000001</v>
      </c>
      <c r="D25" s="295">
        <v>5.7063050000000004</v>
      </c>
      <c r="E25" s="466">
        <v>111711488</v>
      </c>
      <c r="F25" s="294">
        <v>12.163777</v>
      </c>
      <c r="G25" s="466">
        <v>137853984</v>
      </c>
      <c r="H25" s="294"/>
      <c r="I25" s="294"/>
      <c r="J25" s="291">
        <v>0.20594514429999999</v>
      </c>
      <c r="K25" s="291">
        <v>4.3122120417677179</v>
      </c>
      <c r="L25" s="290">
        <v>3.7568543066255349</v>
      </c>
      <c r="M25" s="289">
        <v>2.7501580161999999</v>
      </c>
      <c r="N25" s="291">
        <v>-26.413338382296061</v>
      </c>
      <c r="O25" s="290">
        <v>-27.396597644184112</v>
      </c>
      <c r="P25" s="289"/>
      <c r="Q25" s="291"/>
      <c r="R25" s="290"/>
      <c r="S25" s="504">
        <v>45588.812199074076</v>
      </c>
      <c r="T25" s="478" t="s">
        <v>424</v>
      </c>
    </row>
    <row r="26" spans="1:20">
      <c r="A26" s="287" t="str">
        <f>'Weigh Sheet'!C37</f>
        <v>R2-160317_L017FAR2</v>
      </c>
      <c r="B26" s="288">
        <v>22</v>
      </c>
      <c r="C26" s="295">
        <v>29.568999999999999</v>
      </c>
      <c r="D26" s="295">
        <v>5.7604040000000003</v>
      </c>
      <c r="E26" s="466">
        <v>112672672</v>
      </c>
      <c r="F26" s="294">
        <v>11.820710999999999</v>
      </c>
      <c r="G26" s="466">
        <v>134794544</v>
      </c>
      <c r="H26" s="294"/>
      <c r="I26" s="294"/>
      <c r="J26" s="291">
        <v>0.19627298600000001</v>
      </c>
      <c r="K26" s="291">
        <v>4.8506403273900567</v>
      </c>
      <c r="L26" s="290">
        <v>4.2779030710696109</v>
      </c>
      <c r="M26" s="289">
        <v>2.6478124708000004</v>
      </c>
      <c r="N26" s="291">
        <v>-26.29811838659867</v>
      </c>
      <c r="O26" s="290">
        <v>-27.278034969917535</v>
      </c>
      <c r="P26" s="289"/>
      <c r="Q26" s="291"/>
      <c r="R26" s="290"/>
      <c r="S26" s="504">
        <v>45588.820243055554</v>
      </c>
      <c r="T26" s="478" t="s">
        <v>425</v>
      </c>
    </row>
    <row r="27" spans="1:20">
      <c r="A27" s="287" t="str">
        <f>'Weigh Sheet'!C38</f>
        <v>R2-160317_L017FAR2</v>
      </c>
      <c r="B27" s="288">
        <v>23</v>
      </c>
      <c r="C27" s="295">
        <v>29.539000000000001</v>
      </c>
      <c r="D27" s="295">
        <v>5.6356655</v>
      </c>
      <c r="E27" s="466">
        <v>113512480</v>
      </c>
      <c r="F27" s="294">
        <v>12.258011</v>
      </c>
      <c r="G27" s="466">
        <v>138392144</v>
      </c>
      <c r="H27" s="294"/>
      <c r="I27" s="294"/>
      <c r="J27" s="291">
        <v>0.19878653200000002</v>
      </c>
      <c r="K27" s="291">
        <v>4.8462392883210175</v>
      </c>
      <c r="L27" s="290">
        <v>4.2736440898265613</v>
      </c>
      <c r="M27" s="289">
        <v>2.7149174513999998</v>
      </c>
      <c r="N27" s="291">
        <v>-26.478174786503949</v>
      </c>
      <c r="O27" s="290">
        <v>-27.463315034912931</v>
      </c>
      <c r="P27" s="289"/>
      <c r="Q27" s="291"/>
      <c r="R27" s="290"/>
      <c r="S27" s="504">
        <v>45588.8283912037</v>
      </c>
      <c r="T27" s="478" t="s">
        <v>426</v>
      </c>
    </row>
    <row r="28" spans="1:20">
      <c r="A28" s="287" t="str">
        <f>'Weigh Sheet'!C39</f>
        <v>160317_L017FAR3</v>
      </c>
      <c r="B28" s="288">
        <v>24</v>
      </c>
      <c r="C28" s="295">
        <v>30.042999999999999</v>
      </c>
      <c r="D28" s="295">
        <v>6.0828965000000004</v>
      </c>
      <c r="E28" s="466">
        <v>107824816</v>
      </c>
      <c r="F28" s="294">
        <v>11.489603000000001</v>
      </c>
      <c r="G28" s="466">
        <v>129774904</v>
      </c>
      <c r="H28" s="294"/>
      <c r="I28" s="294"/>
      <c r="J28" s="291">
        <v>0.18658834320000001</v>
      </c>
      <c r="K28" s="291">
        <v>4.9784206918392373</v>
      </c>
      <c r="L28" s="290">
        <v>4.4015589093573482</v>
      </c>
      <c r="M28" s="289">
        <v>2.5016394045999997</v>
      </c>
      <c r="N28" s="289">
        <v>-26.43995120197561</v>
      </c>
      <c r="O28" s="290">
        <v>-27.423982535598864</v>
      </c>
      <c r="P28" s="289"/>
      <c r="Q28" s="289"/>
      <c r="R28" s="290"/>
      <c r="S28" s="504">
        <v>45588.836458333331</v>
      </c>
      <c r="T28" s="478" t="s">
        <v>427</v>
      </c>
    </row>
    <row r="29" spans="1:20">
      <c r="A29" s="287" t="str">
        <f>'Weigh Sheet'!C40</f>
        <v>160317_L017FAR4</v>
      </c>
      <c r="B29" s="288">
        <v>25</v>
      </c>
      <c r="C29" s="295">
        <v>29.004999999999999</v>
      </c>
      <c r="D29" s="295">
        <v>5.0385154999999999</v>
      </c>
      <c r="E29" s="466">
        <v>92142976</v>
      </c>
      <c r="F29" s="294">
        <v>9.1247330000000009</v>
      </c>
      <c r="G29" s="466">
        <v>103397456</v>
      </c>
      <c r="H29" s="294"/>
      <c r="I29" s="294"/>
      <c r="J29" s="291">
        <v>0.16770928230000001</v>
      </c>
      <c r="K29" s="291">
        <v>5.2027499366053362</v>
      </c>
      <c r="L29" s="290">
        <v>4.6186471993585805</v>
      </c>
      <c r="M29" s="289">
        <v>2.0713392847000001</v>
      </c>
      <c r="N29" s="291">
        <v>-27.0513579784235</v>
      </c>
      <c r="O29" s="290">
        <v>-28.053126999991598</v>
      </c>
      <c r="P29" s="289"/>
      <c r="Q29" s="291"/>
      <c r="R29" s="290"/>
      <c r="S29" s="504">
        <v>45588.844513888886</v>
      </c>
      <c r="T29" s="478" t="s">
        <v>428</v>
      </c>
    </row>
    <row r="30" spans="1:20">
      <c r="A30" s="287" t="str">
        <f>'Weigh Sheet'!C41</f>
        <v>170323_L007C_S2</v>
      </c>
      <c r="B30" s="288">
        <v>26</v>
      </c>
      <c r="C30" s="295">
        <v>30.803999999999998</v>
      </c>
      <c r="D30" s="295">
        <v>28.342593999999998</v>
      </c>
      <c r="E30" s="466">
        <v>429472512</v>
      </c>
      <c r="F30" s="294">
        <v>72.699112</v>
      </c>
      <c r="G30" s="466">
        <v>2135088512</v>
      </c>
      <c r="H30" s="294"/>
      <c r="I30" s="294"/>
      <c r="J30" s="291">
        <v>0.78070156150000003</v>
      </c>
      <c r="K30" s="291">
        <v>1.3231315162055863</v>
      </c>
      <c r="L30" s="290">
        <v>0.86425606047688985</v>
      </c>
      <c r="M30" s="289">
        <v>41.929812980999998</v>
      </c>
      <c r="N30" s="291">
        <v>-24.34711949172954</v>
      </c>
      <c r="O30" s="290">
        <v>-25.270435116552367</v>
      </c>
      <c r="P30" s="289"/>
      <c r="Q30" s="291"/>
      <c r="R30" s="290"/>
      <c r="S30" s="504">
        <v>45588.85260416667</v>
      </c>
      <c r="T30" s="478" t="s">
        <v>429</v>
      </c>
    </row>
    <row r="31" spans="1:20">
      <c r="A31" s="287" t="str">
        <f>'Weigh Sheet'!C42</f>
        <v xml:space="preserve">20240407_W1_G </v>
      </c>
      <c r="B31" s="288">
        <v>27</v>
      </c>
      <c r="C31" s="295">
        <v>29.826000000000001</v>
      </c>
      <c r="D31" s="295">
        <v>3.7994034999999999</v>
      </c>
      <c r="E31" s="466">
        <v>70490568</v>
      </c>
      <c r="F31" s="294">
        <v>6.8524585</v>
      </c>
      <c r="G31" s="466">
        <v>77520272</v>
      </c>
      <c r="H31" s="294"/>
      <c r="I31" s="294"/>
      <c r="J31" s="291">
        <v>0.12305721960000002</v>
      </c>
      <c r="K31" s="291">
        <v>6.5482862896558647</v>
      </c>
      <c r="L31" s="290">
        <v>5.9207519976999539</v>
      </c>
      <c r="M31" s="289">
        <v>1.5267021434000001</v>
      </c>
      <c r="N31" s="291">
        <v>-16.291892160589434</v>
      </c>
      <c r="O31" s="290">
        <v>-16.981515398889108</v>
      </c>
      <c r="P31" s="289"/>
      <c r="Q31" s="291"/>
      <c r="R31" s="290"/>
      <c r="S31" s="504">
        <v>45588.860671296294</v>
      </c>
      <c r="T31" s="478" t="s">
        <v>430</v>
      </c>
    </row>
    <row r="32" spans="1:20">
      <c r="A32" s="287" t="str">
        <f>'Weigh Sheet'!C43</f>
        <v>blank</v>
      </c>
      <c r="B32" s="288">
        <v>28</v>
      </c>
      <c r="C32" s="295">
        <v>37.5</v>
      </c>
      <c r="D32" s="295">
        <v>0.14828965625000001</v>
      </c>
      <c r="E32" s="466">
        <v>3322212</v>
      </c>
      <c r="F32" s="294">
        <v>0</v>
      </c>
      <c r="G32" s="466">
        <v>0</v>
      </c>
      <c r="H32" s="294"/>
      <c r="I32" s="294"/>
      <c r="J32" s="291">
        <v>4.4012024E-3</v>
      </c>
      <c r="K32" s="291">
        <v>-1.9109863703648061E-2</v>
      </c>
      <c r="L32" s="290">
        <v>-0.43466012067999843</v>
      </c>
      <c r="M32" s="289">
        <v>0</v>
      </c>
      <c r="N32" s="291">
        <v>9.6408270033454535E-2</v>
      </c>
      <c r="O32" s="290">
        <v>-0.11776953621922043</v>
      </c>
      <c r="P32" s="289"/>
      <c r="Q32" s="291"/>
      <c r="R32" s="290"/>
      <c r="S32" s="504">
        <v>45588.868796296294</v>
      </c>
      <c r="T32" s="478" t="s">
        <v>431</v>
      </c>
    </row>
    <row r="33" spans="1:37">
      <c r="A33" s="287" t="str">
        <f>'Weigh Sheet'!C44</f>
        <v>ISIRF Ulva</v>
      </c>
      <c r="B33" s="288">
        <v>29</v>
      </c>
      <c r="C33" s="294">
        <v>1.123</v>
      </c>
      <c r="D33" s="295">
        <v>5.8188864999999996</v>
      </c>
      <c r="E33" s="466">
        <v>88030392</v>
      </c>
      <c r="F33" s="294">
        <v>5.8194749999999997</v>
      </c>
      <c r="G33" s="466">
        <v>63618928</v>
      </c>
      <c r="H33" s="294"/>
      <c r="I33" s="294"/>
      <c r="J33" s="291">
        <v>4.1315255478000008</v>
      </c>
      <c r="K33" s="291">
        <v>8.3248628244502463</v>
      </c>
      <c r="L33" s="290">
        <v>7.6399837563454085</v>
      </c>
      <c r="M33" s="289">
        <v>33.205756960599999</v>
      </c>
      <c r="N33" s="291">
        <v>-12.194931300960555</v>
      </c>
      <c r="O33" s="290">
        <v>-12.765696495728996</v>
      </c>
      <c r="P33" s="289"/>
      <c r="Q33" s="291"/>
      <c r="R33" s="290"/>
      <c r="S33" s="504">
        <v>45588.876863425925</v>
      </c>
      <c r="T33" s="478" t="s">
        <v>432</v>
      </c>
    </row>
    <row r="34" spans="1:37">
      <c r="A34" s="287" t="str">
        <f>'Weigh Sheet'!C45</f>
        <v>ISIRF Chitin</v>
      </c>
      <c r="B34" s="288">
        <v>30</v>
      </c>
      <c r="C34" s="295">
        <v>1.069</v>
      </c>
      <c r="D34" s="295">
        <v>8.8813490000000002</v>
      </c>
      <c r="E34" s="466">
        <v>134010720</v>
      </c>
      <c r="F34" s="294">
        <v>7.5567425000000004</v>
      </c>
      <c r="G34" s="466">
        <v>83886128</v>
      </c>
      <c r="H34" s="294"/>
      <c r="I34" s="294"/>
      <c r="J34" s="291">
        <v>6.40255098</v>
      </c>
      <c r="K34" s="291">
        <v>-4.7068210353138413</v>
      </c>
      <c r="L34" s="290">
        <v>-4.9710601933749299</v>
      </c>
      <c r="M34" s="289">
        <v>45.876753401499997</v>
      </c>
      <c r="N34" s="291">
        <v>-20.290679865330461</v>
      </c>
      <c r="O34" s="290">
        <v>-21.096313019117908</v>
      </c>
      <c r="P34" s="289"/>
      <c r="Q34" s="291"/>
      <c r="R34" s="290"/>
      <c r="S34" s="504">
        <v>45588.88490740741</v>
      </c>
      <c r="T34" s="478" t="s">
        <v>433</v>
      </c>
    </row>
    <row r="35" spans="1:37">
      <c r="A35" s="287" t="str">
        <f>'Weigh Sheet'!C46</f>
        <v>ISIRF Bamboo</v>
      </c>
      <c r="B35" s="288">
        <v>31</v>
      </c>
      <c r="C35" s="295">
        <v>1.526</v>
      </c>
      <c r="D35" s="295">
        <v>5.7106640000000004</v>
      </c>
      <c r="E35" s="466">
        <v>85068096</v>
      </c>
      <c r="F35" s="294">
        <v>10.688116000000001</v>
      </c>
      <c r="G35" s="466">
        <v>119239944</v>
      </c>
      <c r="H35" s="294"/>
      <c r="I35" s="294"/>
      <c r="J35" s="291">
        <v>2.8713908881000001</v>
      </c>
      <c r="K35" s="291">
        <v>2.4737652826098588</v>
      </c>
      <c r="L35" s="290">
        <v>1.9777493859986168</v>
      </c>
      <c r="M35" s="289">
        <v>45.433517996999996</v>
      </c>
      <c r="N35" s="291">
        <v>-29.265012572339167</v>
      </c>
      <c r="O35" s="290">
        <v>-30.331002528180623</v>
      </c>
      <c r="P35" s="289"/>
      <c r="Q35" s="291"/>
      <c r="R35" s="290"/>
      <c r="S35" s="504">
        <v>45588.892997685187</v>
      </c>
      <c r="T35" s="478" t="s">
        <v>434</v>
      </c>
    </row>
    <row r="36" spans="1:37">
      <c r="A36" s="287" t="str">
        <f>'Weigh Sheet'!C47</f>
        <v>NBS 8412 Corn Stalk</v>
      </c>
      <c r="B36" s="288">
        <v>32</v>
      </c>
      <c r="C36" s="295">
        <v>6.5529999999999999</v>
      </c>
      <c r="D36" s="295">
        <v>5.2922120000000001</v>
      </c>
      <c r="E36" s="466">
        <v>96283296</v>
      </c>
      <c r="F36" s="294">
        <v>36.700127999999999</v>
      </c>
      <c r="G36" s="466">
        <v>521974848</v>
      </c>
      <c r="H36" s="294"/>
      <c r="I36" s="294"/>
      <c r="J36" s="291">
        <v>0.74875206140000006</v>
      </c>
      <c r="K36" s="291">
        <v>11.043856403298687</v>
      </c>
      <c r="L36" s="290">
        <v>10.271212988949415</v>
      </c>
      <c r="M36" s="289">
        <v>46.047913753099998</v>
      </c>
      <c r="N36" s="291">
        <v>-10.156351129633343</v>
      </c>
      <c r="O36" s="290">
        <v>-10.667974521722355</v>
      </c>
      <c r="P36" s="289"/>
      <c r="Q36" s="291"/>
      <c r="R36" s="290"/>
      <c r="S36" s="504">
        <v>45588.901064814818</v>
      </c>
      <c r="T36" s="478" t="s">
        <v>435</v>
      </c>
    </row>
    <row r="37" spans="1:37">
      <c r="A37" s="287" t="str">
        <f>'Weigh Sheet'!C48</f>
        <v xml:space="preserve">20240407_W1_H </v>
      </c>
      <c r="B37" s="288">
        <v>33</v>
      </c>
      <c r="C37" s="295">
        <v>30.565999999999999</v>
      </c>
      <c r="D37" s="295">
        <v>4.9788209999999999</v>
      </c>
      <c r="E37" s="466">
        <v>96397696</v>
      </c>
      <c r="F37" s="294">
        <v>9.3043960000000006</v>
      </c>
      <c r="G37" s="466">
        <v>110851432</v>
      </c>
      <c r="H37" s="294"/>
      <c r="I37" s="294"/>
      <c r="J37" s="291">
        <v>0.16575670650000002</v>
      </c>
      <c r="K37" s="291">
        <v>6.6755293417194608</v>
      </c>
      <c r="L37" s="290">
        <v>6.0438878671039866</v>
      </c>
      <c r="M37" s="289">
        <v>2.1134087492</v>
      </c>
      <c r="N37" s="291">
        <v>-16.299021551605545</v>
      </c>
      <c r="O37" s="290">
        <v>-16.988851622603107</v>
      </c>
      <c r="P37" s="289"/>
      <c r="Q37" s="291"/>
      <c r="R37" s="290"/>
      <c r="S37" s="504">
        <v>45588.909189814818</v>
      </c>
      <c r="T37" s="478" t="s">
        <v>436</v>
      </c>
    </row>
    <row r="38" spans="1:37">
      <c r="A38" s="287" t="str">
        <f>'Weigh Sheet'!C49</f>
        <v>E2-Fin- P - 27  New 7/23/24</v>
      </c>
      <c r="B38" s="288">
        <v>34</v>
      </c>
      <c r="C38" s="295">
        <v>3.5409999999999999</v>
      </c>
      <c r="D38" s="295">
        <v>13.255006</v>
      </c>
      <c r="E38" s="466">
        <v>216414368</v>
      </c>
      <c r="F38" s="294">
        <v>18.778383999999999</v>
      </c>
      <c r="G38" s="466">
        <v>223037344</v>
      </c>
      <c r="H38" s="294"/>
      <c r="I38" s="294"/>
      <c r="J38" s="291">
        <v>3.1665078221000003</v>
      </c>
      <c r="K38" s="291">
        <v>7.644593889284212</v>
      </c>
      <c r="L38" s="290">
        <v>6.9816727098738127</v>
      </c>
      <c r="M38" s="289">
        <v>36.433480236999998</v>
      </c>
      <c r="N38" s="291">
        <v>-4.2118551348682844</v>
      </c>
      <c r="O38" s="290">
        <v>-4.5510211401466671</v>
      </c>
      <c r="P38" s="289"/>
      <c r="Q38" s="291"/>
      <c r="R38" s="290"/>
      <c r="S38" s="504">
        <v>45588.917314814818</v>
      </c>
      <c r="T38" s="478" t="s">
        <v>437</v>
      </c>
    </row>
    <row r="39" spans="1:37">
      <c r="A39" s="287" t="str">
        <f>'Weigh Sheet'!C50</f>
        <v>E2-Fin- P - 27  Old 7/23/24</v>
      </c>
      <c r="B39" s="288">
        <v>35</v>
      </c>
      <c r="C39" s="295">
        <v>3.5529999999999999</v>
      </c>
      <c r="D39" s="295">
        <v>11.826900999999999</v>
      </c>
      <c r="E39" s="466">
        <v>191264272</v>
      </c>
      <c r="F39" s="294">
        <v>20.303954000000001</v>
      </c>
      <c r="G39" s="466">
        <v>240688992</v>
      </c>
      <c r="H39" s="294"/>
      <c r="I39" s="294"/>
      <c r="J39" s="291">
        <v>2.7385891001</v>
      </c>
      <c r="K39" s="291">
        <v>5.6501215868517729</v>
      </c>
      <c r="L39" s="290">
        <v>5.0515784769915584</v>
      </c>
      <c r="M39" s="289">
        <v>39.105696496299998</v>
      </c>
      <c r="N39" s="291">
        <v>-5.9727091393143086</v>
      </c>
      <c r="O39" s="290">
        <v>-6.3629597580618933</v>
      </c>
      <c r="P39" s="289"/>
      <c r="Q39" s="291"/>
      <c r="R39" s="290"/>
      <c r="S39" s="504">
        <v>45588.925416666665</v>
      </c>
      <c r="T39" s="478" t="s">
        <v>438</v>
      </c>
    </row>
    <row r="40" spans="1:37">
      <c r="A40" s="287" t="str">
        <f>'Weigh Sheet'!C51</f>
        <v>E2-Fin- P - 27 Sheath 7/23/24</v>
      </c>
      <c r="B40" s="288">
        <v>36</v>
      </c>
      <c r="C40" s="295">
        <v>3.4169999999999998</v>
      </c>
      <c r="D40" s="295">
        <v>10.371584</v>
      </c>
      <c r="E40" s="466">
        <v>170367168</v>
      </c>
      <c r="F40" s="294">
        <v>17.595972</v>
      </c>
      <c r="G40" s="466">
        <v>206525824</v>
      </c>
      <c r="H40" s="294"/>
      <c r="I40" s="294"/>
      <c r="J40" s="291">
        <v>2.5560016229999998</v>
      </c>
      <c r="K40" s="291">
        <v>6.1162158114508012</v>
      </c>
      <c r="L40" s="290">
        <v>5.5026279970982852</v>
      </c>
      <c r="M40" s="289">
        <v>34.897111148200004</v>
      </c>
      <c r="N40" s="291">
        <v>-4.8659474618010545</v>
      </c>
      <c r="O40" s="290">
        <v>-5.2240895171154786</v>
      </c>
      <c r="P40" s="289"/>
      <c r="Q40" s="291"/>
      <c r="R40" s="290"/>
      <c r="S40" s="504">
        <v>45588.933495370373</v>
      </c>
      <c r="T40" s="478" t="s">
        <v>439</v>
      </c>
    </row>
    <row r="41" spans="1:37">
      <c r="A41" s="287" t="str">
        <f>'Weigh Sheet'!C52</f>
        <v>E2-Fin- P - 28  New 7/23/24</v>
      </c>
      <c r="B41" s="288">
        <v>37</v>
      </c>
      <c r="C41" s="295">
        <v>3.52</v>
      </c>
      <c r="D41" s="295">
        <v>13.702680000000001</v>
      </c>
      <c r="E41" s="466">
        <v>233738272</v>
      </c>
      <c r="F41" s="294">
        <v>18.28623</v>
      </c>
      <c r="G41" s="466">
        <v>219513664</v>
      </c>
      <c r="H41" s="294"/>
      <c r="I41" s="294"/>
      <c r="J41" s="291">
        <v>3.4241496162999998</v>
      </c>
      <c r="K41" s="291">
        <v>4.5729857584281532</v>
      </c>
      <c r="L41" s="290">
        <v>4.0092107048566543</v>
      </c>
      <c r="M41" s="289">
        <v>36.050959718199998</v>
      </c>
      <c r="N41" s="291">
        <v>-4.728358097548603</v>
      </c>
      <c r="O41" s="290">
        <v>-5.0825085104710039</v>
      </c>
      <c r="P41" s="289"/>
      <c r="Q41" s="291"/>
      <c r="R41" s="290"/>
      <c r="S41" s="504">
        <v>45588.94158564815</v>
      </c>
      <c r="T41" s="478" t="s">
        <v>440</v>
      </c>
    </row>
    <row r="42" spans="1:37">
      <c r="A42" s="287" t="str">
        <f>'Weigh Sheet'!C53</f>
        <v>E2-Fin- P - 28  Old 7/23/24</v>
      </c>
      <c r="B42" s="288">
        <v>38</v>
      </c>
      <c r="C42" s="295">
        <v>3.5230000000000001</v>
      </c>
      <c r="D42" s="295">
        <v>13.328386999999999</v>
      </c>
      <c r="E42" s="466">
        <v>221816608</v>
      </c>
      <c r="F42" s="294">
        <v>20.404108000000001</v>
      </c>
      <c r="G42" s="466">
        <v>245426496</v>
      </c>
      <c r="H42" s="294"/>
      <c r="I42" s="294"/>
      <c r="J42" s="291">
        <v>3.2207346640000001</v>
      </c>
      <c r="K42" s="291">
        <v>4.6613196645349175</v>
      </c>
      <c r="L42" s="290">
        <v>4.0946933473263929</v>
      </c>
      <c r="M42" s="289">
        <v>40.260576824999994</v>
      </c>
      <c r="N42" s="291">
        <v>-6.2553149314342162</v>
      </c>
      <c r="O42" s="290">
        <v>-6.6537643035242988</v>
      </c>
      <c r="P42" s="289"/>
      <c r="Q42" s="291"/>
      <c r="R42" s="290"/>
      <c r="S42" s="504">
        <v>45588.949664351851</v>
      </c>
      <c r="T42" s="478" t="s">
        <v>441</v>
      </c>
    </row>
    <row r="43" spans="1:37">
      <c r="A43" s="287" t="str">
        <f>'Weigh Sheet'!C54</f>
        <v>E2-Fin- P - 28 Sheath 7/23/24</v>
      </c>
      <c r="B43" s="288">
        <v>39</v>
      </c>
      <c r="C43" s="295">
        <v>3.516</v>
      </c>
      <c r="D43" s="295">
        <v>12.346657</v>
      </c>
      <c r="E43" s="466">
        <v>193936736</v>
      </c>
      <c r="F43" s="294">
        <v>17.610294</v>
      </c>
      <c r="G43" s="466">
        <v>204781440</v>
      </c>
      <c r="H43" s="294"/>
      <c r="I43" s="294"/>
      <c r="J43" s="291">
        <v>2.8361363247000004</v>
      </c>
      <c r="K43" s="291">
        <v>5.0604121367304842</v>
      </c>
      <c r="L43" s="290">
        <v>4.4809038141410742</v>
      </c>
      <c r="M43" s="289">
        <v>33.552269951899994</v>
      </c>
      <c r="N43" s="291">
        <v>-5.1483639532255729</v>
      </c>
      <c r="O43" s="290">
        <v>-5.5146992700286397</v>
      </c>
      <c r="P43" s="289"/>
      <c r="Q43" s="291"/>
      <c r="R43" s="290"/>
      <c r="S43" s="504">
        <v>45588.957835648151</v>
      </c>
      <c r="T43" s="478" t="s">
        <v>442</v>
      </c>
    </row>
    <row r="44" spans="1:37">
      <c r="A44" s="287" t="str">
        <f>'Weigh Sheet'!C55</f>
        <v>E2-Fin- P - 29  New 7/23/24</v>
      </c>
      <c r="B44" s="288">
        <v>40</v>
      </c>
      <c r="C44" s="295">
        <v>3.5350000000000001</v>
      </c>
      <c r="D44" s="295">
        <v>12.693770000000001</v>
      </c>
      <c r="E44" s="466">
        <v>207603520</v>
      </c>
      <c r="F44" s="294">
        <v>17.862918000000001</v>
      </c>
      <c r="G44" s="466">
        <v>209941952</v>
      </c>
      <c r="H44" s="294"/>
      <c r="I44" s="294"/>
      <c r="J44" s="291">
        <v>2.994382356</v>
      </c>
      <c r="K44" s="291">
        <v>7.6581651689036558</v>
      </c>
      <c r="L44" s="290">
        <v>6.9948059323780178</v>
      </c>
      <c r="M44" s="289">
        <v>34.294417483900006</v>
      </c>
      <c r="N44" s="291">
        <v>-4.7554462434325959</v>
      </c>
      <c r="O44" s="290">
        <v>-5.1103825179077367</v>
      </c>
      <c r="P44" s="289"/>
      <c r="Q44" s="291"/>
      <c r="R44" s="290"/>
      <c r="S44" s="504">
        <v>45588.965937499997</v>
      </c>
      <c r="T44" s="478" t="s">
        <v>443</v>
      </c>
    </row>
    <row r="45" spans="1:37">
      <c r="A45" s="287" t="str">
        <f>'Weigh Sheet'!C56</f>
        <v>E2-Fin- P - 29  Old 7/23/24</v>
      </c>
      <c r="B45" s="288">
        <v>41</v>
      </c>
      <c r="C45" s="294">
        <v>3.4790000000000001</v>
      </c>
      <c r="D45" s="295">
        <v>9.6367829999999994</v>
      </c>
      <c r="E45" s="466">
        <v>165436512</v>
      </c>
      <c r="F45" s="294">
        <v>20.40964</v>
      </c>
      <c r="G45" s="466">
        <v>244310336</v>
      </c>
      <c r="H45" s="294"/>
      <c r="I45" s="294"/>
      <c r="J45" s="291">
        <v>2.4264141776000003</v>
      </c>
      <c r="K45" s="291">
        <v>5.8435666716236181</v>
      </c>
      <c r="L45" s="290">
        <v>5.2387794935422534</v>
      </c>
      <c r="M45" s="289">
        <v>40.5190300151</v>
      </c>
      <c r="N45" s="291">
        <v>-6.6150468163457772</v>
      </c>
      <c r="O45" s="290">
        <v>-7.0239324677905675</v>
      </c>
      <c r="P45" s="289"/>
      <c r="Q45" s="291"/>
      <c r="R45" s="290"/>
      <c r="S45" s="504">
        <v>45588.974062499998</v>
      </c>
      <c r="T45" s="478" t="s">
        <v>444</v>
      </c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</row>
    <row r="46" spans="1:37" ht="13">
      <c r="A46" s="287" t="str">
        <f>'Weigh Sheet'!C57</f>
        <v>ISIRF Ulva</v>
      </c>
      <c r="B46" s="288">
        <v>42</v>
      </c>
      <c r="C46" s="295">
        <v>1.1439999999999999</v>
      </c>
      <c r="D46" s="295">
        <v>6.0359990000000003</v>
      </c>
      <c r="E46" s="466">
        <v>91565168</v>
      </c>
      <c r="F46" s="294">
        <v>6.0982339999999997</v>
      </c>
      <c r="G46" s="466">
        <v>65274864</v>
      </c>
      <c r="H46" s="294"/>
      <c r="I46" s="294"/>
      <c r="J46" s="291">
        <v>4.0500308932999998</v>
      </c>
      <c r="K46" s="291">
        <v>8.1860411426708364</v>
      </c>
      <c r="L46" s="290">
        <v>7.5056429950950871</v>
      </c>
      <c r="M46" s="289">
        <v>33.319536018999997</v>
      </c>
      <c r="N46" s="291">
        <v>-12.35642411339542</v>
      </c>
      <c r="O46" s="290">
        <v>-12.931874419979184</v>
      </c>
      <c r="P46" s="289"/>
      <c r="Q46" s="291"/>
      <c r="R46" s="290"/>
      <c r="S46" s="504">
        <v>45588.982094907406</v>
      </c>
      <c r="T46" s="478" t="s">
        <v>445</v>
      </c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:37" ht="13">
      <c r="A47" s="287" t="str">
        <f>'Weigh Sheet'!C58</f>
        <v>E2-Fin- P - 29 Sheath 7/23/24</v>
      </c>
      <c r="B47" s="288">
        <v>43</v>
      </c>
      <c r="C47" s="295">
        <v>3.63</v>
      </c>
      <c r="D47" s="295">
        <v>10.605574000000001</v>
      </c>
      <c r="E47" s="466">
        <v>167495312</v>
      </c>
      <c r="F47" s="294">
        <v>18.530954000000001</v>
      </c>
      <c r="G47" s="466">
        <v>222172832</v>
      </c>
      <c r="H47" s="294"/>
      <c r="I47" s="294"/>
      <c r="J47" s="291">
        <v>2.3228003183000001</v>
      </c>
      <c r="K47" s="291">
        <v>7.5643819113364374</v>
      </c>
      <c r="L47" s="290">
        <v>6.9040498339600855</v>
      </c>
      <c r="M47" s="289">
        <v>35.369001262699996</v>
      </c>
      <c r="N47" s="291">
        <v>-5.5567820293714121</v>
      </c>
      <c r="O47" s="290">
        <v>-5.9349660738379111</v>
      </c>
      <c r="P47" s="289"/>
      <c r="Q47" s="291"/>
      <c r="R47" s="290"/>
      <c r="S47" s="504">
        <v>45588.990208333336</v>
      </c>
      <c r="T47" s="478" t="s">
        <v>446</v>
      </c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:37">
      <c r="A48" s="287" t="str">
        <f>'Weigh Sheet'!C59</f>
        <v>E2-Fin- P - 30  New 7/23/24</v>
      </c>
      <c r="B48" s="288">
        <v>44</v>
      </c>
      <c r="C48" s="295">
        <v>3.3490000000000002</v>
      </c>
      <c r="D48" s="295">
        <v>13.84507</v>
      </c>
      <c r="E48" s="466">
        <v>223541568</v>
      </c>
      <c r="F48" s="294">
        <v>21.660474000000001</v>
      </c>
      <c r="G48" s="466">
        <v>268323264</v>
      </c>
      <c r="H48" s="294"/>
      <c r="I48" s="294"/>
      <c r="J48" s="291">
        <v>3.4216294119000001</v>
      </c>
      <c r="K48" s="291">
        <v>7.2150575935125048</v>
      </c>
      <c r="L48" s="290">
        <v>6.5660010927390537</v>
      </c>
      <c r="M48" s="289">
        <v>46.331425156099996</v>
      </c>
      <c r="N48" s="291">
        <v>-4.5836125601730258</v>
      </c>
      <c r="O48" s="290">
        <v>-4.9335637210225389</v>
      </c>
      <c r="P48" s="289"/>
      <c r="Q48" s="291"/>
      <c r="R48" s="290"/>
      <c r="S48" s="504">
        <v>45588.99832175926</v>
      </c>
      <c r="T48" s="478" t="s">
        <v>447</v>
      </c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</row>
    <row r="49" spans="1:37">
      <c r="A49" s="287" t="str">
        <f>'Weigh Sheet'!C60</f>
        <v>E2-Fin- P - 30  Old 7/23/24</v>
      </c>
      <c r="B49" s="288">
        <v>45</v>
      </c>
      <c r="C49" s="295">
        <v>3.774</v>
      </c>
      <c r="D49" s="295">
        <v>9.7255240000000001</v>
      </c>
      <c r="E49" s="466">
        <v>165290784</v>
      </c>
      <c r="F49" s="294">
        <v>21.440899999999999</v>
      </c>
      <c r="G49" s="466">
        <v>257075616</v>
      </c>
      <c r="H49" s="294"/>
      <c r="I49" s="294"/>
      <c r="J49" s="291">
        <v>2.2431999785999999</v>
      </c>
      <c r="K49" s="291">
        <v>6.003530076678266</v>
      </c>
      <c r="L49" s="290">
        <v>5.3935795603025909</v>
      </c>
      <c r="M49" s="289">
        <v>39.303491542700002</v>
      </c>
      <c r="N49" s="291">
        <v>-6.5405749568988352</v>
      </c>
      <c r="O49" s="290">
        <v>-6.9473000850154145</v>
      </c>
      <c r="P49" s="289"/>
      <c r="Q49" s="291"/>
      <c r="R49" s="290"/>
      <c r="S49" s="504">
        <v>45589.006412037037</v>
      </c>
      <c r="T49" s="478" t="s">
        <v>448</v>
      </c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</row>
    <row r="50" spans="1:37" ht="13">
      <c r="A50" s="287" t="str">
        <f>'Weigh Sheet'!C61</f>
        <v>E2-Fin- P - 30 Sheath 7/23/24</v>
      </c>
      <c r="B50" s="288">
        <v>46</v>
      </c>
      <c r="C50" s="295">
        <v>3.2240000000000002</v>
      </c>
      <c r="D50" s="295">
        <v>11.351190000000001</v>
      </c>
      <c r="E50" s="466">
        <v>180965312</v>
      </c>
      <c r="F50" s="294">
        <v>16.822911999999999</v>
      </c>
      <c r="G50" s="466">
        <v>193313088</v>
      </c>
      <c r="H50" s="294"/>
      <c r="I50" s="294"/>
      <c r="J50" s="291">
        <v>2.8353814286000003</v>
      </c>
      <c r="K50" s="291">
        <v>7.0759339535136228</v>
      </c>
      <c r="L50" s="290">
        <v>6.4313681199512427</v>
      </c>
      <c r="M50" s="289">
        <v>34.604411324000004</v>
      </c>
      <c r="N50" s="291">
        <v>-5.7877406926412762</v>
      </c>
      <c r="O50" s="290">
        <v>-6.1726251415766944</v>
      </c>
      <c r="P50" s="289"/>
      <c r="Q50" s="291"/>
      <c r="R50" s="290"/>
      <c r="S50" s="504">
        <v>45589.014444444445</v>
      </c>
      <c r="T50" s="478" t="s">
        <v>449</v>
      </c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:37">
      <c r="A51" s="287" t="str">
        <f>'Weigh Sheet'!C62</f>
        <v>E2-Fin- P - 19  New 7/23/24</v>
      </c>
      <c r="B51" s="288">
        <v>47</v>
      </c>
      <c r="C51" s="295">
        <v>3.3769999999999998</v>
      </c>
      <c r="D51" s="295">
        <v>9.1713129999999996</v>
      </c>
      <c r="E51" s="466">
        <v>150015488</v>
      </c>
      <c r="F51" s="294">
        <v>14.485884</v>
      </c>
      <c r="G51" s="466">
        <v>168156768</v>
      </c>
      <c r="H51" s="294"/>
      <c r="I51" s="294"/>
      <c r="J51" s="291">
        <v>2.2397817225000001</v>
      </c>
      <c r="K51" s="291">
        <v>6.3716898622261144</v>
      </c>
      <c r="L51" s="290">
        <v>5.7498557933685746</v>
      </c>
      <c r="M51" s="289">
        <v>28.939739251500001</v>
      </c>
      <c r="N51" s="291">
        <v>-5.1651332053737402</v>
      </c>
      <c r="O51" s="290">
        <v>-5.5319550195025329</v>
      </c>
      <c r="P51" s="289"/>
      <c r="Q51" s="291"/>
      <c r="R51" s="290"/>
      <c r="S51" s="504">
        <v>45589.022534722222</v>
      </c>
      <c r="T51" s="478" t="s">
        <v>450</v>
      </c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</row>
    <row r="52" spans="1:37">
      <c r="A52" s="287" t="str">
        <f>'Weigh Sheet'!C63</f>
        <v>E2-Fin- P - 19  Old 7/23/24</v>
      </c>
      <c r="B52" s="288">
        <v>48</v>
      </c>
      <c r="C52" s="295">
        <v>3.6930000000000001</v>
      </c>
      <c r="D52" s="295">
        <v>10.842425</v>
      </c>
      <c r="E52" s="466">
        <v>187086256</v>
      </c>
      <c r="F52" s="294">
        <v>21.170334</v>
      </c>
      <c r="G52" s="466">
        <v>257877504</v>
      </c>
      <c r="H52" s="294"/>
      <c r="I52" s="294"/>
      <c r="J52" s="291">
        <v>2.5812685864000002</v>
      </c>
      <c r="K52" s="291">
        <v>6.167807569664582</v>
      </c>
      <c r="L52" s="290">
        <v>5.5525544637988915</v>
      </c>
      <c r="M52" s="289">
        <v>40.333727665699996</v>
      </c>
      <c r="N52" s="291">
        <v>-7.52046007388563</v>
      </c>
      <c r="O52" s="290">
        <v>-7.9556129151000041</v>
      </c>
      <c r="P52" s="289"/>
      <c r="Q52" s="291"/>
      <c r="R52" s="290"/>
      <c r="S52" s="504">
        <v>45589.030648148146</v>
      </c>
      <c r="T52" s="478" t="s">
        <v>451</v>
      </c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</row>
    <row r="53" spans="1:37">
      <c r="A53" s="287" t="str">
        <f>'Weigh Sheet'!C64</f>
        <v>E2-Fin- P - 19 Sheath 7/23/24</v>
      </c>
      <c r="B53" s="288">
        <v>49</v>
      </c>
      <c r="C53" s="295">
        <v>3.3919999999999999</v>
      </c>
      <c r="D53" s="295">
        <v>6.6917615000000001</v>
      </c>
      <c r="E53" s="466">
        <v>117509808</v>
      </c>
      <c r="F53" s="294">
        <v>17.778289999999998</v>
      </c>
      <c r="G53" s="466">
        <v>206521792</v>
      </c>
      <c r="H53" s="294"/>
      <c r="I53" s="294"/>
      <c r="J53" s="291">
        <v>1.7509028516000003</v>
      </c>
      <c r="K53" s="291">
        <v>6.2656949194012501</v>
      </c>
      <c r="L53" s="290">
        <v>5.6472821814856466</v>
      </c>
      <c r="M53" s="289">
        <v>35.153496092399998</v>
      </c>
      <c r="N53" s="291">
        <v>-7.1168363572661795</v>
      </c>
      <c r="O53" s="290">
        <v>-7.5402795612826674</v>
      </c>
      <c r="P53" s="289"/>
      <c r="Q53" s="291"/>
      <c r="R53" s="290"/>
      <c r="S53" s="504">
        <v>45589.038761574076</v>
      </c>
      <c r="T53" s="478" t="s">
        <v>452</v>
      </c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</row>
    <row r="54" spans="1:37">
      <c r="A54" s="287" t="str">
        <f>'Weigh Sheet'!C65</f>
        <v>E2-Fin- P - 7  New 7/23/24</v>
      </c>
      <c r="B54" s="288">
        <v>50</v>
      </c>
      <c r="C54" s="295">
        <v>3.3959999999999999</v>
      </c>
      <c r="D54" s="295">
        <v>7.9077500000000001</v>
      </c>
      <c r="E54" s="466">
        <v>137883344</v>
      </c>
      <c r="F54" s="294">
        <v>17.743618000000001</v>
      </c>
      <c r="G54" s="466">
        <v>206600544</v>
      </c>
      <c r="H54" s="294"/>
      <c r="I54" s="294"/>
      <c r="J54" s="291">
        <v>2.0650444989999999</v>
      </c>
      <c r="K54" s="291">
        <v>7.0051388568174033</v>
      </c>
      <c r="L54" s="290">
        <v>6.3628581648703584</v>
      </c>
      <c r="M54" s="289">
        <v>35.114905858200004</v>
      </c>
      <c r="N54" s="291">
        <v>-4.5599739396526671</v>
      </c>
      <c r="O54" s="290">
        <v>-4.9092393140660651</v>
      </c>
      <c r="P54" s="289"/>
      <c r="Q54" s="291"/>
      <c r="R54" s="290"/>
      <c r="S54" s="504">
        <v>45589.046851851854</v>
      </c>
      <c r="T54" s="478" t="s">
        <v>453</v>
      </c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</row>
    <row r="55" spans="1:37">
      <c r="A55" s="287" t="str">
        <f>'Weigh Sheet'!C66</f>
        <v>E2-Fin- P - 7  Old 7/23/24</v>
      </c>
      <c r="B55" s="288">
        <v>51</v>
      </c>
      <c r="C55" s="295">
        <v>3.7040000000000002</v>
      </c>
      <c r="D55" s="295">
        <v>8.5346109999999999</v>
      </c>
      <c r="E55" s="466">
        <v>150177568</v>
      </c>
      <c r="F55" s="294">
        <v>20.803509999999999</v>
      </c>
      <c r="G55" s="466">
        <v>255648432</v>
      </c>
      <c r="H55" s="294"/>
      <c r="I55" s="294"/>
      <c r="J55" s="291">
        <v>2.0837462800000002</v>
      </c>
      <c r="K55" s="291">
        <v>5.3826549846646845</v>
      </c>
      <c r="L55" s="290">
        <v>4.7927452278457494</v>
      </c>
      <c r="M55" s="289">
        <v>39.956910663599999</v>
      </c>
      <c r="N55" s="291">
        <v>-7.468484757361324</v>
      </c>
      <c r="O55" s="290">
        <v>-7.9021297285604213</v>
      </c>
      <c r="P55" s="289"/>
      <c r="Q55" s="291"/>
      <c r="R55" s="290"/>
      <c r="S55" s="504">
        <v>45589.054930555554</v>
      </c>
      <c r="T55" s="478" t="s">
        <v>454</v>
      </c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</row>
    <row r="56" spans="1:37">
      <c r="A56" s="287" t="str">
        <f>'Weigh Sheet'!C67</f>
        <v xml:space="preserve">R1-20240407_W1_G </v>
      </c>
      <c r="B56" s="288">
        <v>52</v>
      </c>
      <c r="C56" s="295">
        <v>29.015000000000001</v>
      </c>
      <c r="D56" s="295">
        <v>3.7999377499999998</v>
      </c>
      <c r="E56" s="466">
        <v>73455800</v>
      </c>
      <c r="F56" s="294">
        <v>6.6466310000000002</v>
      </c>
      <c r="G56" s="466">
        <v>74694648</v>
      </c>
      <c r="H56" s="294"/>
      <c r="I56" s="294"/>
      <c r="J56" s="291">
        <v>0.13651134910000001</v>
      </c>
      <c r="K56" s="291">
        <v>6.4574843166635647</v>
      </c>
      <c r="L56" s="290">
        <v>5.8328809532171455</v>
      </c>
      <c r="M56" s="289">
        <v>1.502083681</v>
      </c>
      <c r="N56" s="291">
        <v>-16.414451243349401</v>
      </c>
      <c r="O56" s="290">
        <v>-17.107630076465071</v>
      </c>
      <c r="P56" s="289"/>
      <c r="Q56" s="291"/>
      <c r="R56" s="290"/>
      <c r="S56" s="504">
        <v>45589.062997685185</v>
      </c>
      <c r="T56" s="478" t="s">
        <v>455</v>
      </c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</row>
    <row r="57" spans="1:37">
      <c r="A57" s="287" t="str">
        <f>'Weigh Sheet'!C68</f>
        <v>blank</v>
      </c>
      <c r="B57" s="288">
        <v>53</v>
      </c>
      <c r="C57" s="295">
        <v>37.5</v>
      </c>
      <c r="D57" s="295">
        <v>9.6910414062500005E-2</v>
      </c>
      <c r="E57" s="466">
        <v>2226488</v>
      </c>
      <c r="F57" s="294">
        <v>0</v>
      </c>
      <c r="G57" s="466">
        <v>0</v>
      </c>
      <c r="H57" s="294"/>
      <c r="I57" s="294"/>
      <c r="J57" s="291">
        <v>6.1914797000000004E-3</v>
      </c>
      <c r="K57" s="291">
        <v>-1.2965724287654918</v>
      </c>
      <c r="L57" s="290">
        <v>-1.6708884335734813</v>
      </c>
      <c r="M57" s="289">
        <v>0</v>
      </c>
      <c r="N57" s="291">
        <v>-0.12739459031999489</v>
      </c>
      <c r="O57" s="290">
        <v>-0.3480652021008912</v>
      </c>
      <c r="P57" s="289"/>
      <c r="Q57" s="291"/>
      <c r="R57" s="290"/>
      <c r="S57" s="504">
        <v>45589.071087962962</v>
      </c>
      <c r="T57" s="478" t="s">
        <v>456</v>
      </c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</row>
    <row r="58" spans="1:37">
      <c r="A58" s="287" t="str">
        <f>'Weigh Sheet'!C69</f>
        <v>ISIRF Ulva</v>
      </c>
      <c r="B58" s="288">
        <v>54</v>
      </c>
      <c r="C58" s="295">
        <v>1.254</v>
      </c>
      <c r="D58" s="295">
        <v>6.7827190000000002</v>
      </c>
      <c r="E58" s="466">
        <v>101819856</v>
      </c>
      <c r="F58" s="294">
        <v>6.836074</v>
      </c>
      <c r="G58" s="466">
        <v>73920736</v>
      </c>
      <c r="H58" s="294"/>
      <c r="I58" s="294"/>
      <c r="J58" s="291">
        <v>4.3204077098000004</v>
      </c>
      <c r="K58" s="291">
        <v>8.232022549263613</v>
      </c>
      <c r="L58" s="290">
        <v>7.550140202489894</v>
      </c>
      <c r="M58" s="289">
        <v>34.349663386499998</v>
      </c>
      <c r="N58" s="291">
        <v>-12.362941874238233</v>
      </c>
      <c r="O58" s="290">
        <v>-12.938581269350916</v>
      </c>
      <c r="P58" s="289"/>
      <c r="Q58" s="291"/>
      <c r="R58" s="290"/>
      <c r="S58" s="504">
        <v>45589.079108796293</v>
      </c>
      <c r="T58" s="478" t="s">
        <v>457</v>
      </c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</row>
    <row r="59" spans="1:37">
      <c r="A59" s="287" t="str">
        <f>'Weigh Sheet'!C70</f>
        <v>ISIRF Chitin</v>
      </c>
      <c r="B59" s="288">
        <v>55</v>
      </c>
      <c r="C59" s="295">
        <v>1.077</v>
      </c>
      <c r="D59" s="295">
        <v>9.1782979999999998</v>
      </c>
      <c r="E59" s="466">
        <v>136139440</v>
      </c>
      <c r="F59" s="294">
        <v>7.7549725</v>
      </c>
      <c r="G59" s="466">
        <v>86180208</v>
      </c>
      <c r="H59" s="294"/>
      <c r="I59" s="294"/>
      <c r="J59" s="291">
        <v>6.4870668835000007</v>
      </c>
      <c r="K59" s="291">
        <v>-4.7159423927047701</v>
      </c>
      <c r="L59" s="290">
        <v>-4.9798871293393034</v>
      </c>
      <c r="M59" s="289">
        <v>46.620815975999996</v>
      </c>
      <c r="N59" s="291">
        <v>-20.392445523829632</v>
      </c>
      <c r="O59" s="290">
        <v>-21.201031028757914</v>
      </c>
      <c r="P59" s="289"/>
      <c r="Q59" s="291"/>
      <c r="R59" s="290"/>
      <c r="S59" s="504">
        <v>45589.087141203701</v>
      </c>
      <c r="T59" s="478" t="s">
        <v>458</v>
      </c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</row>
    <row r="60" spans="1:37">
      <c r="A60" s="287" t="str">
        <f>'Weigh Sheet'!C71</f>
        <v>ISIRF Bamboo</v>
      </c>
      <c r="B60" s="288">
        <v>56</v>
      </c>
      <c r="C60" s="295">
        <v>1.3919999999999999</v>
      </c>
      <c r="D60" s="295">
        <v>5.3256614999999998</v>
      </c>
      <c r="E60" s="466">
        <v>80485160</v>
      </c>
      <c r="F60" s="294">
        <v>10.28598</v>
      </c>
      <c r="G60" s="466">
        <v>114307688</v>
      </c>
      <c r="H60" s="294"/>
      <c r="I60" s="294"/>
      <c r="J60" s="291">
        <v>2.9710846144</v>
      </c>
      <c r="K60" s="291">
        <v>2.5859824363849424</v>
      </c>
      <c r="L60" s="290">
        <v>2.0863443667700214</v>
      </c>
      <c r="M60" s="289">
        <v>47.757110462599996</v>
      </c>
      <c r="N60" s="291">
        <v>-29.192979685395155</v>
      </c>
      <c r="O60" s="290">
        <v>-30.256879875601687</v>
      </c>
      <c r="P60" s="289"/>
      <c r="Q60" s="291"/>
      <c r="R60" s="290"/>
      <c r="S60" s="504">
        <v>45589.095173611109</v>
      </c>
      <c r="T60" s="478" t="s">
        <v>459</v>
      </c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</row>
    <row r="61" spans="1:37" ht="13" thickBot="1">
      <c r="A61" s="287" t="str">
        <f>'Weigh Sheet'!C72</f>
        <v>NBS 8412 Corn Stalk</v>
      </c>
      <c r="B61" s="288">
        <v>57</v>
      </c>
      <c r="C61" s="295">
        <v>6.407</v>
      </c>
      <c r="D61" s="295">
        <v>5.7796915000000002</v>
      </c>
      <c r="E61" s="466">
        <v>103803808</v>
      </c>
      <c r="F61" s="294">
        <v>38.554416000000003</v>
      </c>
      <c r="G61" s="466">
        <v>562178048</v>
      </c>
      <c r="H61" s="294"/>
      <c r="I61" s="294"/>
      <c r="J61" s="291">
        <v>0.83902581630000006</v>
      </c>
      <c r="K61" s="291">
        <v>11.026239208050031</v>
      </c>
      <c r="L61" s="290">
        <v>10.254164445879892</v>
      </c>
      <c r="M61" s="289">
        <v>50.615946431399998</v>
      </c>
      <c r="N61" s="291">
        <v>-10.078685058907713</v>
      </c>
      <c r="O61" s="290">
        <v>-10.588055259538105</v>
      </c>
      <c r="P61" s="289"/>
      <c r="Q61" s="291"/>
      <c r="R61" s="290"/>
      <c r="S61" s="504">
        <v>45589.103252314817</v>
      </c>
      <c r="T61" s="478" t="s">
        <v>460</v>
      </c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</row>
    <row r="62" spans="1:37" s="19" customFormat="1" ht="25.5" thickTop="1">
      <c r="A62" s="359" t="s">
        <v>0</v>
      </c>
      <c r="B62" s="360" t="s">
        <v>136</v>
      </c>
      <c r="C62" s="361" t="s">
        <v>157</v>
      </c>
      <c r="D62" s="361" t="s">
        <v>68</v>
      </c>
      <c r="E62" s="362" t="s">
        <v>135</v>
      </c>
      <c r="F62" s="363" t="s">
        <v>67</v>
      </c>
      <c r="G62" s="362" t="s">
        <v>208</v>
      </c>
      <c r="H62" s="363" t="s">
        <v>184</v>
      </c>
      <c r="I62" s="358" t="s">
        <v>158</v>
      </c>
      <c r="J62" s="355" t="s">
        <v>160</v>
      </c>
      <c r="K62" s="356" t="s">
        <v>159</v>
      </c>
      <c r="L62" s="357" t="s">
        <v>160</v>
      </c>
      <c r="M62" s="362" t="s">
        <v>209</v>
      </c>
      <c r="N62" s="357" t="s">
        <v>160</v>
      </c>
      <c r="O62" s="338"/>
      <c r="P62" s="339"/>
      <c r="Q62" s="340"/>
      <c r="S62" s="341"/>
    </row>
    <row r="63" spans="1:37" ht="13" thickBot="1">
      <c r="A63" s="364" t="s">
        <v>249</v>
      </c>
      <c r="B63" s="308" t="s">
        <v>137</v>
      </c>
      <c r="C63" s="308">
        <v>7.4989402826592171</v>
      </c>
      <c r="D63" s="308">
        <v>4.2927354420000006</v>
      </c>
      <c r="E63" s="318">
        <v>-12.890511300308667</v>
      </c>
      <c r="F63" s="365">
        <v>33.294437556499993</v>
      </c>
      <c r="G63" s="318"/>
      <c r="H63" s="365"/>
      <c r="I63" s="371">
        <v>0.96772175303127983</v>
      </c>
      <c r="J63" s="372">
        <v>-0.41616708987651529</v>
      </c>
      <c r="K63" s="372">
        <v>1.0290112714286461</v>
      </c>
      <c r="L63" s="373">
        <v>-0.21697473274258172</v>
      </c>
      <c r="M63" s="372"/>
      <c r="N63" s="373"/>
      <c r="O63" s="297"/>
      <c r="P63" s="298"/>
      <c r="Q63" s="184"/>
      <c r="R63" s="2"/>
      <c r="S63"/>
      <c r="T63" s="2"/>
    </row>
    <row r="64" spans="1:37" ht="13" thickTop="1">
      <c r="A64" s="364" t="s">
        <v>255</v>
      </c>
      <c r="B64" s="308" t="s">
        <v>129</v>
      </c>
      <c r="C64" s="308">
        <v>-5.009378479975914</v>
      </c>
      <c r="D64" s="308">
        <v>6.5259674513333339</v>
      </c>
      <c r="E64" s="318">
        <v>-21.201039386165913</v>
      </c>
      <c r="F64" s="365">
        <v>44.925158736166672</v>
      </c>
      <c r="G64" s="318"/>
      <c r="H64" s="365"/>
      <c r="N64" s="43"/>
      <c r="O64" s="43"/>
    </row>
    <row r="65" spans="1:15">
      <c r="A65" s="364" t="s">
        <v>254</v>
      </c>
      <c r="B65" s="308" t="s">
        <v>130</v>
      </c>
      <c r="C65" s="308">
        <v>2.0694573473526137</v>
      </c>
      <c r="D65" s="308">
        <v>3.046377295333333</v>
      </c>
      <c r="E65" s="318">
        <v>-30.291663706283909</v>
      </c>
      <c r="F65" s="365">
        <v>45.850178489166666</v>
      </c>
      <c r="G65" s="318"/>
      <c r="H65" s="365"/>
      <c r="N65" s="43"/>
      <c r="O65" s="43"/>
    </row>
    <row r="66" spans="1:15" ht="13" thickBot="1">
      <c r="A66" s="366" t="s">
        <v>356</v>
      </c>
      <c r="B66" s="367" t="s">
        <v>461</v>
      </c>
      <c r="C66" s="367">
        <v>11.625902657950022</v>
      </c>
      <c r="D66" s="367">
        <v>0.73011740333333341</v>
      </c>
      <c r="E66" s="368">
        <v>-10.841718568997189</v>
      </c>
      <c r="F66" s="369">
        <v>46.118182173666668</v>
      </c>
      <c r="G66" s="368"/>
      <c r="H66" s="369"/>
      <c r="N66" s="43"/>
      <c r="O66" s="43"/>
    </row>
    <row r="67" spans="1:15" ht="13" thickTop="1"/>
    <row r="68" spans="1:15">
      <c r="B68" s="33"/>
      <c r="C68" s="350"/>
      <c r="D68" s="33"/>
      <c r="E68" s="350"/>
      <c r="F68" s="33"/>
      <c r="G68" s="350"/>
      <c r="H68" s="350"/>
      <c r="I68" s="350"/>
      <c r="J68" s="351"/>
    </row>
    <row r="69" spans="1:15">
      <c r="B69" s="33"/>
      <c r="C69" s="352"/>
      <c r="D69" s="352"/>
      <c r="E69" s="353"/>
      <c r="F69" s="354"/>
      <c r="G69" s="350"/>
      <c r="H69" s="350"/>
      <c r="I69" s="350"/>
      <c r="J69" s="351"/>
    </row>
    <row r="70" spans="1:15">
      <c r="B70" s="33"/>
      <c r="C70" s="350"/>
      <c r="D70" s="33"/>
      <c r="E70" s="350"/>
      <c r="F70" s="33"/>
      <c r="G70" s="350"/>
      <c r="H70" s="350"/>
      <c r="I70" s="350"/>
      <c r="J70" s="351"/>
    </row>
    <row r="71" spans="1:15">
      <c r="B71" s="33"/>
      <c r="C71" s="350"/>
      <c r="D71" s="33"/>
      <c r="E71" s="350"/>
      <c r="F71" s="33"/>
      <c r="G71" s="350"/>
      <c r="H71" s="350"/>
      <c r="I71" s="350"/>
      <c r="J71" s="351"/>
    </row>
  </sheetData>
  <protectedRanges>
    <protectedRange password="94AB" sqref="M6:N61 S6:S61 B6:K61 P6:Q61" name="Bills stuff"/>
    <protectedRange password="94AB" sqref="A63:B66" name="Standards"/>
    <protectedRange password="94AB" sqref="C63:D66" name="ISIRF 13C Page"/>
    <protectedRange password="94AB" sqref="E63:H66" name="Standards_1"/>
  </protectedRanges>
  <phoneticPr fontId="0" type="noConversion"/>
  <conditionalFormatting sqref="D6:D61">
    <cfRule type="cellIs" dxfId="13" priority="2" operator="notBetween">
      <formula>1</formula>
      <formula>40</formula>
    </cfRule>
  </conditionalFormatting>
  <conditionalFormatting sqref="F6:F61">
    <cfRule type="cellIs" dxfId="12" priority="1" operator="notBetween">
      <formula>1</formula>
      <formula>40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89"/>
  <sheetViews>
    <sheetView topLeftCell="A4" workbookViewId="0">
      <selection activeCell="D28" sqref="D28:D29"/>
    </sheetView>
  </sheetViews>
  <sheetFormatPr defaultColWidth="9.1796875" defaultRowHeight="11.5"/>
  <cols>
    <col min="1" max="1" width="17.453125" style="31" customWidth="1"/>
    <col min="2" max="2" width="16" style="31" customWidth="1"/>
    <col min="3" max="3" width="25.81640625" style="31" customWidth="1"/>
    <col min="4" max="4" width="18.54296875" style="31" bestFit="1" customWidth="1"/>
    <col min="5" max="5" width="9.453125" style="31" bestFit="1" customWidth="1"/>
    <col min="6" max="6" width="5.54296875" style="31" bestFit="1" customWidth="1"/>
    <col min="7" max="7" width="7.81640625" style="31" bestFit="1" customWidth="1"/>
    <col min="8" max="8" width="8" style="31" bestFit="1" customWidth="1"/>
    <col min="9" max="9" width="9.54296875" style="31" bestFit="1" customWidth="1"/>
    <col min="10" max="10" width="5.81640625" style="31" customWidth="1"/>
    <col min="11" max="11" width="5.453125" style="31" bestFit="1" customWidth="1"/>
    <col min="12" max="12" width="8.81640625" style="31" customWidth="1"/>
    <col min="13" max="13" width="10.7265625" style="31" customWidth="1"/>
    <col min="14" max="14" width="8" style="31" customWidth="1"/>
    <col min="15" max="16384" width="9.1796875" style="31"/>
  </cols>
  <sheetData>
    <row r="1" spans="1:19" ht="12" thickBot="1">
      <c r="A1" s="185" t="s">
        <v>10</v>
      </c>
      <c r="B1" s="186" t="str">
        <f>COVER!C2</f>
        <v>IC13C15N-240610-10KansasROAR-Mix</v>
      </c>
      <c r="C1" s="187"/>
      <c r="D1" s="188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</row>
    <row r="2" spans="1:19" ht="12" thickBot="1">
      <c r="A2" s="190"/>
      <c r="B2" s="191"/>
      <c r="C2" s="192"/>
      <c r="D2" s="192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</row>
    <row r="3" spans="1:19" ht="13.5">
      <c r="A3" s="305" t="s">
        <v>0</v>
      </c>
      <c r="B3" s="306" t="s">
        <v>136</v>
      </c>
      <c r="C3" s="306" t="s">
        <v>213</v>
      </c>
      <c r="D3" s="307" t="s">
        <v>68</v>
      </c>
      <c r="E3" s="189"/>
      <c r="F3" s="189"/>
      <c r="G3" s="189"/>
      <c r="H3" s="189"/>
      <c r="I3" s="189"/>
      <c r="J3" s="189"/>
      <c r="K3" s="189"/>
      <c r="L3" s="189"/>
      <c r="M3" s="189"/>
      <c r="N3" s="189"/>
      <c r="O3" s="189"/>
      <c r="P3" s="189"/>
    </row>
    <row r="4" spans="1:19">
      <c r="A4" s="312" t="str">
        <f>'Weigh Sheet'!C9</f>
        <v>ISIRF Ulva</v>
      </c>
      <c r="B4" s="308" t="s">
        <v>137</v>
      </c>
      <c r="C4" s="308">
        <f>'ISIRF RAW'!C63</f>
        <v>7.4989402826592171</v>
      </c>
      <c r="D4" s="309">
        <f>'ISIRF RAW'!D63</f>
        <v>4.2927354420000006</v>
      </c>
      <c r="E4" s="189"/>
      <c r="F4" s="189"/>
      <c r="G4" s="189"/>
      <c r="H4" s="189"/>
      <c r="I4" s="189"/>
      <c r="J4" s="189"/>
      <c r="K4" s="189"/>
      <c r="L4" s="189"/>
      <c r="M4" s="189"/>
      <c r="N4" s="189"/>
      <c r="O4" s="189"/>
      <c r="P4" s="189"/>
    </row>
    <row r="5" spans="1:19">
      <c r="A5" s="312" t="str">
        <f>'Weigh Sheet'!C10</f>
        <v>ISIRF Chitin</v>
      </c>
      <c r="B5" s="308" t="s">
        <v>129</v>
      </c>
      <c r="C5" s="308">
        <f>'ISIRF RAW'!C64</f>
        <v>-5.009378479975914</v>
      </c>
      <c r="D5" s="309">
        <f>'ISIRF RAW'!D64</f>
        <v>6.5259674513333339</v>
      </c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89"/>
    </row>
    <row r="6" spans="1:19">
      <c r="A6" s="312" t="str">
        <f>'Weigh Sheet'!C11</f>
        <v>ISIRF Bamboo</v>
      </c>
      <c r="B6" s="308" t="s">
        <v>130</v>
      </c>
      <c r="C6" s="308">
        <f>'ISIRF RAW'!C65</f>
        <v>2.0694573473526137</v>
      </c>
      <c r="D6" s="309">
        <f>'ISIRF RAW'!D65</f>
        <v>3.046377295333333</v>
      </c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</row>
    <row r="7" spans="1:19" ht="12" thickBot="1">
      <c r="A7" s="313" t="str">
        <f>'Weigh Sheet'!C12</f>
        <v>NBS 8412 Corn Stalk</v>
      </c>
      <c r="B7" s="310" t="s">
        <v>214</v>
      </c>
      <c r="C7" s="310">
        <f>'ISIRF RAW'!C66</f>
        <v>11.625902657950022</v>
      </c>
      <c r="D7" s="311">
        <f>'ISIRF RAW'!D66</f>
        <v>0.73011740333333341</v>
      </c>
      <c r="E7" s="189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</row>
    <row r="8" spans="1:19" ht="12" thickBot="1">
      <c r="A8" s="193"/>
      <c r="B8" s="193"/>
      <c r="C8" s="193"/>
      <c r="D8" s="193"/>
      <c r="E8" s="193"/>
      <c r="F8" s="193"/>
      <c r="G8" s="193"/>
      <c r="H8" s="193"/>
      <c r="I8" s="193"/>
      <c r="J8" s="194"/>
      <c r="K8" s="193"/>
      <c r="L8" s="194"/>
      <c r="M8" s="194"/>
      <c r="N8" s="194"/>
      <c r="O8" s="194"/>
      <c r="P8" s="194"/>
      <c r="Q8" s="30"/>
      <c r="R8" s="30"/>
      <c r="S8" s="30"/>
    </row>
    <row r="9" spans="1:19" ht="12" customHeight="1">
      <c r="A9" s="195" t="s">
        <v>80</v>
      </c>
      <c r="B9" s="485"/>
      <c r="C9" s="486"/>
      <c r="D9" s="195"/>
      <c r="E9" s="195"/>
      <c r="F9" s="195"/>
      <c r="G9" s="195"/>
      <c r="H9" s="195"/>
      <c r="I9" s="195"/>
      <c r="J9" s="196"/>
      <c r="K9" s="196"/>
      <c r="L9" s="197"/>
      <c r="M9" s="189"/>
      <c r="N9" s="240"/>
      <c r="O9" s="333"/>
      <c r="P9" s="333"/>
      <c r="Q9" s="242"/>
    </row>
    <row r="10" spans="1:19" ht="27">
      <c r="A10" s="198" t="s">
        <v>75</v>
      </c>
      <c r="B10" s="487" t="s">
        <v>76</v>
      </c>
      <c r="C10" s="488"/>
      <c r="D10" s="199" t="s">
        <v>0</v>
      </c>
      <c r="E10" s="199" t="s">
        <v>77</v>
      </c>
      <c r="F10" s="199" t="s">
        <v>132</v>
      </c>
      <c r="G10" s="199" t="s">
        <v>78</v>
      </c>
      <c r="H10" s="200" t="s">
        <v>211</v>
      </c>
      <c r="I10" s="201" t="s">
        <v>140</v>
      </c>
      <c r="J10" s="202" t="s">
        <v>68</v>
      </c>
      <c r="K10" s="203" t="s">
        <v>213</v>
      </c>
      <c r="L10" s="204" t="s">
        <v>97</v>
      </c>
      <c r="M10" s="189"/>
      <c r="N10" s="258"/>
      <c r="O10" s="333"/>
      <c r="P10" s="333"/>
      <c r="Q10" s="242"/>
    </row>
    <row r="11" spans="1:19" ht="12" customHeight="1">
      <c r="A11" s="499">
        <f>'ISIRF RAW'!S8</f>
        <v>45588.675474537034</v>
      </c>
      <c r="B11" s="489" t="str">
        <f>'ISIRF RAW'!T8</f>
        <v>IC13C15N-240610-10KansasROAR-Mix_3.raw</v>
      </c>
      <c r="C11" s="490"/>
      <c r="D11" s="446" t="str">
        <f>'ISIRF RAW'!A8</f>
        <v>ISIRF Ulva</v>
      </c>
      <c r="E11" s="447" t="str">
        <f>$B$4</f>
        <v>QC.STD</v>
      </c>
      <c r="F11" s="446">
        <f>'ISIRF RAW'!B8</f>
        <v>4</v>
      </c>
      <c r="G11" s="447">
        <f>'ISIRF RAW'!C8</f>
        <v>1.276</v>
      </c>
      <c r="H11" s="447">
        <f>'ISIRF RAW'!D8</f>
        <v>5.9308284999999996</v>
      </c>
      <c r="I11" s="467">
        <f>'ISIRF RAW'!E8</f>
        <v>90634464</v>
      </c>
      <c r="J11" s="447">
        <f>'ISIRF RAW'!J8</f>
        <v>3.7791571937000006</v>
      </c>
      <c r="K11" s="447">
        <f>'ISIRF RAW'!L8</f>
        <v>7.429469148092366</v>
      </c>
      <c r="L11" s="448"/>
      <c r="M11" s="189"/>
      <c r="N11" s="242"/>
      <c r="O11" s="334"/>
      <c r="P11" s="334"/>
      <c r="Q11" s="242"/>
    </row>
    <row r="12" spans="1:19" ht="12" customHeight="1">
      <c r="A12" s="500">
        <f>'ISIRF RAW'!S21</f>
        <v>45588.780023148145</v>
      </c>
      <c r="B12" s="491" t="str">
        <f>'ISIRF RAW'!T21</f>
        <v>IC13C15N-240610-10KansasROAR-Mix_16.raw</v>
      </c>
      <c r="C12" s="492"/>
      <c r="D12" s="449" t="str">
        <f>'ISIRF RAW'!A21</f>
        <v>ISIRF Ulva</v>
      </c>
      <c r="E12" s="450" t="str">
        <f>$B$4</f>
        <v>QC.STD</v>
      </c>
      <c r="F12" s="449">
        <f>'ISIRF RAW'!B21</f>
        <v>17</v>
      </c>
      <c r="G12" s="450">
        <f>'ISIRF RAW'!C21</f>
        <v>1.1919999999999999</v>
      </c>
      <c r="H12" s="450">
        <f>'ISIRF RAW'!D21</f>
        <v>6.4144969999999999</v>
      </c>
      <c r="I12" s="468">
        <f>'ISIRF RAW'!E21</f>
        <v>99723088</v>
      </c>
      <c r="J12" s="450">
        <f>'ISIRF RAW'!J21</f>
        <v>4.3353683023</v>
      </c>
      <c r="K12" s="450">
        <f>'ISIRF RAW'!L21</f>
        <v>7.3702207049018114</v>
      </c>
      <c r="L12" s="451"/>
      <c r="M12" s="189"/>
      <c r="N12" s="242"/>
      <c r="O12" s="334"/>
      <c r="P12" s="334"/>
      <c r="Q12" s="242"/>
    </row>
    <row r="13" spans="1:19" ht="12" customHeight="1">
      <c r="A13" s="500">
        <f>'ISIRF RAW'!S33</f>
        <v>45588.876863425925</v>
      </c>
      <c r="B13" s="491" t="str">
        <f>'ISIRF RAW'!T33</f>
        <v>IC13C15N-240610-10KansasROAR-Mix_28.raw</v>
      </c>
      <c r="C13" s="492"/>
      <c r="D13" s="449" t="str">
        <f>'ISIRF RAW'!A33</f>
        <v>ISIRF Ulva</v>
      </c>
      <c r="E13" s="450" t="str">
        <f>$B$4</f>
        <v>QC.STD</v>
      </c>
      <c r="F13" s="449">
        <f>'ISIRF RAW'!B33</f>
        <v>29</v>
      </c>
      <c r="G13" s="450">
        <f>'ISIRF RAW'!C33</f>
        <v>1.123</v>
      </c>
      <c r="H13" s="450">
        <f>'ISIRF RAW'!D33</f>
        <v>5.8188864999999996</v>
      </c>
      <c r="I13" s="468">
        <f>'ISIRF RAW'!E33</f>
        <v>88030392</v>
      </c>
      <c r="J13" s="450">
        <f>'ISIRF RAW'!J33</f>
        <v>4.1315255478000008</v>
      </c>
      <c r="K13" s="450">
        <f>'ISIRF RAW'!L33</f>
        <v>7.6399837563454085</v>
      </c>
      <c r="L13" s="451"/>
      <c r="M13" s="189"/>
      <c r="N13" s="242"/>
      <c r="O13" s="334"/>
      <c r="P13" s="334"/>
      <c r="Q13" s="242"/>
    </row>
    <row r="14" spans="1:19" ht="12" customHeight="1">
      <c r="A14" s="500">
        <f>'ISIRF RAW'!S46</f>
        <v>45588.982094907406</v>
      </c>
      <c r="B14" s="491" t="str">
        <f>'ISIRF RAW'!T46</f>
        <v>IC13C15N-240610-10KansasROAR-Mix_41.raw</v>
      </c>
      <c r="C14" s="492"/>
      <c r="D14" s="449" t="str">
        <f>'ISIRF RAW'!A46</f>
        <v>ISIRF Ulva</v>
      </c>
      <c r="E14" s="450" t="str">
        <f>$B$4</f>
        <v>QC.STD</v>
      </c>
      <c r="F14" s="449">
        <f>'ISIRF RAW'!B46</f>
        <v>42</v>
      </c>
      <c r="G14" s="450">
        <f>'ISIRF RAW'!C46</f>
        <v>1.1439999999999999</v>
      </c>
      <c r="H14" s="450">
        <f>'ISIRF RAW'!D46</f>
        <v>6.0359990000000003</v>
      </c>
      <c r="I14" s="468">
        <f>'ISIRF RAW'!E46</f>
        <v>91565168</v>
      </c>
      <c r="J14" s="450">
        <f>'ISIRF RAW'!J46</f>
        <v>4.0500308932999998</v>
      </c>
      <c r="K14" s="450">
        <f>'ISIRF RAW'!L46</f>
        <v>7.5056429950950871</v>
      </c>
      <c r="L14" s="451"/>
      <c r="M14" s="189"/>
      <c r="N14" s="242"/>
      <c r="O14" s="334"/>
      <c r="P14" s="334"/>
      <c r="Q14" s="242"/>
    </row>
    <row r="15" spans="1:19" ht="12" customHeight="1">
      <c r="A15" s="501">
        <f>'ISIRF RAW'!S58</f>
        <v>45589.079108796293</v>
      </c>
      <c r="B15" s="493" t="str">
        <f>'ISIRF RAW'!T58</f>
        <v>IC13C15N-240610-10KansasROAR-Mix_53.raw</v>
      </c>
      <c r="C15" s="494"/>
      <c r="D15" s="458" t="str">
        <f>'ISIRF RAW'!A58</f>
        <v>ISIRF Ulva</v>
      </c>
      <c r="E15" s="459" t="str">
        <f>$B$4</f>
        <v>QC.STD</v>
      </c>
      <c r="F15" s="458">
        <f>'ISIRF RAW'!B58</f>
        <v>54</v>
      </c>
      <c r="G15" s="459">
        <f>'ISIRF RAW'!C58</f>
        <v>1.254</v>
      </c>
      <c r="H15" s="459">
        <f>'ISIRF RAW'!D58</f>
        <v>6.7827190000000002</v>
      </c>
      <c r="I15" s="469">
        <f>'ISIRF RAW'!E58</f>
        <v>101819856</v>
      </c>
      <c r="J15" s="459">
        <f>'ISIRF RAW'!J58</f>
        <v>4.3204077098000004</v>
      </c>
      <c r="K15" s="459">
        <f>'ISIRF RAW'!L58</f>
        <v>7.550140202489894</v>
      </c>
      <c r="L15" s="460"/>
      <c r="M15" s="189"/>
      <c r="N15" s="242"/>
      <c r="O15" s="334"/>
      <c r="P15" s="334"/>
      <c r="Q15" s="242"/>
    </row>
    <row r="16" spans="1:19" ht="12" customHeight="1">
      <c r="A16" s="502">
        <f>'ISIRF RAW'!S9</f>
        <v>45588.683518518519</v>
      </c>
      <c r="B16" s="495" t="str">
        <f>'ISIRF RAW'!T9</f>
        <v>IC13C15N-240610-10KansasROAR-Mix_4.raw</v>
      </c>
      <c r="C16" s="496"/>
      <c r="D16" s="456" t="str">
        <f>'ISIRF RAW'!A9</f>
        <v>ISIRF Chitin</v>
      </c>
      <c r="E16" s="456" t="str">
        <f t="shared" ref="E16:E18" si="0">B$5</f>
        <v>Cal-H.STD</v>
      </c>
      <c r="F16" s="455">
        <f>'ISIRF RAW'!B9</f>
        <v>5</v>
      </c>
      <c r="G16" s="456">
        <f>'ISIRF RAW'!C9</f>
        <v>1.038</v>
      </c>
      <c r="H16" s="456">
        <f>'ISIRF RAW'!D9</f>
        <v>10.194267</v>
      </c>
      <c r="I16" s="470">
        <f>'ISIRF RAW'!E9</f>
        <v>150292480</v>
      </c>
      <c r="J16" s="456">
        <f>'ISIRF RAW'!J9</f>
        <v>7.2603709626000006</v>
      </c>
      <c r="K16" s="456">
        <f>'ISIRF RAW'!L9</f>
        <v>-5.0677687588221936</v>
      </c>
      <c r="L16" s="457"/>
      <c r="M16" s="189"/>
      <c r="N16" s="242"/>
      <c r="O16" s="334"/>
      <c r="P16" s="334"/>
      <c r="Q16" s="242"/>
    </row>
    <row r="17" spans="1:19" ht="12" customHeight="1">
      <c r="A17" s="500">
        <f>'ISIRF RAW'!S34</f>
        <v>45588.88490740741</v>
      </c>
      <c r="B17" s="491" t="str">
        <f>'ISIRF RAW'!T34</f>
        <v>IC13C15N-240610-10KansasROAR-Mix_29.raw</v>
      </c>
      <c r="C17" s="492"/>
      <c r="D17" s="450" t="str">
        <f>'ISIRF RAW'!A34</f>
        <v>ISIRF Chitin</v>
      </c>
      <c r="E17" s="450" t="str">
        <f t="shared" si="0"/>
        <v>Cal-H.STD</v>
      </c>
      <c r="F17" s="449">
        <f>'ISIRF RAW'!B34</f>
        <v>30</v>
      </c>
      <c r="G17" s="450">
        <f>'ISIRF RAW'!C34</f>
        <v>1.069</v>
      </c>
      <c r="H17" s="450">
        <f>'ISIRF RAW'!D34</f>
        <v>8.8813490000000002</v>
      </c>
      <c r="I17" s="468">
        <f>'ISIRF RAW'!E34</f>
        <v>134010720</v>
      </c>
      <c r="J17" s="450">
        <f>'ISIRF RAW'!J34</f>
        <v>6.40255098</v>
      </c>
      <c r="K17" s="450">
        <f>'ISIRF RAW'!L34</f>
        <v>-4.9710601933749299</v>
      </c>
      <c r="L17" s="451"/>
      <c r="M17" s="189"/>
      <c r="N17" s="242"/>
      <c r="O17" s="334"/>
      <c r="P17" s="334"/>
      <c r="Q17" s="242"/>
    </row>
    <row r="18" spans="1:19" ht="12" customHeight="1">
      <c r="A18" s="501">
        <f>'ISIRF RAW'!S59</f>
        <v>45589.087141203701</v>
      </c>
      <c r="B18" s="493" t="str">
        <f>'ISIRF RAW'!T59</f>
        <v>IC13C15N-240610-10KansasROAR-Mix_54.raw</v>
      </c>
      <c r="C18" s="494"/>
      <c r="D18" s="459" t="str">
        <f>'ISIRF RAW'!A59</f>
        <v>ISIRF Chitin</v>
      </c>
      <c r="E18" s="459" t="str">
        <f t="shared" si="0"/>
        <v>Cal-H.STD</v>
      </c>
      <c r="F18" s="458">
        <f>'ISIRF RAW'!B59</f>
        <v>55</v>
      </c>
      <c r="G18" s="459">
        <f>'ISIRF RAW'!C59</f>
        <v>1.077</v>
      </c>
      <c r="H18" s="459">
        <f>'ISIRF RAW'!D59</f>
        <v>9.1782979999999998</v>
      </c>
      <c r="I18" s="469">
        <f>'ISIRF RAW'!E59</f>
        <v>136139440</v>
      </c>
      <c r="J18" s="459">
        <f>'ISIRF RAW'!J59</f>
        <v>6.4870668835000007</v>
      </c>
      <c r="K18" s="459">
        <f>'ISIRF RAW'!L59</f>
        <v>-4.9798871293393034</v>
      </c>
      <c r="L18" s="460"/>
      <c r="M18" s="189"/>
      <c r="N18" s="335"/>
      <c r="O18" s="335"/>
      <c r="P18" s="335"/>
      <c r="Q18" s="242"/>
    </row>
    <row r="19" spans="1:19" ht="12" customHeight="1">
      <c r="A19" s="502">
        <f>'ISIRF RAW'!S10</f>
        <v>45588.691516203704</v>
      </c>
      <c r="B19" s="495" t="str">
        <f>'ISIRF RAW'!T10</f>
        <v>IC13C15N-240610-10KansasROAR-Mix_5.raw</v>
      </c>
      <c r="C19" s="496"/>
      <c r="D19" s="455" t="str">
        <f>'ISIRF RAW'!A10</f>
        <v>ISIRF Bamboo</v>
      </c>
      <c r="E19" s="455" t="str">
        <f t="shared" ref="E19:E21" si="1">B$6</f>
        <v>Cal-L.STD</v>
      </c>
      <c r="F19" s="455">
        <f>'ISIRF RAW'!B10</f>
        <v>6</v>
      </c>
      <c r="G19" s="456">
        <f>'ISIRF RAW'!C10</f>
        <v>1.597</v>
      </c>
      <c r="H19" s="456">
        <f>'ISIRF RAW'!D10</f>
        <v>6.1373804999999999</v>
      </c>
      <c r="I19" s="470">
        <f>'ISIRF RAW'!E10</f>
        <v>92285552</v>
      </c>
      <c r="J19" s="456">
        <f>'ISIRF RAW'!J10</f>
        <v>2.9548431122000003</v>
      </c>
      <c r="K19" s="456">
        <f>'ISIRF RAW'!L10</f>
        <v>2.1341035372694113</v>
      </c>
      <c r="L19" s="457"/>
      <c r="M19" s="189"/>
      <c r="N19" s="335"/>
      <c r="O19" s="335"/>
      <c r="P19" s="335"/>
      <c r="Q19" s="242"/>
    </row>
    <row r="20" spans="1:19" ht="12" customHeight="1">
      <c r="A20" s="500">
        <f>'ISIRF RAW'!S35</f>
        <v>45588.892997685187</v>
      </c>
      <c r="B20" s="491" t="str">
        <f>'ISIRF RAW'!T35</f>
        <v>IC13C15N-240610-10KansasROAR-Mix_30.raw</v>
      </c>
      <c r="C20" s="492"/>
      <c r="D20" s="449" t="str">
        <f>'ISIRF RAW'!A35</f>
        <v>ISIRF Bamboo</v>
      </c>
      <c r="E20" s="449" t="str">
        <f t="shared" si="1"/>
        <v>Cal-L.STD</v>
      </c>
      <c r="F20" s="449">
        <f>'ISIRF RAW'!B35</f>
        <v>31</v>
      </c>
      <c r="G20" s="450">
        <f>'ISIRF RAW'!C35</f>
        <v>1.526</v>
      </c>
      <c r="H20" s="450">
        <f>'ISIRF RAW'!D35</f>
        <v>5.7106640000000004</v>
      </c>
      <c r="I20" s="468">
        <f>'ISIRF RAW'!E35</f>
        <v>85068096</v>
      </c>
      <c r="J20" s="450">
        <f>'ISIRF RAW'!J35</f>
        <v>2.8713908881000001</v>
      </c>
      <c r="K20" s="450">
        <f>'ISIRF RAW'!L35</f>
        <v>1.9777493859986168</v>
      </c>
      <c r="L20" s="451"/>
      <c r="M20" s="194"/>
      <c r="N20" s="335"/>
      <c r="O20" s="335"/>
      <c r="P20" s="335"/>
      <c r="Q20" s="242"/>
    </row>
    <row r="21" spans="1:19" ht="12" customHeight="1">
      <c r="A21" s="501">
        <f>'ISIRF RAW'!S60</f>
        <v>45589.095173611109</v>
      </c>
      <c r="B21" s="493" t="str">
        <f>'ISIRF RAW'!T60</f>
        <v>IC13C15N-240610-10KansasROAR-Mix_55.raw</v>
      </c>
      <c r="C21" s="494"/>
      <c r="D21" s="458" t="str">
        <f>'ISIRF RAW'!A60</f>
        <v>ISIRF Bamboo</v>
      </c>
      <c r="E21" s="458" t="str">
        <f t="shared" si="1"/>
        <v>Cal-L.STD</v>
      </c>
      <c r="F21" s="458">
        <f>'ISIRF RAW'!B60</f>
        <v>56</v>
      </c>
      <c r="G21" s="459">
        <f>'ISIRF RAW'!C60</f>
        <v>1.3919999999999999</v>
      </c>
      <c r="H21" s="459">
        <f>'ISIRF RAW'!D60</f>
        <v>5.3256614999999998</v>
      </c>
      <c r="I21" s="469">
        <f>'ISIRF RAW'!E60</f>
        <v>80485160</v>
      </c>
      <c r="J21" s="459">
        <f>'ISIRF RAW'!J60</f>
        <v>2.9710846144</v>
      </c>
      <c r="K21" s="459">
        <f>'ISIRF RAW'!L60</f>
        <v>2.0863443667700214</v>
      </c>
      <c r="L21" s="460"/>
      <c r="M21" s="189"/>
      <c r="N21" s="336"/>
      <c r="O21" s="242"/>
      <c r="P21" s="242"/>
      <c r="Q21" s="242"/>
    </row>
    <row r="22" spans="1:19" ht="12" customHeight="1">
      <c r="A22" s="502">
        <f>'ISIRF RAW'!S11</f>
        <v>45588.699571759258</v>
      </c>
      <c r="B22" s="495" t="str">
        <f>'ISIRF RAW'!T11</f>
        <v>IC13C15N-240610-10KansasROAR-Mix_6.raw</v>
      </c>
      <c r="C22" s="496"/>
      <c r="D22" s="455" t="str">
        <f>'ISIRF RAW'!A11</f>
        <v>NBS 8412 Corn Stalk</v>
      </c>
      <c r="E22" s="456" t="s">
        <v>165</v>
      </c>
      <c r="F22" s="455">
        <f>'ISIRF RAW'!B11</f>
        <v>7</v>
      </c>
      <c r="G22" s="456">
        <f>'ISIRF RAW'!C11</f>
        <v>6.5990000000000002</v>
      </c>
      <c r="H22" s="456">
        <f>'ISIRF RAW'!D11</f>
        <v>5.6588430000000001</v>
      </c>
      <c r="I22" s="470">
        <f>'ISIRF RAW'!E11</f>
        <v>103271760</v>
      </c>
      <c r="J22" s="456">
        <f>'ISIRF RAW'!J11</f>
        <v>0.80436385050000003</v>
      </c>
      <c r="K22" s="456">
        <f>'ISIRF RAW'!L11</f>
        <v>10.355653617131804</v>
      </c>
      <c r="L22" s="457"/>
      <c r="M22" s="189"/>
      <c r="N22" s="242"/>
      <c r="O22" s="242"/>
      <c r="P22" s="242"/>
      <c r="Q22" s="242"/>
      <c r="R22" s="30"/>
    </row>
    <row r="23" spans="1:19" ht="12" customHeight="1">
      <c r="A23" s="500">
        <f>'ISIRF RAW'!S36</f>
        <v>45588.901064814818</v>
      </c>
      <c r="B23" s="491" t="str">
        <f>'ISIRF RAW'!T36</f>
        <v>IC13C15N-240610-10KansasROAR-Mix_31.raw</v>
      </c>
      <c r="C23" s="492"/>
      <c r="D23" s="449" t="str">
        <f>'ISIRF RAW'!A36</f>
        <v>NBS 8412 Corn Stalk</v>
      </c>
      <c r="E23" s="450" t="s">
        <v>165</v>
      </c>
      <c r="F23" s="449">
        <f>'ISIRF RAW'!B36</f>
        <v>32</v>
      </c>
      <c r="G23" s="450">
        <f>'ISIRF RAW'!C36</f>
        <v>6.5529999999999999</v>
      </c>
      <c r="H23" s="450">
        <f>'ISIRF RAW'!D36</f>
        <v>5.2922120000000001</v>
      </c>
      <c r="I23" s="468">
        <f>'ISIRF RAW'!E36</f>
        <v>96283296</v>
      </c>
      <c r="J23" s="450">
        <f>'ISIRF RAW'!J36</f>
        <v>0.74875206140000006</v>
      </c>
      <c r="K23" s="450">
        <f>'ISIRF RAW'!L36</f>
        <v>10.271212988949415</v>
      </c>
      <c r="L23" s="451"/>
      <c r="M23" s="189"/>
      <c r="N23" s="242"/>
      <c r="O23" s="242"/>
      <c r="P23" s="242"/>
      <c r="Q23" s="242"/>
    </row>
    <row r="24" spans="1:19" ht="12.75" customHeight="1" thickBot="1">
      <c r="A24" s="503">
        <f>'ISIRF RAW'!S61</f>
        <v>45589.103252314817</v>
      </c>
      <c r="B24" s="497" t="str">
        <f>'ISIRF RAW'!T61</f>
        <v>IC13C15N-240610-10KansasROAR-Mix_56.raw</v>
      </c>
      <c r="C24" s="498"/>
      <c r="D24" s="452" t="str">
        <f>'ISIRF RAW'!A61</f>
        <v>NBS 8412 Corn Stalk</v>
      </c>
      <c r="E24" s="453" t="s">
        <v>165</v>
      </c>
      <c r="F24" s="452">
        <f>'ISIRF RAW'!B61</f>
        <v>57</v>
      </c>
      <c r="G24" s="453">
        <f>'ISIRF RAW'!C61</f>
        <v>6.407</v>
      </c>
      <c r="H24" s="453">
        <f>'ISIRF RAW'!D61</f>
        <v>5.7796915000000002</v>
      </c>
      <c r="I24" s="471">
        <f>'ISIRF RAW'!E61</f>
        <v>103803808</v>
      </c>
      <c r="J24" s="453">
        <f>'ISIRF RAW'!J61</f>
        <v>0.83902581630000006</v>
      </c>
      <c r="K24" s="453">
        <f>'ISIRF RAW'!L61</f>
        <v>10.254164445879892</v>
      </c>
      <c r="L24" s="454"/>
      <c r="M24" s="189"/>
      <c r="N24" s="189"/>
      <c r="O24" s="194"/>
      <c r="P24" s="194"/>
      <c r="Q24" s="189"/>
    </row>
    <row r="25" spans="1:19" ht="12" thickBot="1">
      <c r="A25" s="189"/>
      <c r="B25" s="189"/>
      <c r="C25" s="208"/>
      <c r="D25" s="208"/>
      <c r="E25" s="209"/>
      <c r="F25" s="210"/>
      <c r="G25" s="210"/>
      <c r="H25" s="210"/>
      <c r="I25" s="210"/>
      <c r="J25" s="211"/>
      <c r="K25" s="211"/>
      <c r="L25" s="189"/>
      <c r="M25" s="189"/>
      <c r="N25" s="189"/>
      <c r="O25" s="189"/>
      <c r="P25" s="189"/>
    </row>
    <row r="26" spans="1:19" ht="13.5">
      <c r="A26" s="212" t="s">
        <v>70</v>
      </c>
      <c r="B26" s="213" t="s">
        <v>141</v>
      </c>
      <c r="C26" s="214" t="s">
        <v>144</v>
      </c>
      <c r="D26" s="215"/>
      <c r="E26" s="213"/>
      <c r="F26" s="216" t="s">
        <v>68</v>
      </c>
      <c r="G26" s="215"/>
      <c r="H26" s="217" t="s">
        <v>2</v>
      </c>
      <c r="I26" s="218"/>
      <c r="J26" s="218"/>
      <c r="K26" s="218"/>
      <c r="L26" s="189"/>
      <c r="M26" s="189"/>
      <c r="N26" s="189"/>
      <c r="O26" s="189"/>
      <c r="P26" s="189"/>
    </row>
    <row r="27" spans="1:19" ht="13" thickBot="1">
      <c r="A27" s="219"/>
      <c r="B27" s="220" t="s">
        <v>1</v>
      </c>
      <c r="C27" s="221" t="s">
        <v>142</v>
      </c>
      <c r="D27" s="222" t="s">
        <v>5</v>
      </c>
      <c r="E27" s="220" t="s">
        <v>1</v>
      </c>
      <c r="F27" s="221" t="s">
        <v>143</v>
      </c>
      <c r="G27" s="222" t="s">
        <v>231</v>
      </c>
      <c r="H27" s="223" t="s">
        <v>3</v>
      </c>
      <c r="I27" s="218"/>
      <c r="J27" s="218"/>
      <c r="K27" s="218"/>
      <c r="L27" s="189"/>
      <c r="M27" s="189"/>
      <c r="N27" s="189"/>
      <c r="O27" s="189"/>
      <c r="P27" s="189"/>
    </row>
    <row r="28" spans="1:19" s="32" customFormat="1" ht="13" thickTop="1">
      <c r="A28" s="224" t="s">
        <v>25</v>
      </c>
      <c r="B28" s="225">
        <f>AVERAGE('ISIRF RAW'!L12,'ISIRF RAW'!L56)</f>
        <v>5.9045748176075374</v>
      </c>
      <c r="C28" s="226">
        <f>VAR('ISIRF RAW'!L12,'ISIRF RAW'!L56)</f>
        <v>1.0280020382455818E-2</v>
      </c>
      <c r="D28" s="227">
        <f>STDEV('ISIRF RAW'!L12,'ISIRF RAW'!L56)</f>
        <v>0.10139043535982976</v>
      </c>
      <c r="E28" s="225">
        <f>AVERAGE('ISIRF RAW'!J12,'ISIRF RAW'!J56)</f>
        <v>0.1342108719</v>
      </c>
      <c r="F28" s="226">
        <f>VAR('ISIRF RAW'!J12,'ISIRF RAW'!J56)</f>
        <v>1.0584390695439788E-5</v>
      </c>
      <c r="G28" s="227">
        <f>(STDEV('ISIRF RAW'!J12,'ISIRF RAW'!J56))/E28</f>
        <v>2.4240704274644531E-2</v>
      </c>
      <c r="H28" s="228">
        <f>COUNT('ISIRF RAW'!J12,'ISIRF RAW'!J56)</f>
        <v>2</v>
      </c>
      <c r="I28" s="218"/>
      <c r="J28" s="218"/>
      <c r="K28" s="218"/>
      <c r="L28" s="242"/>
      <c r="M28" s="189"/>
      <c r="N28" s="189"/>
      <c r="O28" s="189"/>
      <c r="P28" s="189"/>
    </row>
    <row r="29" spans="1:19" s="32" customFormat="1" ht="13" thickBot="1">
      <c r="A29" s="224" t="s">
        <v>26</v>
      </c>
      <c r="B29" s="229">
        <f>AVERAGE('ISIRF RAW'!L26:L27)</f>
        <v>4.2757735804480861</v>
      </c>
      <c r="C29" s="226">
        <f>VAR('ISIRF RAW'!L26:L27)</f>
        <v>9.0694606143240543E-6</v>
      </c>
      <c r="D29" s="227">
        <f>STDEV('ISIRF RAW'!L26:L27)</f>
        <v>3.0115545179066664E-3</v>
      </c>
      <c r="E29" s="229">
        <f>AVERAGE('ISIRF RAW'!J26:J27)</f>
        <v>0.19752975900000003</v>
      </c>
      <c r="F29" s="226">
        <f>VAR('ISIRF RAW'!J26:J27)</f>
        <v>3.1589567470580138E-6</v>
      </c>
      <c r="G29" s="227">
        <f>(STDEV('ISIRF RAW'!J26:J27))/E29</f>
        <v>8.9978615395583279E-3</v>
      </c>
      <c r="H29" s="230">
        <f>COUNT('ISIRF RAW'!J26:J27)</f>
        <v>2</v>
      </c>
      <c r="I29" s="218"/>
      <c r="J29" s="218"/>
      <c r="K29" s="218"/>
      <c r="L29" s="242"/>
      <c r="M29" s="189"/>
      <c r="N29" s="189"/>
      <c r="O29" s="189"/>
      <c r="P29" s="189"/>
    </row>
    <row r="30" spans="1:19" ht="13" thickTop="1">
      <c r="A30" s="231" t="str">
        <f>B4</f>
        <v>QC.STD</v>
      </c>
      <c r="B30" s="225">
        <f>AVERAGE(K11:K15)</f>
        <v>7.4990913613849131</v>
      </c>
      <c r="C30" s="232">
        <f>VAR(K11:K15)</f>
        <v>1.0988618431569161E-2</v>
      </c>
      <c r="D30" s="233">
        <f>STDEV(K11:K15)</f>
        <v>0.10482661127580707</v>
      </c>
      <c r="E30" s="225">
        <f>AVERAGE(J11:J15)</f>
        <v>4.1232979293800005</v>
      </c>
      <c r="F30" s="232">
        <f>VAR(J11:J15)</f>
        <v>5.1923676710708272E-2</v>
      </c>
      <c r="G30" s="233">
        <f>(STDEV(J11:J15))/E30</f>
        <v>5.5263451147094515E-2</v>
      </c>
      <c r="H30" s="234">
        <f>COUNT(J11:J15)</f>
        <v>5</v>
      </c>
      <c r="I30" s="218"/>
      <c r="J30" s="218"/>
      <c r="K30" s="235"/>
      <c r="L30" s="194"/>
      <c r="M30" s="194"/>
      <c r="N30" s="189"/>
      <c r="O30" s="189"/>
      <c r="P30" s="194"/>
      <c r="Q30" s="30"/>
      <c r="R30" s="30"/>
      <c r="S30" s="30"/>
    </row>
    <row r="31" spans="1:19">
      <c r="A31" s="236" t="str">
        <f>B5</f>
        <v>Cal-H.STD</v>
      </c>
      <c r="B31" s="237">
        <f>AVERAGE(K16:K18)</f>
        <v>-5.0062386938454759</v>
      </c>
      <c r="C31" s="238">
        <f>VAR(K16:K18)</f>
        <v>2.858940371659137E-3</v>
      </c>
      <c r="D31" s="239">
        <f>STDEV(K16:K18)</f>
        <v>5.3469059947404508E-2</v>
      </c>
      <c r="E31" s="237">
        <f>AVERAGE(J16:J18)</f>
        <v>6.7166629420333335</v>
      </c>
      <c r="F31" s="238">
        <f>VAR(J16:J18)</f>
        <v>0.2234995432074976</v>
      </c>
      <c r="G31" s="374">
        <f>(STDEV(J16:J18))/E31</f>
        <v>7.0385753626174608E-2</v>
      </c>
      <c r="H31" s="230">
        <f>COUNT(J16:J18)</f>
        <v>3</v>
      </c>
      <c r="I31" s="189"/>
      <c r="J31" s="189"/>
      <c r="K31" s="189"/>
      <c r="L31" s="194"/>
      <c r="M31" s="194"/>
      <c r="N31" s="189"/>
      <c r="O31" s="189"/>
      <c r="P31" s="194"/>
      <c r="Q31" s="30"/>
      <c r="R31" s="30"/>
      <c r="S31" s="30"/>
    </row>
    <row r="32" spans="1:19" ht="12" thickBot="1">
      <c r="A32" s="531" t="str">
        <f>B6</f>
        <v>Cal-L.STD</v>
      </c>
      <c r="B32" s="532">
        <f>AVERAGE(K19:K21)</f>
        <v>2.0660657633460162</v>
      </c>
      <c r="C32" s="533">
        <f>VAR(K19:K21)</f>
        <v>6.4200714725236654E-3</v>
      </c>
      <c r="D32" s="534">
        <f>STDEV(K19:K21)</f>
        <v>8.0125348501729879E-2</v>
      </c>
      <c r="E32" s="532">
        <f>AVERAGE(J19:J21)</f>
        <v>2.9324395382333335</v>
      </c>
      <c r="F32" s="533">
        <f>VAR(J19:J21)</f>
        <v>2.8611498607547586E-3</v>
      </c>
      <c r="G32" s="535">
        <f>(STDEV(J19:J21))/E32</f>
        <v>1.8240688900571712E-2</v>
      </c>
      <c r="H32" s="524">
        <f>COUNT(J19:J21)</f>
        <v>3</v>
      </c>
      <c r="I32" s="189"/>
      <c r="J32" s="189"/>
      <c r="K32" s="189"/>
      <c r="L32" s="194"/>
      <c r="M32" s="194"/>
      <c r="N32" s="194"/>
      <c r="O32" s="194"/>
      <c r="P32" s="194"/>
      <c r="Q32" s="30"/>
      <c r="R32" s="30"/>
      <c r="S32" s="30"/>
    </row>
    <row r="33" spans="1:19" ht="12.5" thickTop="1" thickBot="1">
      <c r="A33" s="525" t="str">
        <f>B7</f>
        <v>Check QC</v>
      </c>
      <c r="B33" s="526">
        <f>AVERAGE(K22:K24)</f>
        <v>10.29367701732037</v>
      </c>
      <c r="C33" s="527">
        <f>VAR(K22:K24)</f>
        <v>2.9534873983382568E-3</v>
      </c>
      <c r="D33" s="528">
        <f>STDEV(K22:K24)</f>
        <v>5.4345997077413687E-2</v>
      </c>
      <c r="E33" s="526">
        <f>AVERAGE(J22:J24)</f>
        <v>0.79738057606666668</v>
      </c>
      <c r="F33" s="527">
        <f>VAR(J22:J24)</f>
        <v>2.0739122972947537E-3</v>
      </c>
      <c r="G33" s="529">
        <f>(STDEV(J22:J24))/E33</f>
        <v>5.7112285663014385E-2</v>
      </c>
      <c r="H33" s="530">
        <f>COUNT(J22:J24)</f>
        <v>3</v>
      </c>
      <c r="I33" s="243"/>
      <c r="J33" s="243"/>
      <c r="K33" s="242"/>
      <c r="L33" s="194"/>
      <c r="M33" s="194"/>
      <c r="N33" s="194"/>
      <c r="O33" s="194"/>
      <c r="P33" s="194"/>
      <c r="Q33" s="30"/>
      <c r="R33" s="30"/>
      <c r="S33" s="30"/>
    </row>
    <row r="34" spans="1:19">
      <c r="A34" s="240"/>
      <c r="B34" s="244" t="s">
        <v>96</v>
      </c>
      <c r="C34" s="194"/>
      <c r="D34" s="194"/>
      <c r="E34" s="194"/>
      <c r="F34" s="194"/>
      <c r="G34" s="194"/>
      <c r="H34" s="194"/>
      <c r="I34" s="194"/>
      <c r="J34" s="194"/>
      <c r="K34" s="194"/>
      <c r="L34" s="194"/>
      <c r="M34" s="194"/>
      <c r="N34" s="194"/>
      <c r="O34" s="194"/>
      <c r="P34" s="194"/>
      <c r="Q34" s="30"/>
      <c r="R34" s="30"/>
      <c r="S34" s="30"/>
    </row>
    <row r="35" spans="1:19">
      <c r="A35" s="194"/>
      <c r="B35" s="194"/>
      <c r="C35" s="194"/>
      <c r="D35" s="194"/>
      <c r="E35" s="194"/>
      <c r="F35" s="194"/>
      <c r="G35" s="194"/>
      <c r="H35" s="194"/>
      <c r="I35" s="194"/>
      <c r="J35" s="194"/>
      <c r="K35" s="194"/>
      <c r="L35" s="194"/>
      <c r="M35" s="194"/>
      <c r="N35" s="194"/>
      <c r="O35" s="194"/>
      <c r="P35" s="194"/>
      <c r="Q35" s="30"/>
      <c r="R35" s="30"/>
      <c r="S35" s="30"/>
    </row>
    <row r="36" spans="1:19">
      <c r="A36" s="194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30"/>
      <c r="R36" s="30"/>
      <c r="S36" s="30"/>
    </row>
    <row r="37" spans="1:19">
      <c r="A37" s="194"/>
      <c r="B37" s="194"/>
      <c r="C37" s="194"/>
      <c r="D37" s="194"/>
      <c r="E37" s="194"/>
      <c r="F37" s="194"/>
      <c r="G37" s="194"/>
      <c r="H37" s="194"/>
      <c r="I37" s="194"/>
      <c r="J37" s="194"/>
      <c r="K37" s="194"/>
      <c r="L37" s="194"/>
      <c r="M37" s="194"/>
      <c r="N37" s="194"/>
      <c r="O37" s="194"/>
      <c r="P37" s="194"/>
      <c r="Q37" s="30"/>
      <c r="R37" s="30"/>
      <c r="S37" s="30"/>
    </row>
    <row r="38" spans="1:19">
      <c r="A38" s="194"/>
      <c r="B38" s="194"/>
      <c r="C38" s="194"/>
      <c r="D38" s="194"/>
      <c r="E38" s="194"/>
      <c r="F38" s="194"/>
      <c r="G38" s="194"/>
      <c r="H38" s="194"/>
      <c r="I38" s="194"/>
      <c r="J38" s="194"/>
      <c r="K38" s="194"/>
      <c r="L38" s="194"/>
      <c r="M38" s="194"/>
      <c r="N38" s="194"/>
      <c r="O38" s="194"/>
      <c r="P38" s="194"/>
      <c r="Q38" s="30"/>
      <c r="R38" s="30"/>
      <c r="S38" s="30"/>
    </row>
    <row r="39" spans="1:19">
      <c r="A39" s="194"/>
      <c r="B39" s="194"/>
      <c r="C39" s="194"/>
      <c r="D39" s="194"/>
      <c r="E39" s="194"/>
      <c r="F39" s="194"/>
      <c r="G39" s="194"/>
      <c r="H39" s="194"/>
      <c r="I39" s="194"/>
      <c r="J39" s="194"/>
      <c r="K39" s="194"/>
      <c r="L39" s="194"/>
      <c r="M39" s="194"/>
      <c r="N39" s="194"/>
      <c r="O39" s="194"/>
      <c r="P39" s="194"/>
      <c r="Q39" s="30"/>
      <c r="R39" s="30"/>
      <c r="S39" s="30"/>
    </row>
    <row r="40" spans="1:19">
      <c r="A40" s="194"/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4"/>
      <c r="P40" s="194"/>
      <c r="Q40" s="30"/>
      <c r="R40" s="30"/>
      <c r="S40" s="30"/>
    </row>
    <row r="41" spans="1:19">
      <c r="A41" s="194"/>
      <c r="B41" s="194"/>
      <c r="C41" s="194"/>
      <c r="D41" s="194"/>
      <c r="E41" s="194"/>
      <c r="F41" s="194"/>
      <c r="G41" s="194"/>
      <c r="H41" s="194"/>
      <c r="I41" s="194"/>
      <c r="J41" s="194"/>
      <c r="K41" s="194"/>
      <c r="L41" s="194"/>
      <c r="M41" s="194"/>
      <c r="N41" s="194"/>
      <c r="O41" s="194"/>
      <c r="P41" s="194"/>
      <c r="Q41" s="30"/>
      <c r="R41" s="30"/>
      <c r="S41" s="30"/>
    </row>
    <row r="42" spans="1:19">
      <c r="A42" s="194"/>
      <c r="B42" s="194"/>
      <c r="C42" s="194"/>
      <c r="D42" s="194"/>
      <c r="E42" s="194"/>
      <c r="F42" s="194"/>
      <c r="G42" s="194"/>
      <c r="H42" s="194"/>
      <c r="I42" s="194"/>
      <c r="J42" s="194"/>
      <c r="K42" s="194"/>
      <c r="L42" s="194"/>
      <c r="M42" s="194"/>
      <c r="N42" s="194"/>
      <c r="O42" s="194"/>
      <c r="P42" s="194"/>
      <c r="Q42" s="30"/>
      <c r="R42" s="30"/>
      <c r="S42" s="30"/>
    </row>
    <row r="43" spans="1:19">
      <c r="A43" s="194"/>
      <c r="B43" s="194"/>
      <c r="C43" s="194"/>
      <c r="D43" s="194"/>
      <c r="E43" s="194"/>
      <c r="F43" s="194"/>
      <c r="G43" s="194"/>
      <c r="H43" s="194"/>
      <c r="I43" s="194"/>
      <c r="J43" s="194"/>
      <c r="K43" s="194"/>
      <c r="L43" s="194"/>
      <c r="M43" s="194"/>
      <c r="N43" s="194"/>
      <c r="O43" s="194"/>
      <c r="P43" s="194"/>
      <c r="Q43" s="30"/>
      <c r="R43" s="30"/>
      <c r="S43" s="30"/>
    </row>
    <row r="44" spans="1:19">
      <c r="A44" s="194"/>
      <c r="B44" s="194"/>
      <c r="C44" s="194"/>
      <c r="D44" s="194"/>
      <c r="E44" s="194"/>
      <c r="F44" s="194"/>
      <c r="G44" s="194"/>
      <c r="H44" s="194"/>
      <c r="I44" s="194"/>
      <c r="J44" s="194"/>
      <c r="K44" s="194"/>
      <c r="L44" s="194"/>
      <c r="M44" s="194"/>
      <c r="N44" s="194"/>
      <c r="O44" s="194"/>
      <c r="P44" s="194"/>
      <c r="Q44" s="30"/>
      <c r="R44" s="30"/>
      <c r="S44" s="30"/>
    </row>
    <row r="45" spans="1:19">
      <c r="A45" s="194"/>
      <c r="B45" s="194"/>
      <c r="C45" s="194"/>
      <c r="D45" s="194"/>
      <c r="E45" s="194"/>
      <c r="F45" s="194"/>
      <c r="G45" s="194"/>
      <c r="H45" s="194"/>
      <c r="I45" s="194"/>
      <c r="J45" s="194"/>
      <c r="K45" s="194"/>
      <c r="L45" s="194"/>
      <c r="M45" s="194"/>
      <c r="N45" s="194"/>
      <c r="O45" s="194"/>
      <c r="P45" s="194"/>
      <c r="Q45" s="30"/>
      <c r="R45" s="30"/>
      <c r="S45" s="30"/>
    </row>
    <row r="46" spans="1:19">
      <c r="A46" s="194"/>
      <c r="B46" s="194"/>
      <c r="C46" s="194"/>
      <c r="D46" s="194"/>
      <c r="E46" s="194"/>
      <c r="F46" s="194"/>
      <c r="G46" s="194"/>
      <c r="H46" s="194"/>
      <c r="I46" s="194"/>
      <c r="J46" s="194"/>
      <c r="K46" s="194"/>
      <c r="L46" s="194"/>
      <c r="M46" s="194"/>
      <c r="N46" s="194"/>
      <c r="O46" s="194"/>
      <c r="P46" s="194"/>
      <c r="Q46" s="30"/>
      <c r="R46" s="30"/>
      <c r="S46" s="30"/>
    </row>
    <row r="47" spans="1:19">
      <c r="A47" s="194"/>
      <c r="B47" s="194"/>
      <c r="C47" s="194"/>
      <c r="D47" s="194"/>
      <c r="E47" s="194"/>
      <c r="F47" s="194"/>
      <c r="G47" s="194"/>
      <c r="H47" s="194"/>
      <c r="I47" s="194"/>
      <c r="J47" s="194"/>
      <c r="K47" s="194"/>
      <c r="L47" s="194"/>
      <c r="M47" s="194"/>
      <c r="N47" s="194"/>
      <c r="O47" s="194"/>
      <c r="P47" s="30"/>
      <c r="Q47" s="30"/>
      <c r="R47" s="30"/>
      <c r="S47" s="30"/>
    </row>
    <row r="48" spans="1:19">
      <c r="A48" s="194"/>
      <c r="B48" s="194"/>
      <c r="C48" s="194"/>
      <c r="D48" s="194"/>
      <c r="E48" s="194"/>
      <c r="F48" s="194"/>
      <c r="G48" s="194"/>
      <c r="H48" s="194"/>
      <c r="I48" s="194"/>
      <c r="J48" s="194"/>
      <c r="K48" s="194"/>
      <c r="L48" s="30"/>
      <c r="M48" s="30"/>
      <c r="N48" s="194"/>
      <c r="O48" s="194"/>
      <c r="P48" s="30"/>
      <c r="Q48" s="30"/>
      <c r="R48" s="30"/>
      <c r="S48" s="30"/>
    </row>
    <row r="49" spans="1:19">
      <c r="A49" s="194"/>
      <c r="B49" s="194"/>
      <c r="C49" s="194"/>
      <c r="D49" s="194"/>
      <c r="E49" s="194"/>
      <c r="F49" s="194"/>
      <c r="G49" s="194"/>
      <c r="H49" s="194"/>
      <c r="I49" s="194"/>
      <c r="J49" s="194"/>
      <c r="K49" s="194"/>
      <c r="L49" s="30"/>
      <c r="M49" s="30"/>
      <c r="N49" s="194"/>
      <c r="O49" s="194"/>
      <c r="P49" s="30"/>
      <c r="Q49" s="30"/>
      <c r="R49" s="30"/>
      <c r="S49" s="30"/>
    </row>
    <row r="50" spans="1:19">
      <c r="A50" s="194"/>
      <c r="B50" s="194"/>
      <c r="C50" s="194"/>
      <c r="D50" s="194"/>
      <c r="E50" s="194"/>
      <c r="F50" s="194"/>
      <c r="G50" s="194"/>
      <c r="H50" s="194"/>
      <c r="I50" s="194"/>
      <c r="J50" s="194"/>
      <c r="K50" s="194"/>
      <c r="L50" s="30"/>
      <c r="M50" s="30"/>
      <c r="N50" s="30"/>
      <c r="O50" s="30"/>
      <c r="P50" s="30"/>
      <c r="Q50" s="30"/>
      <c r="R50" s="30"/>
      <c r="S50" s="30"/>
    </row>
    <row r="51" spans="1:19">
      <c r="A51" s="194"/>
      <c r="B51" s="194"/>
      <c r="C51" s="194"/>
      <c r="D51" s="194"/>
      <c r="E51" s="194"/>
      <c r="F51" s="194"/>
      <c r="G51" s="194"/>
      <c r="H51" s="194"/>
      <c r="I51" s="194"/>
      <c r="J51" s="194"/>
      <c r="K51" s="194"/>
      <c r="L51" s="30"/>
      <c r="M51" s="30"/>
      <c r="N51" s="30"/>
      <c r="O51" s="30"/>
      <c r="P51" s="30"/>
      <c r="Q51" s="30"/>
      <c r="R51" s="30"/>
      <c r="S51" s="30"/>
    </row>
    <row r="52" spans="1:19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</row>
    <row r="53" spans="1:19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</row>
    <row r="54" spans="1:19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</row>
    <row r="55" spans="1:19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</row>
    <row r="56" spans="1:19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</row>
    <row r="57" spans="1:19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</row>
    <row r="58" spans="1:19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</row>
    <row r="59" spans="1:19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</row>
    <row r="60" spans="1:19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</row>
    <row r="61" spans="1:19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</row>
    <row r="62" spans="1:19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</row>
    <row r="63" spans="1:19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</row>
    <row r="64" spans="1:19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</row>
    <row r="65" spans="1:19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</row>
    <row r="66" spans="1:19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</row>
    <row r="67" spans="1:19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</row>
    <row r="68" spans="1:19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</row>
    <row r="69" spans="1:19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</row>
    <row r="70" spans="1:19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</row>
    <row r="71" spans="1:19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</row>
    <row r="72" spans="1:19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</row>
    <row r="73" spans="1:19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</row>
    <row r="74" spans="1:19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</row>
    <row r="75" spans="1:19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</row>
    <row r="76" spans="1:19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</row>
    <row r="77" spans="1:19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</row>
    <row r="78" spans="1:19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</row>
    <row r="79" spans="1:19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</row>
    <row r="80" spans="1:19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</row>
    <row r="81" spans="1:19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</row>
    <row r="82" spans="1:19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</row>
    <row r="83" spans="1:19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</row>
    <row r="84" spans="1:19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</row>
    <row r="85" spans="1:19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</row>
    <row r="86" spans="1:19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M86" s="30"/>
      <c r="N86" s="30"/>
      <c r="O86" s="30"/>
      <c r="P86" s="30"/>
    </row>
    <row r="87" spans="1:19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M87" s="30"/>
      <c r="N87" s="30"/>
      <c r="O87" s="30"/>
    </row>
    <row r="88" spans="1:19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N88" s="30"/>
      <c r="O88" s="30"/>
    </row>
    <row r="89" spans="1:19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N89" s="30"/>
      <c r="O89" s="30"/>
    </row>
  </sheetData>
  <protectedRanges>
    <protectedRange password="94AB" sqref="A4:D7 O22 L11:L24" name="ISIRF 13C Page"/>
  </protectedRanges>
  <phoneticPr fontId="0" type="noConversion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R53"/>
  <sheetViews>
    <sheetView workbookViewId="0">
      <selection activeCell="G48" sqref="G48"/>
    </sheetView>
  </sheetViews>
  <sheetFormatPr defaultColWidth="9.1796875" defaultRowHeight="11.5"/>
  <cols>
    <col min="1" max="1" width="17.7265625" style="30" bestFit="1" customWidth="1"/>
    <col min="2" max="2" width="24.7265625" style="30" customWidth="1"/>
    <col min="3" max="3" width="13" style="30" customWidth="1"/>
    <col min="4" max="4" width="20.453125" style="30" customWidth="1"/>
    <col min="5" max="5" width="9.453125" style="30" bestFit="1" customWidth="1"/>
    <col min="6" max="6" width="8.26953125" style="30" bestFit="1" customWidth="1"/>
    <col min="7" max="7" width="7.81640625" style="30" bestFit="1" customWidth="1"/>
    <col min="8" max="8" width="8" style="41" bestFit="1" customWidth="1"/>
    <col min="9" max="9" width="9.54296875" style="41" bestFit="1" customWidth="1"/>
    <col min="10" max="10" width="5.453125" style="41" bestFit="1" customWidth="1"/>
    <col min="11" max="11" width="6" style="30" bestFit="1" customWidth="1"/>
    <col min="12" max="12" width="9.81640625" style="30" customWidth="1"/>
    <col min="13" max="13" width="9.1796875" style="30" bestFit="1"/>
    <col min="14" max="14" width="7.81640625" style="30" customWidth="1"/>
    <col min="15" max="16384" width="9.1796875" style="30"/>
  </cols>
  <sheetData>
    <row r="1" spans="1:18" ht="12" thickBot="1">
      <c r="A1" s="185" t="s">
        <v>10</v>
      </c>
      <c r="B1" s="186" t="str">
        <f>COVER!C2</f>
        <v>IC13C15N-240610-10KansasROAR-Mix</v>
      </c>
      <c r="C1" s="187"/>
      <c r="D1" s="188"/>
      <c r="E1" s="194"/>
      <c r="F1" s="194"/>
      <c r="G1" s="194"/>
      <c r="H1" s="245"/>
      <c r="I1" s="245"/>
      <c r="J1" s="245"/>
      <c r="K1" s="194"/>
      <c r="L1" s="194"/>
      <c r="M1" s="194"/>
      <c r="N1" s="194"/>
      <c r="O1" s="194"/>
      <c r="P1" s="194"/>
      <c r="Q1" s="194"/>
    </row>
    <row r="2" spans="1:18" ht="12" thickBot="1">
      <c r="A2" s="193"/>
      <c r="B2" s="246"/>
      <c r="C2" s="246"/>
      <c r="D2" s="246"/>
      <c r="E2" s="194"/>
      <c r="F2" s="194"/>
      <c r="G2" s="194"/>
      <c r="H2" s="245"/>
      <c r="I2" s="245"/>
      <c r="J2" s="245"/>
      <c r="K2" s="194"/>
      <c r="L2" s="194"/>
      <c r="M2" s="194"/>
      <c r="N2" s="194"/>
      <c r="O2" s="194"/>
      <c r="P2" s="194"/>
      <c r="Q2" s="194"/>
    </row>
    <row r="3" spans="1:18" ht="13.5">
      <c r="A3" s="314" t="s">
        <v>0</v>
      </c>
      <c r="B3" s="315" t="s">
        <v>136</v>
      </c>
      <c r="C3" s="316" t="s">
        <v>135</v>
      </c>
      <c r="D3" s="317" t="s">
        <v>67</v>
      </c>
      <c r="E3" s="194"/>
      <c r="F3" s="194"/>
      <c r="G3" s="194"/>
      <c r="H3" s="194"/>
      <c r="I3" s="245"/>
      <c r="J3" s="245"/>
      <c r="K3" s="245"/>
      <c r="L3" s="194"/>
      <c r="M3" s="194"/>
      <c r="N3" s="194"/>
      <c r="O3" s="194"/>
      <c r="P3" s="194"/>
      <c r="Q3" s="194"/>
    </row>
    <row r="4" spans="1:18">
      <c r="A4" s="312" t="str">
        <f>'Weigh Sheet'!C9</f>
        <v>ISIRF Ulva</v>
      </c>
      <c r="B4" s="308" t="s">
        <v>137</v>
      </c>
      <c r="C4" s="318">
        <f>'ISIRF RAW'!E63</f>
        <v>-12.890511300308667</v>
      </c>
      <c r="D4" s="319">
        <f>'ISIRF RAW'!F63</f>
        <v>33.294437556499993</v>
      </c>
      <c r="E4" s="194"/>
      <c r="F4" s="194"/>
      <c r="G4" s="194"/>
      <c r="H4" s="194"/>
      <c r="I4" s="245"/>
      <c r="J4" s="245"/>
      <c r="K4" s="245"/>
      <c r="L4" s="194"/>
      <c r="M4" s="194"/>
      <c r="N4" s="194"/>
      <c r="O4" s="194"/>
      <c r="P4" s="194"/>
      <c r="Q4" s="194"/>
    </row>
    <row r="5" spans="1:18">
      <c r="A5" s="312" t="str">
        <f>'Weigh Sheet'!C10</f>
        <v>ISIRF Chitin</v>
      </c>
      <c r="B5" s="308" t="s">
        <v>129</v>
      </c>
      <c r="C5" s="318">
        <f>'ISIRF RAW'!E64</f>
        <v>-21.201039386165913</v>
      </c>
      <c r="D5" s="319">
        <f>'ISIRF RAW'!F64</f>
        <v>44.925158736166672</v>
      </c>
      <c r="E5" s="194"/>
      <c r="F5" s="194"/>
      <c r="G5" s="194"/>
      <c r="H5" s="194"/>
      <c r="I5" s="245"/>
      <c r="J5" s="245"/>
      <c r="K5" s="245"/>
      <c r="L5" s="194"/>
      <c r="M5" s="194"/>
      <c r="N5" s="194"/>
      <c r="O5" s="194"/>
      <c r="P5" s="194"/>
      <c r="Q5" s="194"/>
    </row>
    <row r="6" spans="1:18">
      <c r="A6" s="312" t="str">
        <f>'Weigh Sheet'!C11</f>
        <v>ISIRF Bamboo</v>
      </c>
      <c r="B6" s="308" t="s">
        <v>130</v>
      </c>
      <c r="C6" s="318">
        <f>'ISIRF RAW'!E65</f>
        <v>-30.291663706283909</v>
      </c>
      <c r="D6" s="319">
        <f>'ISIRF RAW'!F65</f>
        <v>45.850178489166666</v>
      </c>
      <c r="E6" s="194"/>
      <c r="F6" s="194"/>
      <c r="G6" s="194"/>
      <c r="H6" s="194"/>
      <c r="I6" s="245"/>
      <c r="J6" s="245"/>
      <c r="K6" s="245"/>
      <c r="L6" s="194"/>
      <c r="M6" s="194"/>
      <c r="N6" s="194"/>
      <c r="O6" s="194"/>
      <c r="P6" s="194"/>
      <c r="Q6" s="194"/>
    </row>
    <row r="7" spans="1:18" ht="12" thickBot="1">
      <c r="A7" s="313" t="str">
        <f>'Weigh Sheet'!C12</f>
        <v>NBS 8412 Corn Stalk</v>
      </c>
      <c r="B7" s="310" t="s">
        <v>214</v>
      </c>
      <c r="C7" s="320">
        <f>'ISIRF RAW'!E66</f>
        <v>-10.841718568997189</v>
      </c>
      <c r="D7" s="321">
        <f>'ISIRF RAW'!F66</f>
        <v>46.118182173666668</v>
      </c>
      <c r="E7" s="194"/>
      <c r="F7" s="194"/>
      <c r="G7" s="194"/>
      <c r="H7" s="194"/>
      <c r="I7" s="245"/>
      <c r="J7" s="245"/>
      <c r="K7" s="245"/>
      <c r="L7" s="194"/>
      <c r="M7" s="194"/>
      <c r="N7" s="194"/>
      <c r="O7" s="194"/>
      <c r="P7" s="194"/>
      <c r="Q7" s="194"/>
    </row>
    <row r="8" spans="1:18" ht="12" thickBot="1">
      <c r="A8" s="243"/>
      <c r="B8" s="243"/>
      <c r="C8" s="243"/>
      <c r="D8" s="194"/>
      <c r="E8" s="194"/>
      <c r="F8" s="194"/>
      <c r="G8" s="194"/>
      <c r="H8" s="245"/>
      <c r="I8" s="245"/>
      <c r="J8" s="245"/>
      <c r="K8" s="194"/>
      <c r="L8" s="194"/>
      <c r="M8" s="194"/>
      <c r="N8" s="194"/>
      <c r="O8" s="194"/>
      <c r="P8" s="194"/>
      <c r="Q8" s="194"/>
    </row>
    <row r="9" spans="1:18">
      <c r="A9" s="247" t="s">
        <v>79</v>
      </c>
      <c r="B9" s="485"/>
      <c r="C9" s="486"/>
      <c r="D9" s="196"/>
      <c r="E9" s="196"/>
      <c r="F9" s="196"/>
      <c r="G9" s="196"/>
      <c r="H9" s="196"/>
      <c r="I9" s="248"/>
      <c r="J9" s="248"/>
      <c r="K9" s="248"/>
      <c r="L9" s="249"/>
      <c r="M9" s="194"/>
      <c r="N9" s="240"/>
      <c r="O9" s="333"/>
      <c r="P9" s="333"/>
      <c r="Q9" s="242"/>
      <c r="R9" s="242"/>
    </row>
    <row r="10" spans="1:18" ht="27">
      <c r="A10" s="198" t="s">
        <v>75</v>
      </c>
      <c r="B10" s="487" t="s">
        <v>76</v>
      </c>
      <c r="C10" s="488"/>
      <c r="D10" s="199" t="s">
        <v>0</v>
      </c>
      <c r="E10" s="199" t="s">
        <v>77</v>
      </c>
      <c r="F10" s="199" t="s">
        <v>132</v>
      </c>
      <c r="G10" s="199" t="s">
        <v>78</v>
      </c>
      <c r="H10" s="200" t="s">
        <v>226</v>
      </c>
      <c r="I10" s="250" t="s">
        <v>133</v>
      </c>
      <c r="J10" s="203" t="s">
        <v>67</v>
      </c>
      <c r="K10" s="203" t="s">
        <v>215</v>
      </c>
      <c r="L10" s="251" t="s">
        <v>97</v>
      </c>
      <c r="M10" s="194"/>
      <c r="N10" s="258"/>
      <c r="O10" s="333"/>
      <c r="P10" s="333"/>
      <c r="Q10" s="242"/>
      <c r="R10" s="242"/>
    </row>
    <row r="11" spans="1:18">
      <c r="A11" s="499">
        <f>'ISIRF RAW'!S8</f>
        <v>45588.675474537034</v>
      </c>
      <c r="B11" s="515" t="str">
        <f>'ISIRF RAW'!T8</f>
        <v>IC13C15N-240610-10KansasROAR-Mix_3.raw</v>
      </c>
      <c r="C11" s="516"/>
      <c r="D11" s="446" t="str">
        <f>'ISIRF RAW'!A8</f>
        <v>ISIRF Ulva</v>
      </c>
      <c r="E11" s="205" t="s">
        <v>137</v>
      </c>
      <c r="F11" s="205">
        <f>'ISIRF RAW'!B8</f>
        <v>4</v>
      </c>
      <c r="G11" s="206">
        <f>'ISIRF RAW'!C8</f>
        <v>1.276</v>
      </c>
      <c r="H11" s="206">
        <f>'ISIRF RAW'!F8</f>
        <v>6.0966385000000001</v>
      </c>
      <c r="I11" s="510">
        <f>'ISIRF RAW'!G8</f>
        <v>65640784</v>
      </c>
      <c r="J11" s="206">
        <f>'ISIRF RAW'!M8</f>
        <v>30.095353443400001</v>
      </c>
      <c r="K11" s="206">
        <f>'ISIRF RAW'!O8</f>
        <v>-12.827970462091924</v>
      </c>
      <c r="L11" s="252"/>
      <c r="M11" s="194"/>
      <c r="N11" s="240"/>
      <c r="O11" s="334"/>
      <c r="P11" s="334"/>
      <c r="Q11" s="242"/>
      <c r="R11" s="242"/>
    </row>
    <row r="12" spans="1:18">
      <c r="A12" s="500">
        <f>'ISIRF RAW'!S21</f>
        <v>45588.780023148145</v>
      </c>
      <c r="B12" s="491" t="str">
        <f>'ISIRF RAW'!T21</f>
        <v>IC13C15N-240610-10KansasROAR-Mix_16.raw</v>
      </c>
      <c r="C12" s="492"/>
      <c r="D12" s="205" t="str">
        <f>'ISIRF RAW'!A21</f>
        <v>ISIRF Ulva</v>
      </c>
      <c r="E12" s="205" t="s">
        <v>137</v>
      </c>
      <c r="F12" s="205">
        <f>'ISIRF RAW'!B21</f>
        <v>17</v>
      </c>
      <c r="G12" s="206">
        <f>'ISIRF RAW'!C21</f>
        <v>1.1919999999999999</v>
      </c>
      <c r="H12" s="206">
        <f>'ISIRF RAW'!F21</f>
        <v>6.4232614999999997</v>
      </c>
      <c r="I12" s="510">
        <f>'ISIRF RAW'!G21</f>
        <v>69939928</v>
      </c>
      <c r="J12" s="206">
        <f>'ISIRF RAW'!M21</f>
        <v>34.281927623999998</v>
      </c>
      <c r="K12" s="206">
        <f>'ISIRF RAW'!O21</f>
        <v>-13.027314505757579</v>
      </c>
      <c r="L12" s="253"/>
      <c r="M12" s="194"/>
      <c r="N12" s="240"/>
      <c r="O12" s="334"/>
      <c r="P12" s="334"/>
      <c r="Q12" s="242"/>
      <c r="R12" s="242"/>
    </row>
    <row r="13" spans="1:18">
      <c r="A13" s="500">
        <f>'ISIRF RAW'!S33</f>
        <v>45588.876863425925</v>
      </c>
      <c r="B13" s="491" t="str">
        <f>'ISIRF RAW'!T33</f>
        <v>IC13C15N-240610-10KansasROAR-Mix_28.raw</v>
      </c>
      <c r="C13" s="492"/>
      <c r="D13" s="205" t="str">
        <f>'ISIRF RAW'!A33</f>
        <v>ISIRF Ulva</v>
      </c>
      <c r="E13" s="205" t="s">
        <v>137</v>
      </c>
      <c r="F13" s="205">
        <f>'ISIRF RAW'!B33</f>
        <v>29</v>
      </c>
      <c r="G13" s="206">
        <f>'ISIRF RAW'!C33</f>
        <v>1.123</v>
      </c>
      <c r="H13" s="206">
        <f>'ISIRF RAW'!F33</f>
        <v>5.8194749999999997</v>
      </c>
      <c r="I13" s="510">
        <f>'ISIRF RAW'!G33</f>
        <v>63618928</v>
      </c>
      <c r="J13" s="206">
        <f>'ISIRF RAW'!M33</f>
        <v>33.205756960599999</v>
      </c>
      <c r="K13" s="206">
        <f>'ISIRF RAW'!O33</f>
        <v>-12.765696495728996</v>
      </c>
      <c r="L13" s="253"/>
      <c r="M13" s="194"/>
      <c r="N13" s="240"/>
      <c r="O13" s="334"/>
      <c r="P13" s="334"/>
      <c r="Q13" s="242"/>
      <c r="R13" s="242"/>
    </row>
    <row r="14" spans="1:18">
      <c r="A14" s="500">
        <f>'ISIRF RAW'!S46</f>
        <v>45588.982094907406</v>
      </c>
      <c r="B14" s="491" t="str">
        <f>'ISIRF RAW'!T46</f>
        <v>IC13C15N-240610-10KansasROAR-Mix_41.raw</v>
      </c>
      <c r="C14" s="492"/>
      <c r="D14" s="205" t="str">
        <f>'ISIRF RAW'!A46</f>
        <v>ISIRF Ulva</v>
      </c>
      <c r="E14" s="205" t="s">
        <v>137</v>
      </c>
      <c r="F14" s="205">
        <f>'ISIRF RAW'!B46</f>
        <v>42</v>
      </c>
      <c r="G14" s="206">
        <f>'ISIRF RAW'!C46</f>
        <v>1.1439999999999999</v>
      </c>
      <c r="H14" s="206">
        <f>'ISIRF RAW'!F46</f>
        <v>6.0982339999999997</v>
      </c>
      <c r="I14" s="510">
        <f>'ISIRF RAW'!G46</f>
        <v>65274864</v>
      </c>
      <c r="J14" s="206">
        <f>'ISIRF RAW'!M46</f>
        <v>33.319536018999997</v>
      </c>
      <c r="K14" s="206">
        <f>'ISIRF RAW'!O46</f>
        <v>-12.931874419979184</v>
      </c>
      <c r="L14" s="253"/>
      <c r="M14" s="194"/>
      <c r="N14" s="240"/>
      <c r="O14" s="334"/>
      <c r="P14" s="334"/>
      <c r="Q14" s="242"/>
      <c r="R14" s="242"/>
    </row>
    <row r="15" spans="1:18">
      <c r="A15" s="501">
        <f>'ISIRF RAW'!S58</f>
        <v>45589.079108796293</v>
      </c>
      <c r="B15" s="493" t="str">
        <f>'ISIRF RAW'!T58</f>
        <v>IC13C15N-240610-10KansasROAR-Mix_53.raw</v>
      </c>
      <c r="C15" s="494"/>
      <c r="D15" s="511" t="str">
        <f>'ISIRF RAW'!A58</f>
        <v>ISIRF Ulva</v>
      </c>
      <c r="E15" s="511" t="s">
        <v>137</v>
      </c>
      <c r="F15" s="511">
        <f>'ISIRF RAW'!B58</f>
        <v>54</v>
      </c>
      <c r="G15" s="512">
        <f>'ISIRF RAW'!C58</f>
        <v>1.254</v>
      </c>
      <c r="H15" s="512">
        <f>'ISIRF RAW'!F58</f>
        <v>6.836074</v>
      </c>
      <c r="I15" s="513">
        <f>'ISIRF RAW'!G58</f>
        <v>73920736</v>
      </c>
      <c r="J15" s="512">
        <f>'ISIRF RAW'!M58</f>
        <v>34.349663386499998</v>
      </c>
      <c r="K15" s="512">
        <f>'ISIRF RAW'!O58</f>
        <v>-12.938581269350916</v>
      </c>
      <c r="L15" s="514"/>
      <c r="M15" s="194"/>
      <c r="N15" s="337"/>
      <c r="O15" s="334"/>
      <c r="P15" s="334"/>
      <c r="Q15" s="242"/>
      <c r="R15" s="242"/>
    </row>
    <row r="16" spans="1:18">
      <c r="A16" s="502">
        <f>'ISIRF RAW'!S9</f>
        <v>45588.683518518519</v>
      </c>
      <c r="B16" s="495" t="str">
        <f>'ISIRF RAW'!T9</f>
        <v>IC13C15N-240610-10KansasROAR-Mix_4.raw</v>
      </c>
      <c r="C16" s="496"/>
      <c r="D16" s="205" t="str">
        <f>'ISIRF RAW'!A9</f>
        <v>ISIRF Chitin</v>
      </c>
      <c r="E16" s="205" t="s">
        <v>129</v>
      </c>
      <c r="F16" s="205">
        <f>'ISIRF RAW'!B9</f>
        <v>5</v>
      </c>
      <c r="G16" s="206">
        <f>'ISIRF RAW'!C9</f>
        <v>1.038</v>
      </c>
      <c r="H16" s="206">
        <f>'ISIRF RAW'!F9</f>
        <v>8.6421569999999992</v>
      </c>
      <c r="I16" s="510">
        <f>'ISIRF RAW'!G9</f>
        <v>95464720</v>
      </c>
      <c r="J16" s="206">
        <f>'ISIRF RAW'!M9</f>
        <v>53.7568676876</v>
      </c>
      <c r="K16" s="206">
        <f>'ISIRF RAW'!O9</f>
        <v>-21.237718859291583</v>
      </c>
      <c r="L16" s="252"/>
      <c r="M16" s="194"/>
      <c r="N16" s="337"/>
      <c r="O16" s="334"/>
      <c r="P16" s="334"/>
      <c r="Q16" s="242"/>
      <c r="R16" s="242"/>
    </row>
    <row r="17" spans="1:18">
      <c r="A17" s="500">
        <f>'ISIRF RAW'!S34</f>
        <v>45588.88490740741</v>
      </c>
      <c r="B17" s="491" t="str">
        <f>'ISIRF RAW'!T34</f>
        <v>IC13C15N-240610-10KansasROAR-Mix_29.raw</v>
      </c>
      <c r="C17" s="492"/>
      <c r="D17" s="207" t="str">
        <f>'ISIRF RAW'!A34</f>
        <v>ISIRF Chitin</v>
      </c>
      <c r="E17" s="207" t="s">
        <v>129</v>
      </c>
      <c r="F17" s="205">
        <f>'ISIRF RAW'!B34</f>
        <v>30</v>
      </c>
      <c r="G17" s="206">
        <f>'ISIRF RAW'!C34</f>
        <v>1.069</v>
      </c>
      <c r="H17" s="206">
        <f>'ISIRF RAW'!F34</f>
        <v>7.5567425000000004</v>
      </c>
      <c r="I17" s="510">
        <f>'ISIRF RAW'!G34</f>
        <v>83886128</v>
      </c>
      <c r="J17" s="206">
        <f>'ISIRF RAW'!M34</f>
        <v>45.876753401499997</v>
      </c>
      <c r="K17" s="206">
        <f>'ISIRF RAW'!O34</f>
        <v>-21.096313019117908</v>
      </c>
      <c r="L17" s="253"/>
      <c r="M17" s="194"/>
      <c r="N17" s="335"/>
      <c r="O17" s="335"/>
      <c r="P17" s="335"/>
      <c r="Q17" s="242"/>
      <c r="R17" s="242"/>
    </row>
    <row r="18" spans="1:18">
      <c r="A18" s="501">
        <f>'ISIRF RAW'!S59</f>
        <v>45589.087141203701</v>
      </c>
      <c r="B18" s="493" t="str">
        <f>'ISIRF RAW'!T59</f>
        <v>IC13C15N-240610-10KansasROAR-Mix_54.raw</v>
      </c>
      <c r="C18" s="494"/>
      <c r="D18" s="511" t="str">
        <f>'ISIRF RAW'!A59</f>
        <v>ISIRF Chitin</v>
      </c>
      <c r="E18" s="511" t="s">
        <v>129</v>
      </c>
      <c r="F18" s="517">
        <f>'ISIRF RAW'!B59</f>
        <v>55</v>
      </c>
      <c r="G18" s="518">
        <f>'ISIRF RAW'!C59</f>
        <v>1.077</v>
      </c>
      <c r="H18" s="518">
        <f>'ISIRF RAW'!F59</f>
        <v>7.7549725</v>
      </c>
      <c r="I18" s="519">
        <f>'ISIRF RAW'!G59</f>
        <v>86180208</v>
      </c>
      <c r="J18" s="518">
        <f>'ISIRF RAW'!M59</f>
        <v>46.620815975999996</v>
      </c>
      <c r="K18" s="518">
        <f>'ISIRF RAW'!O59</f>
        <v>-21.201031028757914</v>
      </c>
      <c r="L18" s="514"/>
      <c r="M18" s="194"/>
      <c r="N18" s="335"/>
      <c r="O18" s="335"/>
      <c r="P18" s="335"/>
      <c r="Q18" s="242"/>
      <c r="R18" s="242"/>
    </row>
    <row r="19" spans="1:18">
      <c r="A19" s="502">
        <f>'ISIRF RAW'!S10</f>
        <v>45588.691516203704</v>
      </c>
      <c r="B19" s="495" t="str">
        <f>'ISIRF RAW'!T10</f>
        <v>IC13C15N-240610-10KansasROAR-Mix_5.raw</v>
      </c>
      <c r="C19" s="496"/>
      <c r="D19" s="205" t="str">
        <f>'ISIRF RAW'!A10</f>
        <v>ISIRF Bamboo</v>
      </c>
      <c r="E19" s="205" t="s">
        <v>130</v>
      </c>
      <c r="F19" s="205">
        <f>'ISIRF RAW'!B10</f>
        <v>6</v>
      </c>
      <c r="G19" s="206">
        <f>'ISIRF RAW'!C10</f>
        <v>1.597</v>
      </c>
      <c r="H19" s="206">
        <f>'ISIRF RAW'!F10</f>
        <v>10.995298999999999</v>
      </c>
      <c r="I19" s="510">
        <f>'ISIRF RAW'!G10</f>
        <v>124850336</v>
      </c>
      <c r="J19" s="206">
        <f>'ISIRF RAW'!M10</f>
        <v>45.483088753899999</v>
      </c>
      <c r="K19" s="206">
        <f>'ISIRF RAW'!O10</f>
        <v>-30.316283315034536</v>
      </c>
      <c r="L19" s="252"/>
      <c r="M19" s="194"/>
      <c r="N19" s="333"/>
      <c r="O19" s="335"/>
      <c r="P19" s="335"/>
      <c r="Q19" s="242"/>
      <c r="R19" s="242"/>
    </row>
    <row r="20" spans="1:18">
      <c r="A20" s="500">
        <f>'ISIRF RAW'!S35</f>
        <v>45588.892997685187</v>
      </c>
      <c r="B20" s="491" t="str">
        <f>'ISIRF RAW'!T35</f>
        <v>IC13C15N-240610-10KansasROAR-Mix_30.raw</v>
      </c>
      <c r="C20" s="492"/>
      <c r="D20" s="207" t="str">
        <f>'ISIRF RAW'!A35</f>
        <v>ISIRF Bamboo</v>
      </c>
      <c r="E20" s="207" t="s">
        <v>130</v>
      </c>
      <c r="F20" s="205">
        <f>'ISIRF RAW'!B35</f>
        <v>31</v>
      </c>
      <c r="G20" s="206">
        <f>'ISIRF RAW'!C35</f>
        <v>1.526</v>
      </c>
      <c r="H20" s="206">
        <f>'ISIRF RAW'!F35</f>
        <v>10.688116000000001</v>
      </c>
      <c r="I20" s="510">
        <f>'ISIRF RAW'!G35</f>
        <v>119239944</v>
      </c>
      <c r="J20" s="206">
        <f>'ISIRF RAW'!M35</f>
        <v>45.433517996999996</v>
      </c>
      <c r="K20" s="206">
        <f>'ISIRF RAW'!O35</f>
        <v>-30.331002528180623</v>
      </c>
      <c r="L20" s="253"/>
      <c r="M20" s="194"/>
      <c r="N20" s="242"/>
      <c r="O20" s="242"/>
      <c r="P20" s="242"/>
      <c r="Q20" s="242"/>
      <c r="R20" s="242"/>
    </row>
    <row r="21" spans="1:18">
      <c r="A21" s="501">
        <f>'ISIRF RAW'!S60</f>
        <v>45589.095173611109</v>
      </c>
      <c r="B21" s="493" t="str">
        <f>'ISIRF RAW'!T60</f>
        <v>IC13C15N-240610-10KansasROAR-Mix_55.raw</v>
      </c>
      <c r="C21" s="494"/>
      <c r="D21" s="511" t="str">
        <f>'ISIRF RAW'!A60</f>
        <v>ISIRF Bamboo</v>
      </c>
      <c r="E21" s="511" t="s">
        <v>130</v>
      </c>
      <c r="F21" s="517">
        <f>'ISIRF RAW'!B60</f>
        <v>56</v>
      </c>
      <c r="G21" s="518">
        <f>'ISIRF RAW'!C60</f>
        <v>1.3919999999999999</v>
      </c>
      <c r="H21" s="518">
        <f>'ISIRF RAW'!F60</f>
        <v>10.28598</v>
      </c>
      <c r="I21" s="519">
        <f>'ISIRF RAW'!G60</f>
        <v>114307688</v>
      </c>
      <c r="J21" s="518">
        <f>'ISIRF RAW'!M60</f>
        <v>47.757110462599996</v>
      </c>
      <c r="K21" s="518">
        <f>'ISIRF RAW'!O60</f>
        <v>-30.256879875601687</v>
      </c>
      <c r="L21" s="514"/>
      <c r="M21" s="194"/>
      <c r="N21" s="242"/>
      <c r="O21" s="242"/>
      <c r="P21" s="242"/>
      <c r="Q21" s="242"/>
      <c r="R21" s="242"/>
    </row>
    <row r="22" spans="1:18">
      <c r="A22" s="502">
        <f>'ISIRF RAW'!S11</f>
        <v>45588.699571759258</v>
      </c>
      <c r="B22" s="495" t="str">
        <f>'ISIRF RAW'!T11</f>
        <v>IC13C15N-240610-10KansasROAR-Mix_6.raw</v>
      </c>
      <c r="C22" s="496"/>
      <c r="D22" s="205" t="str">
        <f>'ISIRF RAW'!A11</f>
        <v>NBS 8412 Corn Stalk</v>
      </c>
      <c r="E22" s="205" t="s">
        <v>130</v>
      </c>
      <c r="F22" s="205">
        <f>'ISIRF RAW'!B11</f>
        <v>7</v>
      </c>
      <c r="G22" s="206">
        <f>'ISIRF RAW'!C11</f>
        <v>6.5990000000000002</v>
      </c>
      <c r="H22" s="206">
        <f>'ISIRF RAW'!F11</f>
        <v>37.246516</v>
      </c>
      <c r="I22" s="510">
        <f>'ISIRF RAW'!G11</f>
        <v>544861760</v>
      </c>
      <c r="J22" s="206">
        <f>'ISIRF RAW'!M11</f>
        <v>48.085647588299999</v>
      </c>
      <c r="K22" s="206">
        <f>'ISIRF RAW'!O11</f>
        <v>-10.587334850596029</v>
      </c>
      <c r="L22" s="252"/>
      <c r="M22" s="194"/>
      <c r="N22" s="242"/>
      <c r="O22" s="242"/>
      <c r="P22" s="242"/>
      <c r="Q22" s="242"/>
      <c r="R22" s="242"/>
    </row>
    <row r="23" spans="1:18">
      <c r="A23" s="500">
        <f>'ISIRF RAW'!S36</f>
        <v>45588.901064814818</v>
      </c>
      <c r="B23" s="491" t="str">
        <f>'ISIRF RAW'!T36</f>
        <v>IC13C15N-240610-10KansasROAR-Mix_31.raw</v>
      </c>
      <c r="C23" s="492"/>
      <c r="D23" s="207" t="str">
        <f>'ISIRF RAW'!A36</f>
        <v>NBS 8412 Corn Stalk</v>
      </c>
      <c r="E23" s="207" t="s">
        <v>130</v>
      </c>
      <c r="F23" s="205">
        <f>'ISIRF RAW'!B36</f>
        <v>32</v>
      </c>
      <c r="G23" s="206">
        <f>'ISIRF RAW'!C36</f>
        <v>6.5529999999999999</v>
      </c>
      <c r="H23" s="206">
        <f>'ISIRF RAW'!F36</f>
        <v>36.700127999999999</v>
      </c>
      <c r="I23" s="510">
        <f>'ISIRF RAW'!G36</f>
        <v>521974848</v>
      </c>
      <c r="J23" s="206">
        <f>'ISIRF RAW'!M36</f>
        <v>46.047913753099998</v>
      </c>
      <c r="K23" s="206">
        <f>'ISIRF RAW'!O36</f>
        <v>-10.667974521722355</v>
      </c>
      <c r="L23" s="253"/>
      <c r="M23" s="194"/>
      <c r="N23" s="242"/>
      <c r="O23" s="242"/>
      <c r="P23" s="242"/>
      <c r="Q23" s="242"/>
      <c r="R23" s="242"/>
    </row>
    <row r="24" spans="1:18" ht="12" thickBot="1">
      <c r="A24" s="503">
        <f>'ISIRF RAW'!S61</f>
        <v>45589.103252314817</v>
      </c>
      <c r="B24" s="497" t="str">
        <f>'ISIRF RAW'!T61</f>
        <v>IC13C15N-240610-10KansasROAR-Mix_56.raw</v>
      </c>
      <c r="C24" s="498"/>
      <c r="D24" s="536" t="str">
        <f>'ISIRF RAW'!A61</f>
        <v>NBS 8412 Corn Stalk</v>
      </c>
      <c r="E24" s="536" t="s">
        <v>130</v>
      </c>
      <c r="F24" s="537">
        <f>'ISIRF RAW'!B61</f>
        <v>57</v>
      </c>
      <c r="G24" s="538">
        <f>'ISIRF RAW'!C61</f>
        <v>6.407</v>
      </c>
      <c r="H24" s="538">
        <f>'ISIRF RAW'!F61</f>
        <v>38.554416000000003</v>
      </c>
      <c r="I24" s="539">
        <f>'ISIRF RAW'!G61</f>
        <v>562178048</v>
      </c>
      <c r="J24" s="538">
        <f>'ISIRF RAW'!M61</f>
        <v>50.615946431399998</v>
      </c>
      <c r="K24" s="538">
        <f>'ISIRF RAW'!O61</f>
        <v>-10.588055259538105</v>
      </c>
      <c r="L24" s="540"/>
      <c r="M24" s="194"/>
      <c r="N24" s="242"/>
      <c r="O24" s="242"/>
      <c r="P24" s="242"/>
      <c r="Q24" s="242"/>
      <c r="R24" s="242"/>
    </row>
    <row r="25" spans="1:18" ht="12" thickBot="1">
      <c r="A25" s="194"/>
      <c r="B25" s="194"/>
      <c r="C25" s="194"/>
      <c r="D25" s="194"/>
      <c r="E25" s="194"/>
      <c r="F25" s="194"/>
      <c r="G25" s="194"/>
      <c r="H25" s="245"/>
      <c r="I25" s="245"/>
      <c r="J25" s="245"/>
      <c r="K25" s="194"/>
      <c r="L25" s="194"/>
      <c r="M25" s="194"/>
      <c r="N25" s="194"/>
      <c r="O25" s="194"/>
      <c r="P25" s="194"/>
      <c r="Q25" s="194"/>
    </row>
    <row r="26" spans="1:18">
      <c r="A26" s="212" t="s">
        <v>69</v>
      </c>
      <c r="B26" s="254" t="s">
        <v>4</v>
      </c>
      <c r="C26" s="255"/>
      <c r="D26" s="256"/>
      <c r="E26" s="254" t="s">
        <v>6</v>
      </c>
      <c r="F26" s="255"/>
      <c r="G26" s="256"/>
      <c r="H26" s="257" t="s">
        <v>2</v>
      </c>
      <c r="I26" s="241"/>
      <c r="J26" s="258"/>
      <c r="K26" s="258"/>
      <c r="L26" s="194"/>
      <c r="M26" s="194"/>
      <c r="N26" s="194"/>
      <c r="O26" s="194"/>
      <c r="P26" s="194"/>
      <c r="Q26" s="194"/>
    </row>
    <row r="27" spans="1:18" ht="12" thickBot="1">
      <c r="A27" s="219"/>
      <c r="B27" s="259" t="s">
        <v>131</v>
      </c>
      <c r="C27" s="260" t="s">
        <v>134</v>
      </c>
      <c r="D27" s="261" t="s">
        <v>5</v>
      </c>
      <c r="E27" s="259" t="s">
        <v>1</v>
      </c>
      <c r="F27" s="260" t="s">
        <v>134</v>
      </c>
      <c r="G27" s="261" t="s">
        <v>232</v>
      </c>
      <c r="H27" s="262" t="s">
        <v>3</v>
      </c>
      <c r="I27" s="241"/>
      <c r="J27" s="258"/>
      <c r="K27" s="258"/>
      <c r="L27" s="194"/>
      <c r="M27" s="194"/>
      <c r="N27" s="194"/>
      <c r="O27" s="194"/>
      <c r="P27" s="194"/>
      <c r="Q27" s="194"/>
    </row>
    <row r="28" spans="1:18" ht="12" thickTop="1">
      <c r="A28" s="224" t="s">
        <v>25</v>
      </c>
      <c r="B28" s="263">
        <f>AVERAGE('ISIRF RAW'!O12,'ISIRF RAW'!O56)</f>
        <v>-17.085892604062586</v>
      </c>
      <c r="C28" s="264">
        <f>VAR('ISIRF RAW'!O12,'ISIRF RAW'!O56)</f>
        <v>9.4503541289759621E-4</v>
      </c>
      <c r="D28" s="424">
        <f>STDEV('ISIRF RAW'!O12,'ISIRF RAW'!O56)</f>
        <v>3.074142828330519E-2</v>
      </c>
      <c r="E28" s="265">
        <f>AVERAGE('ISIRF RAW'!M12,'ISIRF RAW'!M56)</f>
        <v>1.513555022</v>
      </c>
      <c r="F28" s="265">
        <f>VAR('ISIRF RAW'!M12,'ISIRF RAW'!M56)</f>
        <v>2.6318332867656308E-4</v>
      </c>
      <c r="G28" s="424">
        <f>(STDEV('ISIRF RAW'!M12,'ISIRF RAW'!M56))/E28</f>
        <v>1.0718425022547067E-2</v>
      </c>
      <c r="H28" s="228">
        <f>COUNT('ISIRF RAW'!M12,'ISIRF RAW'!M56)</f>
        <v>2</v>
      </c>
      <c r="I28" s="243"/>
      <c r="J28" s="242"/>
      <c r="K28" s="242"/>
      <c r="L28" s="194"/>
      <c r="M28" s="194"/>
      <c r="N28" s="194"/>
      <c r="O28" s="194"/>
      <c r="P28" s="194"/>
      <c r="Q28" s="194"/>
    </row>
    <row r="29" spans="1:18" ht="12" thickBot="1">
      <c r="A29" s="224" t="s">
        <v>26</v>
      </c>
      <c r="B29" s="266">
        <f>AVERAGE('ISIRF RAW'!O26:O27)</f>
        <v>-27.370675002415233</v>
      </c>
      <c r="C29" s="264">
        <f>VAR('ISIRF RAW'!O26:O27)</f>
        <v>1.7164351242349135E-2</v>
      </c>
      <c r="D29" s="424">
        <f>STDEV('ISIRF RAW'!O26:O27)</f>
        <v>0.13101279037692898</v>
      </c>
      <c r="E29" s="265">
        <f>AVERAGE('ISIRF RAW'!M26:M27)</f>
        <v>2.6813649610999999</v>
      </c>
      <c r="F29" s="265">
        <f>VAR('ISIRF RAW'!M26:M27)</f>
        <v>2.251539210663153E-3</v>
      </c>
      <c r="G29" s="424">
        <f>(STDEV('ISIRF RAW'!M26:M27))/E29</f>
        <v>1.769635522282105E-2</v>
      </c>
      <c r="H29" s="230">
        <f>COUNT('ISIRF RAW'!M26:M27)</f>
        <v>2</v>
      </c>
      <c r="I29" s="243"/>
      <c r="J29" s="242"/>
      <c r="K29" s="242"/>
      <c r="L29" s="194"/>
      <c r="M29" s="194"/>
      <c r="N29" s="194"/>
      <c r="O29" s="194"/>
      <c r="P29" s="194"/>
      <c r="Q29" s="194"/>
    </row>
    <row r="30" spans="1:18" ht="12" thickTop="1">
      <c r="A30" s="231" t="str">
        <f>B4</f>
        <v>QC.STD</v>
      </c>
      <c r="B30" s="263">
        <f>AVERAGE(K11:K15)</f>
        <v>-12.898287430581721</v>
      </c>
      <c r="C30" s="425">
        <f>VAR(K11:K15)</f>
        <v>1.0481124372673565E-2</v>
      </c>
      <c r="D30" s="268">
        <f>STDEV(K11:K15)</f>
        <v>0.10237736259873842</v>
      </c>
      <c r="E30" s="267">
        <f>AVERAGE(J11:J15)</f>
        <v>33.050447486699994</v>
      </c>
      <c r="F30" s="263">
        <f>VAR(J11:J15)</f>
        <v>3.0084039396257851</v>
      </c>
      <c r="G30" s="268">
        <f>(STDEV(J11:J15))/E30</f>
        <v>5.2479625882302247E-2</v>
      </c>
      <c r="H30" s="234">
        <f>COUNT(J11:J15)</f>
        <v>5</v>
      </c>
      <c r="I30" s="194"/>
      <c r="J30" s="194"/>
      <c r="K30" s="194"/>
      <c r="L30" s="194"/>
      <c r="M30" s="194"/>
      <c r="N30" s="194"/>
      <c r="O30" s="194"/>
      <c r="P30" s="194"/>
      <c r="Q30" s="194"/>
    </row>
    <row r="31" spans="1:18">
      <c r="A31" s="269" t="str">
        <f t="shared" ref="A31:A33" si="0">B5</f>
        <v>Cal-H.STD</v>
      </c>
      <c r="B31" s="266">
        <f>AVERAGE(K16:K18)</f>
        <v>-21.178354302389135</v>
      </c>
      <c r="C31" s="426">
        <f>VAR(K16:K18)</f>
        <v>5.3845783479091096E-3</v>
      </c>
      <c r="D31" s="271">
        <f>STDEV(K16:K18)</f>
        <v>7.3379686207485986E-2</v>
      </c>
      <c r="E31" s="270">
        <f>AVERAGE(J16:J18)</f>
        <v>48.751479021699993</v>
      </c>
      <c r="F31" s="266">
        <f>VAR(J16:J18)</f>
        <v>18.928844051233046</v>
      </c>
      <c r="G31" s="271">
        <f>(STDEV(J16:J18))/E31</f>
        <v>8.9243018416854891E-2</v>
      </c>
      <c r="H31" s="230">
        <f>COUNT(J16:J18)</f>
        <v>3</v>
      </c>
      <c r="I31" s="194"/>
      <c r="J31" s="194"/>
      <c r="K31" s="194"/>
      <c r="L31" s="194"/>
      <c r="M31" s="194"/>
      <c r="N31" s="194"/>
      <c r="O31" s="194"/>
      <c r="P31" s="194"/>
      <c r="Q31" s="194"/>
    </row>
    <row r="32" spans="1:18" ht="12" thickBot="1">
      <c r="A32" s="520" t="str">
        <f t="shared" si="0"/>
        <v>Cal-L.STD</v>
      </c>
      <c r="B32" s="521">
        <f>AVERAGE(K19:K21)</f>
        <v>-30.301388572938947</v>
      </c>
      <c r="C32" s="522">
        <f>VAR(K19:K21)</f>
        <v>1.53993191290495E-3</v>
      </c>
      <c r="D32" s="523">
        <f>STDEV(K19:K21)</f>
        <v>3.9241966221189147E-2</v>
      </c>
      <c r="E32" s="521">
        <f>AVERAGE(J19:J21)</f>
        <v>46.224572404500002</v>
      </c>
      <c r="F32" s="521">
        <f>VAR(J19:J21)</f>
        <v>1.762118989628598</v>
      </c>
      <c r="G32" s="523">
        <f>(STDEV(J19:J21))/E32</f>
        <v>2.8717373274012588E-2</v>
      </c>
      <c r="H32" s="524">
        <f>COUNT(J19:J21)</f>
        <v>3</v>
      </c>
      <c r="I32" s="194"/>
      <c r="J32" s="194"/>
      <c r="K32" s="194"/>
      <c r="L32" s="194"/>
      <c r="M32" s="194"/>
      <c r="N32" s="273"/>
      <c r="O32" s="194"/>
      <c r="P32" s="194"/>
      <c r="Q32" s="194"/>
    </row>
    <row r="33" spans="1:17" ht="12.5" thickTop="1" thickBot="1">
      <c r="A33" s="525" t="str">
        <f t="shared" si="0"/>
        <v>Check QC</v>
      </c>
      <c r="B33" s="526">
        <f>AVERAGE(K22:K24)</f>
        <v>-10.614454877285498</v>
      </c>
      <c r="C33" s="527">
        <f>VAR(K22:K24)</f>
        <v>2.1483940027467742E-3</v>
      </c>
      <c r="D33" s="528">
        <f>STDEV(K22:K24)</f>
        <v>4.6350771328498672E-2</v>
      </c>
      <c r="E33" s="526">
        <f>AVERAGE(J22:J24)</f>
        <v>48.249835924266669</v>
      </c>
      <c r="F33" s="527">
        <f>VAR(J22:J24)</f>
        <v>5.236948994754794</v>
      </c>
      <c r="G33" s="529">
        <f>(STDEV(J22:J24))/E33</f>
        <v>4.7428930454698814E-2</v>
      </c>
      <c r="H33" s="530">
        <f>COUNT(J22:J24)</f>
        <v>3</v>
      </c>
      <c r="I33" s="272"/>
      <c r="J33" s="272"/>
      <c r="K33" s="273"/>
      <c r="L33" s="273"/>
      <c r="M33" s="273"/>
      <c r="N33" s="194"/>
      <c r="O33" s="194"/>
      <c r="P33" s="194"/>
      <c r="Q33" s="194"/>
    </row>
    <row r="34" spans="1:17">
      <c r="A34" s="194"/>
      <c r="B34" s="194"/>
      <c r="C34" s="194"/>
      <c r="D34" s="194"/>
      <c r="E34" s="194"/>
      <c r="F34" s="194"/>
      <c r="G34" s="194"/>
      <c r="H34" s="245"/>
      <c r="I34" s="245"/>
      <c r="J34" s="245"/>
      <c r="K34" s="194"/>
      <c r="L34" s="194"/>
      <c r="M34" s="194"/>
      <c r="N34" s="194"/>
      <c r="O34" s="194"/>
      <c r="P34" s="194"/>
      <c r="Q34" s="194"/>
    </row>
    <row r="35" spans="1:17">
      <c r="A35" s="194"/>
      <c r="B35" s="274" t="s">
        <v>96</v>
      </c>
      <c r="C35" s="194"/>
      <c r="D35" s="194"/>
      <c r="E35" s="194"/>
      <c r="F35" s="194"/>
      <c r="G35" s="194"/>
      <c r="H35" s="245"/>
      <c r="I35" s="245"/>
      <c r="J35" s="245"/>
      <c r="K35" s="194"/>
      <c r="L35" s="194"/>
      <c r="M35" s="194"/>
      <c r="N35" s="194"/>
      <c r="O35" s="194"/>
      <c r="P35" s="194"/>
      <c r="Q35" s="194"/>
    </row>
    <row r="36" spans="1:17">
      <c r="A36" s="194"/>
      <c r="B36" s="194"/>
      <c r="C36" s="194"/>
      <c r="D36" s="194"/>
      <c r="E36" s="194"/>
      <c r="F36" s="194"/>
      <c r="G36" s="194"/>
      <c r="H36" s="245"/>
      <c r="I36" s="245"/>
      <c r="J36" s="245"/>
      <c r="K36" s="194"/>
      <c r="L36" s="194"/>
      <c r="M36" s="194"/>
      <c r="N36" s="194"/>
      <c r="O36" s="194"/>
      <c r="P36" s="194"/>
      <c r="Q36" s="194"/>
    </row>
    <row r="37" spans="1:17">
      <c r="A37" s="194"/>
      <c r="B37" s="194"/>
      <c r="C37" s="194"/>
      <c r="D37" s="194"/>
      <c r="E37" s="194"/>
      <c r="F37" s="194"/>
      <c r="G37" s="194"/>
      <c r="H37" s="245"/>
      <c r="I37" s="245"/>
      <c r="J37" s="245"/>
      <c r="K37" s="194"/>
      <c r="L37" s="194"/>
      <c r="M37" s="194"/>
      <c r="N37" s="194"/>
      <c r="O37" s="194"/>
      <c r="P37" s="194"/>
      <c r="Q37" s="194"/>
    </row>
    <row r="38" spans="1:17">
      <c r="A38" s="194"/>
      <c r="B38" s="194"/>
      <c r="C38" s="194"/>
      <c r="D38" s="194"/>
      <c r="E38" s="194"/>
      <c r="F38" s="194"/>
      <c r="G38" s="194"/>
      <c r="H38" s="245"/>
      <c r="I38" s="245"/>
      <c r="J38" s="245"/>
      <c r="K38" s="194"/>
      <c r="L38" s="194"/>
      <c r="M38" s="194"/>
      <c r="N38" s="194"/>
      <c r="O38" s="194"/>
      <c r="P38" s="194"/>
      <c r="Q38" s="194"/>
    </row>
    <row r="39" spans="1:17">
      <c r="A39" s="194"/>
      <c r="B39" s="194"/>
      <c r="C39" s="194"/>
      <c r="D39" s="194"/>
      <c r="E39" s="194"/>
      <c r="F39" s="194"/>
      <c r="G39" s="194"/>
      <c r="H39" s="245"/>
      <c r="I39" s="245"/>
      <c r="J39" s="245"/>
      <c r="K39" s="194"/>
      <c r="L39" s="194"/>
      <c r="M39" s="194"/>
      <c r="N39" s="194"/>
      <c r="O39" s="194"/>
      <c r="P39" s="194"/>
      <c r="Q39" s="194"/>
    </row>
    <row r="40" spans="1:17">
      <c r="A40" s="194"/>
      <c r="B40" s="194"/>
      <c r="C40" s="194"/>
      <c r="D40" s="194"/>
      <c r="E40" s="194"/>
      <c r="F40" s="194"/>
      <c r="G40" s="194"/>
      <c r="H40" s="245"/>
      <c r="I40" s="245"/>
      <c r="J40" s="245"/>
      <c r="K40" s="194"/>
      <c r="L40" s="194"/>
      <c r="M40" s="194"/>
      <c r="N40" s="194"/>
      <c r="O40" s="194"/>
      <c r="P40" s="194"/>
      <c r="Q40" s="194"/>
    </row>
    <row r="41" spans="1:17">
      <c r="A41" s="194"/>
      <c r="B41" s="194"/>
      <c r="C41" s="194"/>
      <c r="D41" s="194"/>
      <c r="E41" s="194"/>
      <c r="F41" s="194"/>
      <c r="G41" s="194"/>
      <c r="H41" s="245"/>
      <c r="I41" s="245"/>
      <c r="J41" s="245"/>
      <c r="K41" s="194"/>
      <c r="L41" s="194"/>
      <c r="M41" s="194"/>
      <c r="N41" s="194"/>
      <c r="O41" s="194"/>
      <c r="P41" s="194"/>
      <c r="Q41" s="194"/>
    </row>
    <row r="42" spans="1:17">
      <c r="A42" s="194"/>
      <c r="B42" s="194"/>
      <c r="C42" s="194"/>
      <c r="D42" s="194"/>
      <c r="E42" s="194"/>
      <c r="F42" s="194"/>
      <c r="G42" s="194"/>
      <c r="H42" s="245"/>
      <c r="I42" s="245"/>
      <c r="J42" s="245"/>
      <c r="K42" s="194"/>
      <c r="L42" s="194"/>
      <c r="M42" s="194"/>
      <c r="N42" s="194"/>
      <c r="O42" s="194"/>
      <c r="P42" s="194"/>
      <c r="Q42" s="194"/>
    </row>
    <row r="43" spans="1:17">
      <c r="A43" s="194"/>
      <c r="B43" s="194"/>
      <c r="C43" s="194"/>
      <c r="D43" s="194"/>
      <c r="E43" s="194"/>
      <c r="F43" s="194"/>
      <c r="G43" s="194"/>
      <c r="H43" s="245"/>
      <c r="I43" s="245"/>
      <c r="J43" s="245"/>
      <c r="K43" s="194"/>
      <c r="L43" s="194"/>
      <c r="M43" s="194"/>
      <c r="N43" s="194"/>
      <c r="O43" s="194"/>
      <c r="P43" s="194"/>
      <c r="Q43" s="194"/>
    </row>
    <row r="44" spans="1:17">
      <c r="A44" s="194"/>
      <c r="B44" s="194"/>
      <c r="C44" s="194"/>
      <c r="D44" s="194"/>
      <c r="E44" s="194"/>
      <c r="F44" s="194"/>
      <c r="G44" s="194"/>
      <c r="H44" s="245"/>
      <c r="I44" s="245"/>
      <c r="J44" s="245"/>
      <c r="K44" s="194"/>
      <c r="L44" s="194"/>
      <c r="M44" s="194"/>
      <c r="N44" s="194"/>
      <c r="O44" s="194"/>
      <c r="P44" s="194"/>
      <c r="Q44" s="194"/>
    </row>
    <row r="45" spans="1:17">
      <c r="A45" s="194"/>
      <c r="B45" s="194"/>
      <c r="C45" s="194"/>
      <c r="D45" s="194"/>
      <c r="E45" s="194"/>
      <c r="F45" s="194"/>
      <c r="G45" s="194"/>
      <c r="H45" s="245"/>
      <c r="I45" s="245"/>
      <c r="J45" s="245"/>
      <c r="K45" s="194"/>
      <c r="L45" s="194"/>
      <c r="M45" s="194"/>
      <c r="N45" s="194"/>
      <c r="O45" s="194"/>
      <c r="P45" s="194"/>
      <c r="Q45" s="194"/>
    </row>
    <row r="46" spans="1:17">
      <c r="A46" s="194"/>
      <c r="B46" s="194"/>
      <c r="C46" s="194"/>
      <c r="D46" s="194"/>
      <c r="E46" s="194"/>
      <c r="F46" s="194"/>
      <c r="G46" s="194"/>
      <c r="H46" s="245"/>
      <c r="I46" s="245"/>
      <c r="J46" s="245"/>
      <c r="K46" s="194"/>
      <c r="L46" s="194"/>
      <c r="M46" s="194"/>
      <c r="N46" s="194"/>
      <c r="O46" s="194"/>
      <c r="P46" s="194"/>
      <c r="Q46" s="194"/>
    </row>
    <row r="47" spans="1:17">
      <c r="A47" s="194"/>
      <c r="B47" s="194"/>
      <c r="C47" s="194"/>
      <c r="D47" s="194"/>
      <c r="E47" s="194"/>
      <c r="F47" s="194"/>
      <c r="G47" s="194"/>
      <c r="H47" s="245"/>
      <c r="I47" s="245"/>
      <c r="J47" s="245"/>
      <c r="K47" s="194"/>
      <c r="L47" s="194"/>
      <c r="M47" s="194"/>
      <c r="N47" s="194"/>
      <c r="O47" s="194"/>
      <c r="P47" s="194"/>
      <c r="Q47" s="194"/>
    </row>
    <row r="48" spans="1:17">
      <c r="A48" s="194"/>
      <c r="B48" s="194"/>
      <c r="C48" s="194"/>
      <c r="D48" s="194"/>
      <c r="E48" s="194"/>
      <c r="F48" s="194"/>
      <c r="G48" s="194"/>
      <c r="H48" s="245"/>
      <c r="I48" s="245"/>
      <c r="J48" s="245"/>
      <c r="K48" s="194"/>
      <c r="L48" s="194"/>
      <c r="M48" s="194"/>
      <c r="N48" s="194"/>
      <c r="O48" s="194"/>
      <c r="P48" s="194"/>
      <c r="Q48" s="194"/>
    </row>
    <row r="49" spans="1:17">
      <c r="A49" s="194"/>
      <c r="B49" s="194"/>
      <c r="C49" s="194"/>
      <c r="D49" s="194"/>
      <c r="E49" s="194"/>
      <c r="F49" s="194"/>
      <c r="G49" s="194"/>
      <c r="H49" s="245"/>
      <c r="I49" s="245"/>
      <c r="J49" s="245"/>
      <c r="K49" s="194"/>
      <c r="L49" s="194"/>
      <c r="M49" s="194"/>
      <c r="N49" s="194"/>
      <c r="O49" s="194"/>
      <c r="P49" s="194"/>
      <c r="Q49" s="194"/>
    </row>
    <row r="50" spans="1:17">
      <c r="A50" s="194"/>
      <c r="B50" s="194"/>
      <c r="C50" s="194"/>
      <c r="D50" s="194"/>
      <c r="E50" s="194"/>
      <c r="F50" s="194"/>
      <c r="G50" s="194"/>
      <c r="H50" s="245"/>
      <c r="I50" s="245"/>
      <c r="J50" s="245"/>
      <c r="K50" s="194"/>
      <c r="L50" s="194"/>
      <c r="M50" s="194"/>
      <c r="N50" s="194"/>
      <c r="O50" s="194"/>
      <c r="P50" s="194"/>
      <c r="Q50" s="194"/>
    </row>
    <row r="51" spans="1:17">
      <c r="A51" s="194"/>
      <c r="B51" s="194"/>
      <c r="C51" s="194"/>
      <c r="D51" s="194"/>
      <c r="E51" s="194"/>
      <c r="F51" s="194"/>
      <c r="G51" s="194"/>
      <c r="H51" s="245"/>
      <c r="I51" s="245"/>
      <c r="J51" s="245"/>
      <c r="K51" s="194"/>
      <c r="L51" s="194"/>
      <c r="M51" s="194"/>
      <c r="N51" s="194"/>
      <c r="O51" s="194"/>
      <c r="P51" s="194"/>
      <c r="Q51" s="194"/>
    </row>
    <row r="52" spans="1:17">
      <c r="A52" s="194"/>
      <c r="B52" s="194"/>
      <c r="C52" s="194"/>
      <c r="D52" s="194"/>
      <c r="E52" s="194"/>
      <c r="F52" s="194"/>
      <c r="G52" s="194"/>
      <c r="H52" s="245"/>
      <c r="I52" s="245"/>
      <c r="J52" s="245"/>
      <c r="K52" s="194"/>
      <c r="L52" s="194"/>
      <c r="M52" s="194"/>
      <c r="N52" s="194"/>
      <c r="O52" s="194"/>
      <c r="P52" s="194"/>
      <c r="Q52" s="194"/>
    </row>
    <row r="53" spans="1:17">
      <c r="A53" s="194"/>
      <c r="B53" s="194"/>
      <c r="C53" s="194"/>
      <c r="D53" s="194"/>
      <c r="E53" s="194"/>
      <c r="F53" s="194"/>
      <c r="G53" s="194"/>
      <c r="H53" s="245"/>
      <c r="I53" s="245"/>
      <c r="J53" s="245"/>
      <c r="K53" s="194"/>
      <c r="L53" s="194"/>
      <c r="M53" s="194"/>
    </row>
  </sheetData>
  <protectedRanges>
    <protectedRange password="94AB" sqref="O24" name="Calibration Switch"/>
    <protectedRange password="94AB" sqref="A4:D6 A7 C7:D7" name="Standards"/>
    <protectedRange password="94AB" sqref="B35:J53 L11:L24" name="Notes"/>
    <protectedRange password="94AB" sqref="B7" name="ISIRF 13C Page"/>
  </protectedRanges>
  <phoneticPr fontId="0" type="noConversion"/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K28"/>
  <sheetViews>
    <sheetView workbookViewId="0">
      <selection activeCell="C17" sqref="C17"/>
    </sheetView>
  </sheetViews>
  <sheetFormatPr defaultRowHeight="12.5"/>
  <cols>
    <col min="1" max="1" width="25.26953125" bestFit="1" customWidth="1"/>
    <col min="2" max="2" width="21.26953125" bestFit="1" customWidth="1"/>
    <col min="3" max="3" width="6.453125" bestFit="1" customWidth="1"/>
    <col min="5" max="5" width="12.453125" bestFit="1" customWidth="1"/>
    <col min="6" max="6" width="12.81640625" bestFit="1" customWidth="1"/>
    <col min="7" max="7" width="11.26953125" bestFit="1" customWidth="1"/>
    <col min="8" max="8" width="12.81640625" bestFit="1" customWidth="1"/>
    <col min="9" max="9" width="20.26953125" bestFit="1" customWidth="1"/>
    <col min="10" max="10" width="25" bestFit="1" customWidth="1"/>
    <col min="11" max="11" width="9" bestFit="1" customWidth="1"/>
    <col min="14" max="14" width="19.54296875" bestFit="1" customWidth="1"/>
  </cols>
  <sheetData>
    <row r="1" spans="1:11" ht="30.75" customHeight="1" thickTop="1">
      <c r="A1" s="583" t="s">
        <v>236</v>
      </c>
      <c r="B1" s="584" t="s">
        <v>0</v>
      </c>
      <c r="C1" s="637" t="s">
        <v>335</v>
      </c>
      <c r="E1" s="593" t="s">
        <v>257</v>
      </c>
      <c r="F1" s="594" t="s">
        <v>258</v>
      </c>
      <c r="G1" s="594" t="s">
        <v>259</v>
      </c>
      <c r="H1" s="594" t="s">
        <v>260</v>
      </c>
      <c r="I1" s="595" t="s">
        <v>261</v>
      </c>
      <c r="J1" s="595" t="s">
        <v>262</v>
      </c>
      <c r="K1" s="596" t="s">
        <v>263</v>
      </c>
    </row>
    <row r="2" spans="1:11" ht="13">
      <c r="A2" s="589" t="s">
        <v>352</v>
      </c>
      <c r="B2" s="590" t="s">
        <v>251</v>
      </c>
      <c r="C2" s="634">
        <v>3</v>
      </c>
      <c r="E2" s="597" t="s">
        <v>264</v>
      </c>
      <c r="F2" s="598" t="s">
        <v>265</v>
      </c>
      <c r="G2" s="598" t="s">
        <v>266</v>
      </c>
      <c r="H2" s="599">
        <v>11</v>
      </c>
      <c r="I2" s="600" t="s">
        <v>267</v>
      </c>
      <c r="J2" s="601" t="s">
        <v>268</v>
      </c>
      <c r="K2" s="602">
        <v>4791</v>
      </c>
    </row>
    <row r="3" spans="1:11" ht="14.5">
      <c r="A3" s="587" t="s">
        <v>353</v>
      </c>
      <c r="B3" s="588" t="s">
        <v>246</v>
      </c>
      <c r="C3" s="635">
        <v>3</v>
      </c>
      <c r="E3" s="597" t="s">
        <v>269</v>
      </c>
      <c r="F3" s="598" t="s">
        <v>270</v>
      </c>
      <c r="G3" s="598" t="s">
        <v>266</v>
      </c>
      <c r="H3" s="598">
        <v>8</v>
      </c>
      <c r="I3" s="603" t="s">
        <v>271</v>
      </c>
      <c r="J3" s="601" t="s">
        <v>272</v>
      </c>
      <c r="K3" s="602">
        <v>4684</v>
      </c>
    </row>
    <row r="4" spans="1:11" ht="13">
      <c r="A4" s="585" t="s">
        <v>254</v>
      </c>
      <c r="B4" s="586" t="s">
        <v>238</v>
      </c>
      <c r="C4" s="636">
        <v>1.5</v>
      </c>
      <c r="E4" s="597" t="s">
        <v>273</v>
      </c>
      <c r="F4" s="598" t="s">
        <v>274</v>
      </c>
      <c r="G4" s="598" t="s">
        <v>275</v>
      </c>
      <c r="H4" s="598">
        <v>10</v>
      </c>
      <c r="I4" s="603" t="s">
        <v>276</v>
      </c>
      <c r="J4" s="601" t="s">
        <v>277</v>
      </c>
      <c r="K4" s="602">
        <v>4620</v>
      </c>
    </row>
    <row r="5" spans="1:11" ht="13">
      <c r="A5" s="585" t="s">
        <v>354</v>
      </c>
      <c r="B5" s="586" t="s">
        <v>239</v>
      </c>
      <c r="C5" s="636">
        <v>1</v>
      </c>
      <c r="E5" s="597" t="s">
        <v>278</v>
      </c>
      <c r="F5" s="598" t="s">
        <v>279</v>
      </c>
      <c r="G5" s="598" t="s">
        <v>280</v>
      </c>
      <c r="H5" s="598">
        <v>19</v>
      </c>
      <c r="I5" s="603" t="s">
        <v>281</v>
      </c>
      <c r="J5" s="601" t="s">
        <v>282</v>
      </c>
      <c r="K5" s="602">
        <v>4029</v>
      </c>
    </row>
    <row r="6" spans="1:11" ht="13">
      <c r="A6" s="585" t="s">
        <v>255</v>
      </c>
      <c r="B6" s="586" t="s">
        <v>240</v>
      </c>
      <c r="C6" s="636">
        <v>1</v>
      </c>
      <c r="E6" s="597" t="s">
        <v>283</v>
      </c>
      <c r="F6" s="598" t="s">
        <v>284</v>
      </c>
      <c r="G6" s="598" t="s">
        <v>285</v>
      </c>
      <c r="H6" s="598">
        <v>23</v>
      </c>
      <c r="I6" s="603"/>
      <c r="J6" s="601"/>
      <c r="K6" s="602"/>
    </row>
    <row r="7" spans="1:11" ht="13">
      <c r="A7" s="585" t="s">
        <v>355</v>
      </c>
      <c r="B7" s="586" t="s">
        <v>241</v>
      </c>
      <c r="C7" s="636">
        <v>2</v>
      </c>
      <c r="E7" s="597" t="s">
        <v>286</v>
      </c>
      <c r="F7" s="598" t="s">
        <v>287</v>
      </c>
      <c r="G7" s="598" t="s">
        <v>285</v>
      </c>
      <c r="H7" s="598">
        <v>22</v>
      </c>
      <c r="I7" s="603"/>
      <c r="J7" s="601"/>
      <c r="K7" s="602"/>
    </row>
    <row r="8" spans="1:11" ht="13">
      <c r="A8" s="585" t="s">
        <v>356</v>
      </c>
      <c r="B8" s="586" t="s">
        <v>242</v>
      </c>
      <c r="C8" s="636">
        <v>6.5</v>
      </c>
      <c r="E8" s="597" t="s">
        <v>288</v>
      </c>
      <c r="F8" s="598" t="s">
        <v>289</v>
      </c>
      <c r="G8" s="598" t="s">
        <v>266</v>
      </c>
      <c r="H8" s="598">
        <v>2</v>
      </c>
      <c r="I8" s="603" t="s">
        <v>290</v>
      </c>
      <c r="J8" s="601" t="s">
        <v>291</v>
      </c>
      <c r="K8" s="602">
        <v>4696</v>
      </c>
    </row>
    <row r="9" spans="1:11" ht="13">
      <c r="A9" s="585" t="s">
        <v>357</v>
      </c>
      <c r="B9" s="586" t="s">
        <v>245</v>
      </c>
      <c r="C9" s="636">
        <v>6.5</v>
      </c>
      <c r="E9" s="597" t="s">
        <v>292</v>
      </c>
      <c r="F9" s="598" t="s">
        <v>293</v>
      </c>
      <c r="G9" s="598" t="s">
        <v>294</v>
      </c>
      <c r="H9" s="598">
        <v>16</v>
      </c>
      <c r="I9" s="603" t="s">
        <v>295</v>
      </c>
      <c r="J9" s="601" t="s">
        <v>296</v>
      </c>
      <c r="K9" s="602">
        <v>4026</v>
      </c>
    </row>
    <row r="10" spans="1:11" ht="13">
      <c r="A10" s="587" t="s">
        <v>350</v>
      </c>
      <c r="B10" s="588" t="s">
        <v>243</v>
      </c>
      <c r="C10" s="635">
        <v>0.5</v>
      </c>
      <c r="E10" s="597" t="s">
        <v>297</v>
      </c>
      <c r="F10" s="598" t="s">
        <v>298</v>
      </c>
      <c r="G10" s="598" t="s">
        <v>266</v>
      </c>
      <c r="H10" s="598">
        <v>17</v>
      </c>
      <c r="I10" s="603" t="s">
        <v>299</v>
      </c>
      <c r="J10" s="601"/>
      <c r="K10" s="602">
        <v>4832</v>
      </c>
    </row>
    <row r="11" spans="1:11" ht="13">
      <c r="A11" s="587" t="s">
        <v>351</v>
      </c>
      <c r="B11" s="588" t="s">
        <v>247</v>
      </c>
      <c r="C11" s="635">
        <v>1</v>
      </c>
      <c r="E11" s="597" t="s">
        <v>300</v>
      </c>
      <c r="F11" s="598" t="s">
        <v>301</v>
      </c>
      <c r="G11" s="598" t="s">
        <v>266</v>
      </c>
      <c r="H11" s="598">
        <v>14</v>
      </c>
      <c r="I11" s="603" t="s">
        <v>302</v>
      </c>
      <c r="J11" s="601"/>
      <c r="K11" s="602">
        <v>4631</v>
      </c>
    </row>
    <row r="12" spans="1:11" ht="13">
      <c r="A12" s="587" t="s">
        <v>348</v>
      </c>
      <c r="B12" s="588" t="s">
        <v>237</v>
      </c>
      <c r="C12" s="635">
        <v>0.5</v>
      </c>
      <c r="E12" s="597" t="s">
        <v>303</v>
      </c>
      <c r="F12" s="598" t="s">
        <v>304</v>
      </c>
      <c r="G12" s="598" t="s">
        <v>275</v>
      </c>
      <c r="H12" s="598">
        <v>24</v>
      </c>
      <c r="I12" s="603" t="s">
        <v>347</v>
      </c>
      <c r="J12" s="601" t="s">
        <v>256</v>
      </c>
      <c r="K12" s="602">
        <v>4581</v>
      </c>
    </row>
    <row r="13" spans="1:11" ht="13">
      <c r="A13" s="587" t="s">
        <v>349</v>
      </c>
      <c r="B13" s="588" t="s">
        <v>237</v>
      </c>
      <c r="C13" s="635">
        <v>0.5</v>
      </c>
      <c r="E13" s="597" t="s">
        <v>305</v>
      </c>
      <c r="F13" s="598" t="s">
        <v>306</v>
      </c>
      <c r="G13" s="598" t="s">
        <v>266</v>
      </c>
      <c r="H13" s="598">
        <v>13</v>
      </c>
      <c r="I13" s="603" t="s">
        <v>307</v>
      </c>
      <c r="J13" s="601"/>
      <c r="K13" s="602">
        <v>4397</v>
      </c>
    </row>
    <row r="14" spans="1:11" ht="13">
      <c r="A14" s="587" t="s">
        <v>358</v>
      </c>
      <c r="B14" s="588" t="s">
        <v>244</v>
      </c>
      <c r="C14" s="635">
        <v>0.5</v>
      </c>
      <c r="E14" s="604" t="s">
        <v>308</v>
      </c>
      <c r="F14" s="605" t="s">
        <v>309</v>
      </c>
      <c r="G14" s="605" t="s">
        <v>310</v>
      </c>
      <c r="H14" s="605">
        <v>0</v>
      </c>
      <c r="I14" s="606" t="s">
        <v>345</v>
      </c>
      <c r="J14" s="607" t="s">
        <v>311</v>
      </c>
      <c r="K14" s="608">
        <v>4604</v>
      </c>
    </row>
    <row r="15" spans="1:11" ht="13">
      <c r="A15" s="587" t="s">
        <v>359</v>
      </c>
      <c r="B15" s="588" t="s">
        <v>244</v>
      </c>
      <c r="C15" s="635">
        <v>0.5</v>
      </c>
      <c r="E15" s="604" t="s">
        <v>344</v>
      </c>
      <c r="F15" s="605" t="s">
        <v>309</v>
      </c>
      <c r="G15" s="605" t="s">
        <v>310</v>
      </c>
      <c r="H15" s="605">
        <v>0</v>
      </c>
      <c r="I15" s="606" t="s">
        <v>345</v>
      </c>
      <c r="J15" s="601" t="s">
        <v>346</v>
      </c>
      <c r="K15" s="608"/>
    </row>
    <row r="16" spans="1:11" ht="13">
      <c r="A16" s="585" t="s">
        <v>249</v>
      </c>
      <c r="B16" s="586" t="s">
        <v>250</v>
      </c>
      <c r="C16" s="636">
        <v>1.2</v>
      </c>
      <c r="E16" s="604" t="s">
        <v>312</v>
      </c>
      <c r="F16" s="605" t="s">
        <v>313</v>
      </c>
      <c r="G16" s="605" t="s">
        <v>314</v>
      </c>
      <c r="H16" s="605">
        <v>25</v>
      </c>
      <c r="I16" s="609" t="s">
        <v>315</v>
      </c>
      <c r="J16" s="607" t="s">
        <v>316</v>
      </c>
      <c r="K16" s="610"/>
    </row>
    <row r="17" spans="1:8" ht="13.5" thickBot="1">
      <c r="A17" s="644" t="s">
        <v>360</v>
      </c>
      <c r="B17" s="645" t="s">
        <v>248</v>
      </c>
      <c r="C17" s="646">
        <v>0.6</v>
      </c>
    </row>
    <row r="18" spans="1:8" ht="15" thickTop="1">
      <c r="E18" s="611" t="s">
        <v>317</v>
      </c>
      <c r="H18" s="619" t="s">
        <v>322</v>
      </c>
    </row>
    <row r="19" spans="1:8" ht="14.5">
      <c r="E19" s="612" t="s">
        <v>318</v>
      </c>
      <c r="H19" s="620" t="s">
        <v>323</v>
      </c>
    </row>
    <row r="20" spans="1:8" ht="15" thickBot="1">
      <c r="E20" s="613" t="s">
        <v>319</v>
      </c>
      <c r="H20" s="620" t="s">
        <v>324</v>
      </c>
    </row>
    <row r="21" spans="1:8" ht="13" thickTop="1">
      <c r="E21" s="614"/>
      <c r="H21" s="621" t="s">
        <v>325</v>
      </c>
    </row>
    <row r="22" spans="1:8">
      <c r="E22" s="614"/>
    </row>
    <row r="23" spans="1:8">
      <c r="E23" s="614" t="s">
        <v>320</v>
      </c>
      <c r="H23" s="619" t="s">
        <v>326</v>
      </c>
    </row>
    <row r="24" spans="1:8">
      <c r="E24" s="615">
        <f ca="1">TODAY()</f>
        <v>44128</v>
      </c>
      <c r="H24" s="620" t="s">
        <v>327</v>
      </c>
    </row>
    <row r="25" spans="1:8">
      <c r="E25" s="614"/>
      <c r="H25" s="620" t="s">
        <v>328</v>
      </c>
    </row>
    <row r="26" spans="1:8">
      <c r="E26" s="614"/>
      <c r="H26" s="621" t="s">
        <v>329</v>
      </c>
    </row>
    <row r="27" spans="1:8">
      <c r="E27" s="686" t="s">
        <v>321</v>
      </c>
      <c r="F27" s="687"/>
    </row>
    <row r="28" spans="1:8">
      <c r="E28" s="616" t="str">
        <f ca="1">TEXT(E24,"yymmdd")</f>
        <v>241025</v>
      </c>
    </row>
  </sheetData>
  <sortState xmlns:xlrd2="http://schemas.microsoft.com/office/spreadsheetml/2017/richdata2" ref="N3:N18">
    <sortCondition ref="N3:N18"/>
  </sortState>
  <mergeCells count="1">
    <mergeCell ref="E27:F27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10"/>
  <sheetViews>
    <sheetView workbookViewId="0">
      <selection activeCell="B35" sqref="B35"/>
    </sheetView>
  </sheetViews>
  <sheetFormatPr defaultRowHeight="12.5"/>
  <cols>
    <col min="1" max="1" width="10.1796875" bestFit="1" customWidth="1"/>
    <col min="2" max="2" width="90.81640625" bestFit="1" customWidth="1"/>
  </cols>
  <sheetData>
    <row r="1" spans="1:3" ht="14.5">
      <c r="A1" s="639" t="s">
        <v>9</v>
      </c>
      <c r="B1" s="639" t="s">
        <v>338</v>
      </c>
      <c r="C1" s="639" t="s">
        <v>339</v>
      </c>
    </row>
    <row r="2" spans="1:3">
      <c r="A2" s="427">
        <v>42542</v>
      </c>
      <c r="B2" t="s">
        <v>336</v>
      </c>
      <c r="C2" t="s">
        <v>337</v>
      </c>
    </row>
    <row r="3" spans="1:3">
      <c r="A3" s="427"/>
    </row>
    <row r="4" spans="1:3">
      <c r="A4" s="427"/>
    </row>
    <row r="5" spans="1:3">
      <c r="A5" s="427"/>
    </row>
    <row r="6" spans="1:3">
      <c r="A6" s="427"/>
    </row>
    <row r="7" spans="1:3">
      <c r="A7" s="427"/>
    </row>
    <row r="8" spans="1:3">
      <c r="A8" s="427"/>
    </row>
    <row r="9" spans="1:3">
      <c r="A9" s="427"/>
    </row>
    <row r="10" spans="1:3">
      <c r="A10" s="427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Source xmlns="http://schemas.microsoft.com/sharepoint/v3/fields" xsi:nil="true"/>
    <Language xmlns="http://schemas.microsoft.com/sharepoint/v3">English</Language>
    <j747ac98061d40f0aa7bd47e1db5675d xmlns="4ffa91fb-a0ff-4ac5-b2db-65c790d184a4">
      <Terms xmlns="http://schemas.microsoft.com/office/infopath/2007/PartnerControls"/>
    </j747ac98061d40f0aa7bd47e1db5675d>
    <Records_x0020_Status xmlns="f7dc0521-1f3b-405e-a9d3-ebbbf74d10ad">Pending</Records_x0020_Status>
    <External_x0020_Contributor xmlns="4ffa91fb-a0ff-4ac5-b2db-65c790d184a4" xsi:nil="true"/>
    <TaxKeywordTaxHTField xmlns="4ffa91fb-a0ff-4ac5-b2db-65c790d184a4">
      <Terms xmlns="http://schemas.microsoft.com/office/infopath/2007/PartnerControls"/>
    </TaxKeywordTaxHTField>
    <Record xmlns="4ffa91fb-a0ff-4ac5-b2db-65c790d184a4">Shared</Record>
    <Rights xmlns="4ffa91fb-a0ff-4ac5-b2db-65c790d184a4" xsi:nil="true"/>
    <Document_x0020_Creation_x0020_Date xmlns="4ffa91fb-a0ff-4ac5-b2db-65c790d184a4">2020-06-22T16:33:01+00:00</Document_x0020_Creation_x0020_Date>
    <EPA_x0020_Office xmlns="4ffa91fb-a0ff-4ac5-b2db-65c790d184a4" xsi:nil="true"/>
    <CategoryDescription xmlns="http://schemas.microsoft.com/sharepoint.v3" xsi:nil="true"/>
    <Identifier xmlns="4ffa91fb-a0ff-4ac5-b2db-65c790d184a4" xsi:nil="true"/>
    <_Coverage xmlns="http://schemas.microsoft.com/sharepoint/v3/fields" xsi:nil="true"/>
    <Records_x0020_Date xmlns="f7dc0521-1f3b-405e-a9d3-ebbbf74d10ad" xsi:nil="true"/>
    <Creator xmlns="4ffa91fb-a0ff-4ac5-b2db-65c790d184a4">
      <UserInfo>
        <DisplayName/>
        <AccountId xsi:nil="true"/>
        <AccountType/>
      </UserInfo>
    </Creator>
    <EPA_x0020_Related_x0020_Documents xmlns="4ffa91fb-a0ff-4ac5-b2db-65c790d184a4" xsi:nil="true"/>
    <EPA_x0020_Contributor xmlns="4ffa91fb-a0ff-4ac5-b2db-65c790d184a4">
      <UserInfo>
        <DisplayName/>
        <AccountId xsi:nil="true"/>
        <AccountType/>
      </UserInfo>
    </EPA_x0020_Contributor>
    <TaxCatchAll xmlns="4ffa91fb-a0ff-4ac5-b2db-65c790d184a4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haredContentType xmlns="Microsoft.SharePoint.Taxonomy.ContentTypeSync" SourceId="29f62856-1543-49d4-a736-4569d363f533" ContentTypeId="0x0101" PreviousValue="false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C97701588B4C49AD749E486AB9DEC8" ma:contentTypeVersion="16" ma:contentTypeDescription="Create a new document." ma:contentTypeScope="" ma:versionID="3e22918c3078f356db8c8d15faa4e2e5">
  <xsd:schema xmlns:xsd="http://www.w3.org/2001/XMLSchema" xmlns:xs="http://www.w3.org/2001/XMLSchema" xmlns:p="http://schemas.microsoft.com/office/2006/metadata/properties" xmlns:ns1="http://schemas.microsoft.com/sharepoint/v3" xmlns:ns3="4ffa91fb-a0ff-4ac5-b2db-65c790d184a4" xmlns:ns4="http://schemas.microsoft.com/sharepoint.v3" xmlns:ns5="http://schemas.microsoft.com/sharepoint/v3/fields" xmlns:ns6="f7dc0521-1f3b-405e-a9d3-ebbbf74d10ad" xmlns:ns7="76c74a2d-1fa5-4d4e-9abe-6a07335fa29f" targetNamespace="http://schemas.microsoft.com/office/2006/metadata/properties" ma:root="true" ma:fieldsID="e69c7a63a80ef28e29f4e890d562d3c7" ns1:_="" ns3:_="" ns4:_="" ns5:_="" ns6:_="" ns7:_="">
    <xsd:import namespace="http://schemas.microsoft.com/sharepoint/v3"/>
    <xsd:import namespace="4ffa91fb-a0ff-4ac5-b2db-65c790d184a4"/>
    <xsd:import namespace="http://schemas.microsoft.com/sharepoint.v3"/>
    <xsd:import namespace="http://schemas.microsoft.com/sharepoint/v3/fields"/>
    <xsd:import namespace="f7dc0521-1f3b-405e-a9d3-ebbbf74d10ad"/>
    <xsd:import namespace="76c74a2d-1fa5-4d4e-9abe-6a07335fa29f"/>
    <xsd:element name="properties">
      <xsd:complexType>
        <xsd:sequence>
          <xsd:element name="documentManagement">
            <xsd:complexType>
              <xsd:all>
                <xsd:element ref="ns3:Document_x0020_Creation_x0020_Date" minOccurs="0"/>
                <xsd:element ref="ns3:Creator" minOccurs="0"/>
                <xsd:element ref="ns3:EPA_x0020_Office" minOccurs="0"/>
                <xsd:element ref="ns3:Record" minOccurs="0"/>
                <xsd:element ref="ns4:CategoryDescription" minOccurs="0"/>
                <xsd:element ref="ns3:Identifier" minOccurs="0"/>
                <xsd:element ref="ns3:EPA_x0020_Contributor" minOccurs="0"/>
                <xsd:element ref="ns3:External_x0020_Contributor" minOccurs="0"/>
                <xsd:element ref="ns5:_Coverage" minOccurs="0"/>
                <xsd:element ref="ns3:EPA_x0020_Related_x0020_Documents" minOccurs="0"/>
                <xsd:element ref="ns5:_Source" minOccurs="0"/>
                <xsd:element ref="ns3:Rights" minOccurs="0"/>
                <xsd:element ref="ns1:Language" minOccurs="0"/>
                <xsd:element ref="ns3:j747ac98061d40f0aa7bd47e1db5675d" minOccurs="0"/>
                <xsd:element ref="ns3:TaxKeywordTaxHTField" minOccurs="0"/>
                <xsd:element ref="ns3:TaxCatchAllLabel" minOccurs="0"/>
                <xsd:element ref="ns3:TaxCatchAll" minOccurs="0"/>
                <xsd:element ref="ns6:SharedWithUsers" minOccurs="0"/>
                <xsd:element ref="ns6:SharedWithDetails" minOccurs="0"/>
                <xsd:element ref="ns6:SharingHintHash" minOccurs="0"/>
                <xsd:element ref="ns6:Records_x0020_Status" minOccurs="0"/>
                <xsd:element ref="ns6:Records_x0020_Date" minOccurs="0"/>
                <xsd:element ref="ns7:MediaServiceMetadata" minOccurs="0"/>
                <xsd:element ref="ns7:MediaServiceFastMetadata" minOccurs="0"/>
                <xsd:element ref="ns7:MediaServiceAutoTags" minOccurs="0"/>
                <xsd:element ref="ns7:MediaServiceOCR" minOccurs="0"/>
                <xsd:element ref="ns7:MediaServiceGenerationTime" minOccurs="0"/>
                <xsd:element ref="ns7:MediaServiceEventHashCode" minOccurs="0"/>
                <xsd:element ref="ns7:MediaServiceDateTaken" minOccurs="0"/>
                <xsd:element ref="ns7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Language" ma:index="17" nillable="true" ma:displayName="Language" ma:default="English" ma:description="Select the document language from the drop down." ma:format="Dropdown" ma:internalName="Language" ma:readOnly="false">
      <xsd:simpleType>
        <xsd:restriction base="dms:Choice">
          <xsd:enumeration value="Arabic (Saudi Arabia)"/>
          <xsd:enumeration value="Bulgarian (Bulgaria)"/>
          <xsd:enumeration value="Chinese (Hong Kong S.A.R.)"/>
          <xsd:enumeration value="Chinese (People's Republic of China)"/>
          <xsd:enumeration value="Chinese (Taiwan)"/>
          <xsd:enumeration value="Croatian (Croatia)"/>
          <xsd:enumeration value="Czech (Czech Republic)"/>
          <xsd:enumeration value="Danish (Denmark)"/>
          <xsd:enumeration value="Dutch (Netherlands)"/>
          <xsd:enumeration value="English"/>
          <xsd:enumeration value="Estonian (Estonia)"/>
          <xsd:enumeration value="Finnish (Finland)"/>
          <xsd:enumeration value="French (France)"/>
          <xsd:enumeration value="German (Germany)"/>
          <xsd:enumeration value="Greek (Greece)"/>
          <xsd:enumeration value="Hebrew (Israel)"/>
          <xsd:enumeration value="Hindi (India)"/>
          <xsd:enumeration value="Hungarian (Hungary)"/>
          <xsd:enumeration value="Indonesian (Indonesia)"/>
          <xsd:enumeration value="Italian (Italy)"/>
          <xsd:enumeration value="Japanese (Japan)"/>
          <xsd:enumeration value="Korean (Korea)"/>
          <xsd:enumeration value="Latvian (Latvia)"/>
          <xsd:enumeration value="Lithuanian (Lithuania)"/>
          <xsd:enumeration value="Malay (Malaysia)"/>
          <xsd:enumeration value="Norwegian (Bokmal) (Norway)"/>
          <xsd:enumeration value="Polish (Poland)"/>
          <xsd:enumeration value="Portuguese (Brazil)"/>
          <xsd:enumeration value="Portuguese (Portugal)"/>
          <xsd:enumeration value="Romanian (Romania)"/>
          <xsd:enumeration value="Russian (Russia)"/>
          <xsd:enumeration value="Serbian (Latin) (Serbia)"/>
          <xsd:enumeration value="Slovak (Slovakia)"/>
          <xsd:enumeration value="Slovenian (Slovenia)"/>
          <xsd:enumeration value="Spanish (Spain)"/>
          <xsd:enumeration value="Swedish (Sweden)"/>
          <xsd:enumeration value="Thai (Thailand)"/>
          <xsd:enumeration value="Turkish (Turkey)"/>
          <xsd:enumeration value="Ukrainian (Ukraine)"/>
          <xsd:enumeration value="Urdu (Islamic Republic of Pakistan)"/>
          <xsd:enumeration value="Vietnamese (Vietnam)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fa91fb-a0ff-4ac5-b2db-65c790d184a4" elementFormDefault="qualified">
    <xsd:import namespace="http://schemas.microsoft.com/office/2006/documentManagement/types"/>
    <xsd:import namespace="http://schemas.microsoft.com/office/infopath/2007/PartnerControls"/>
    <xsd:element name="Document_x0020_Creation_x0020_Date" ma:index="2" nillable="true" ma:displayName="Document Date" ma:default="[today]" ma:description="Enter the date this document was last modified. The upload date has been entered by default." ma:format="DateOnly" ma:internalName="Document_x0020_Creation_x0020_Date" ma:readOnly="false">
      <xsd:simpleType>
        <xsd:restriction base="dms:DateTime"/>
      </xsd:simpleType>
    </xsd:element>
    <xsd:element name="Creator" ma:index="3" nillable="true" ma:displayName="Creator" ma:description="Enter the person primarily responsible for the document. The name of the person uploading the document has been entered by default." ma:list="UserInfo" ma:SharePointGroup="0" ma:internalName="Creato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PA_x0020_Office" ma:index="4" nillable="true" ma:displayName="EPA Office" ma:description="Enter the EPA organization primarily responsible for the document. The office of the person uploading the document has been entered by default." ma:internalName="EPA_x0020_Office">
      <xsd:simpleType>
        <xsd:restriction base="dms:Text">
          <xsd:maxLength value="255"/>
        </xsd:restriction>
      </xsd:simpleType>
    </xsd:element>
    <xsd:element name="Record" ma:index="5" nillable="true" ma:displayName="Record" ma:default="Shared" ma:description="For documents that provide evidence of EPA decisions and actions, select &quot;Shared&quot; (open access) or &quot;Private&quot; (restricted access)." ma:format="Dropdown" ma:internalName="Record">
      <xsd:simpleType>
        <xsd:restriction base="dms:Choice">
          <xsd:enumeration value="None"/>
          <xsd:enumeration value="Shared"/>
          <xsd:enumeration value="Private"/>
        </xsd:restriction>
      </xsd:simpleType>
    </xsd:element>
    <xsd:element name="Identifier" ma:index="9" nillable="true" ma:displayName="Identifier" ma:description="Enter all EPA identification numbers applicable to this document, one on each line." ma:internalName="Identifier" ma:readOnly="false">
      <xsd:simpleType>
        <xsd:restriction base="dms:Note">
          <xsd:maxLength value="255"/>
        </xsd:restriction>
      </xsd:simpleType>
    </xsd:element>
    <xsd:element name="EPA_x0020_Contributor" ma:index="11" nillable="true" ma:displayName="EPA Contributor" ma:description="Enter an EPA person who contributed to the creation of the document but is not the primary author." ma:list="UserInfo" ma:SharePointGroup="0" ma:internalName="EPA_x0020_Contributor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xternal_x0020_Contributor" ma:index="12" nillable="true" ma:displayName="External Contributor" ma:description="Enter a non-EPA person who contributed to the creation of the document but is not the primary author." ma:internalName="External_x0020_Contributor" ma:readOnly="false">
      <xsd:simpleType>
        <xsd:restriction base="dms:Note">
          <xsd:maxLength value="255"/>
        </xsd:restriction>
      </xsd:simpleType>
    </xsd:element>
    <xsd:element name="EPA_x0020_Related_x0020_Documents" ma:index="14" nillable="true" ma:displayName="Other Related Documents" ma:description="Enter any related document." ma:internalName="EPA_x0020_Related_x0020_Documents">
      <xsd:simpleType>
        <xsd:restriction base="dms:Note">
          <xsd:maxLength value="255"/>
        </xsd:restriction>
      </xsd:simpleType>
    </xsd:element>
    <xsd:element name="Rights" ma:index="16" nillable="true" ma:displayName="Rights" ma:description="Enter information about intellectual property rights held over the document (e.g. copyright, patent, trademark)." ma:internalName="Rights" ma:readOnly="false">
      <xsd:simpleType>
        <xsd:restriction base="dms:Note">
          <xsd:maxLength value="255"/>
        </xsd:restriction>
      </xsd:simpleType>
    </xsd:element>
    <xsd:element name="j747ac98061d40f0aa7bd47e1db5675d" ma:index="19" nillable="true" ma:taxonomy="true" ma:internalName="j747ac98061d40f0aa7bd47e1db5675d" ma:taxonomyFieldName="Document_x0020_Type" ma:displayName="Document Type" ma:readOnly="false" ma:default="" ma:fieldId="{3747ac98-061d-40f0-aa7b-d47e1db5675d}" ma:sspId="29f62856-1543-49d4-a736-4569d363f533" ma:termSetId="e06cd6a9-a175-4da0-81cb-8dba7aa394a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KeywordTaxHTField" ma:index="21" nillable="true" ma:taxonomy="true" ma:internalName="TaxKeywordTaxHTField" ma:taxonomyFieldName="TaxKeyword" ma:displayName="Enterprise Keywords" ma:readOnly="false" ma:fieldId="{23f27201-bee3-471e-b2e7-b64fd8b7ca38}" ma:taxonomyMulti="true" ma:sspId="29f62856-1543-49d4-a736-4569d363f533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Label" ma:index="23" nillable="true" ma:displayName="Taxonomy Catch All Column1" ma:hidden="true" ma:list="{fbdd0f2f-3df3-4c0c-9ddf-35143f38c917}" ma:internalName="TaxCatchAllLabel" ma:readOnly="true" ma:showField="CatchAllDataLabel" ma:web="f7dc0521-1f3b-405e-a9d3-ebbbf74d10a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" ma:index="24" nillable="true" ma:displayName="Taxonomy Catch All Column" ma:hidden="true" ma:list="{fbdd0f2f-3df3-4c0c-9ddf-35143f38c917}" ma:internalName="TaxCatchAll" ma:showField="CatchAllData" ma:web="f7dc0521-1f3b-405e-a9d3-ebbbf74d10a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.v3" elementFormDefault="qualified">
    <xsd:import namespace="http://schemas.microsoft.com/office/2006/documentManagement/types"/>
    <xsd:import namespace="http://schemas.microsoft.com/office/infopath/2007/PartnerControls"/>
    <xsd:element name="CategoryDescription" ma:index="6" nillable="true" ma:displayName="Description" ma:description="Enter a brief description." ma:internalName="CategoryDescription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Coverage" ma:index="13" nillable="true" ma:displayName="Coverage" ma:description="Enter the geographic location, jurisdiction, or time period for which the document is relevant." ma:internalName="_Coverage" ma:readOnly="false">
      <xsd:simpleType>
        <xsd:restriction base="dms:Text">
          <xsd:maxLength value="255"/>
        </xsd:restriction>
      </xsd:simpleType>
    </xsd:element>
    <xsd:element name="_Source" ma:index="15" nillable="true" ma:displayName="Source" ma:description="Enter a source from which the document is derived." ma:internalName="_Source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c0521-1f3b-405e-a9d3-ebbbf74d10ad" elementFormDefault="qualified">
    <xsd:import namespace="http://schemas.microsoft.com/office/2006/documentManagement/types"/>
    <xsd:import namespace="http://schemas.microsoft.com/office/infopath/2007/PartnerControls"/>
    <xsd:element name="SharedWithUsers" ma:index="2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30" nillable="true" ma:displayName="Sharing Hint Hash" ma:description="" ma:hidden="true" ma:internalName="SharingHintHash" ma:readOnly="true">
      <xsd:simpleType>
        <xsd:restriction base="dms:Text"/>
      </xsd:simpleType>
    </xsd:element>
    <xsd:element name="Records_x0020_Status" ma:index="31" nillable="true" ma:displayName="Records Status" ma:default="Pending" ma:internalName="Records_x0020_Status">
      <xsd:simpleType>
        <xsd:restriction base="dms:Text"/>
      </xsd:simpleType>
    </xsd:element>
    <xsd:element name="Records_x0020_Date" ma:index="32" nillable="true" ma:displayName="Records Date" ma:hidden="true" ma:internalName="Records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c74a2d-1fa5-4d4e-9abe-6a07335fa2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3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3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35" nillable="true" ma:displayName="Tags" ma:internalName="MediaServiceAutoTags" ma:readOnly="true">
      <xsd:simpleType>
        <xsd:restriction base="dms:Text"/>
      </xsd:simpleType>
    </xsd:element>
    <xsd:element name="MediaServiceOCR" ma:index="3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3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3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4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6777AE3-FED0-4751-ACCC-DAF9D5947B68}">
  <ds:schemaRefs>
    <ds:schemaRef ds:uri="http://schemas.microsoft.com/sharepoint/v3"/>
    <ds:schemaRef ds:uri="http://schemas.microsoft.com/office/infopath/2007/PartnerControls"/>
    <ds:schemaRef ds:uri="http://purl.org/dc/terms/"/>
    <ds:schemaRef ds:uri="f7dc0521-1f3b-405e-a9d3-ebbbf74d10ad"/>
    <ds:schemaRef ds:uri="4ffa91fb-a0ff-4ac5-b2db-65c790d184a4"/>
    <ds:schemaRef ds:uri="http://schemas.microsoft.com/office/2006/documentManagement/types"/>
    <ds:schemaRef ds:uri="76c74a2d-1fa5-4d4e-9abe-6a07335fa29f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schemas.microsoft.com/sharepoint/v3/fields"/>
    <ds:schemaRef ds:uri="http://schemas.microsoft.com/sharepoint.v3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3259793-D3CB-41B6-BE10-74B18CCBB8C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A5F8D24-D173-420D-91DD-4D63BE6B1A54}">
  <ds:schemaRefs>
    <ds:schemaRef ds:uri="Microsoft.SharePoint.Taxonomy.ContentTypeSync"/>
  </ds:schemaRefs>
</ds:datastoreItem>
</file>

<file path=customXml/itemProps4.xml><?xml version="1.0" encoding="utf-8"?>
<ds:datastoreItem xmlns:ds="http://schemas.openxmlformats.org/officeDocument/2006/customXml" ds:itemID="{1A469C1B-F9A2-4990-90C8-6FC03BA781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ffa91fb-a0ff-4ac5-b2db-65c790d184a4"/>
    <ds:schemaRef ds:uri="http://schemas.microsoft.com/sharepoint.v3"/>
    <ds:schemaRef ds:uri="http://schemas.microsoft.com/sharepoint/v3/fields"/>
    <ds:schemaRef ds:uri="f7dc0521-1f3b-405e-a9d3-ebbbf74d10ad"/>
    <ds:schemaRef ds:uri="76c74a2d-1fa5-4d4e-9abe-6a07335fa2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COVER</vt:lpstr>
      <vt:lpstr>Investigator Data</vt:lpstr>
      <vt:lpstr>Weigh Sheet</vt:lpstr>
      <vt:lpstr>Investigator QA Data</vt:lpstr>
      <vt:lpstr>ISIRF RAW</vt:lpstr>
      <vt:lpstr>ISIRF 15N</vt:lpstr>
      <vt:lpstr>ISIRF 13C</vt:lpstr>
      <vt:lpstr>Tables</vt:lpstr>
      <vt:lpstr>Revisions</vt:lpstr>
      <vt:lpstr>COVER!Print_Area</vt:lpstr>
      <vt:lpstr>'Investigator Data'!Print_Area</vt:lpstr>
      <vt:lpstr>'Weigh Sheet'!Print_Area</vt:lpstr>
      <vt:lpstr>'Weigh Sheet'!Print_Titles</vt:lpstr>
      <vt:lpstr>Standards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EA Template version 1</dc:title>
  <dc:subject>ISIRF Template for EA samples</dc:subject>
  <dc:creator>J. Renee Brooks</dc:creator>
  <cp:lastModifiedBy>Wang, Lena (she/her/hers)</cp:lastModifiedBy>
  <cp:lastPrinted>2024-10-21T22:13:22Z</cp:lastPrinted>
  <dcterms:created xsi:type="dcterms:W3CDTF">2000-03-01T21:58:50Z</dcterms:created>
  <dcterms:modified xsi:type="dcterms:W3CDTF">2024-10-25T15:08:23Z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0x0101000CC97701588B4C49AD749E486AB9DEC8</vt:lpwstr>
  </property>
</Properties>
</file>