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62" documentId="8_{FB3F2F36-A5B8-478E-A74F-F0307D3E925E}" xr6:coauthVersionLast="47" xr6:coauthVersionMax="47" xr10:uidLastSave="{F92A6C27-D3D2-4E21-AD5F-F169B18665ED}"/>
  <bookViews>
    <workbookView xWindow="-110" yWindow="-110" windowWidth="19420" windowHeight="1030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<sst xmlns="http://schemas.openxmlformats.org/spreadsheetml/2006/main" count="560" uniqueCount="407">
  <si>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</si>
  <si>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</si>
  <si>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</si>
  <si>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</si>
  <si>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</si>
  <si>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</si>
  <si>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</si>
  <si>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</si>
  <si>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</si>
  <si>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</si>
  <si>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</si>
  <si>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</si>
  <si>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</si>
  <si>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</si>
  <si>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</si>
  <si>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</si>
  <si>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</si>
  <si>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</si>
  <si>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</si>
  <si>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</si>
  <si>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</si>
  <si>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</si>
  <si>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</si>
  <si>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</si>
  <si>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</si>
  <si>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</si>
  <si>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</si>
  <si>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</si>
  <si>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</si>
  <si>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</si>
  <si>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</si>
  <si>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</si>
  <si>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</si>
  <si>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</si>
  <si>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</si>
  <si>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</si>
  <si>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</si>
  <si>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</si>
  <si>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</si>
  <si>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</si>
  <si>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</si>
  <si>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</si>
  <si>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</si>
  <si>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</si>
  <si>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</si>
  <si>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</si>
  <si>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</si>
  <si>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</si>
  <si>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</si>
  <si>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</si>
  <si>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</si>
  <si>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</si>
  <si>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</si>
  <si>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</si>
  <si>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</si>
  <si>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</si>
  <si>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</si>
  <si>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</si>
  <si>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</si>
  <si>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</si>
  <si>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</si>
  <si>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</si>
  <si>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</si>
  <si>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</si>
  <si>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</si>
  <si>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</si>
  <si>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</si>
  <si>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</si>
  <si>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</si>
  <si>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</si>
  <si>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</si>
  <si>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</si>
  <si>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</si>
  <si>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</si>
  <si>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</si>
  <si>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</si>
  <si>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</si>
  <si>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</si>
  <si>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</si>
  <si>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</si>
  <si>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</si>
  <si>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</si>
  <si>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</si>
  <si>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</si>
  <si>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</si>
  <si>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</si>
  <si>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</si>
  <si>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</si>
  <si>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</si>
  <si>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</si>
  <si>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</si>
  <si>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</si>
  <si>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</si>
  <si>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</si>
  <si>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</si>
  <si>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</si>
  <si>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</si>
  <si>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</si>
  <si>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</si>
  <si>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</si>
  <si>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</si>
  <si>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</si>
  <si>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</si>
  <si>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</si>
  <si>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</si>
  <si>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</si>
  <si>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</si>
  <si>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</si>
  <si>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</si>
  <si>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</si>
  <si>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</si>
  <si>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</si>
  <si>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</si>
  <si>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</si>
  <si>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</si>
  <si>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</si>
  <si>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</si>
  <si>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</si>
  <si>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</si>
  <si>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</si>
  <si>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</si>
  <si>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</si>
  <si>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</si>
  <si>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</si>
  <si>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</si>
  <si>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</si>
  <si>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</si>
  <si>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</si>
  <si>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</si>
  <si>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</si>
  <si>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</si>
  <si>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</si>
  <si>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</si>
  <si>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</si>
  <si>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</si>
  <si>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</si>
  <si>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</si>
  <si>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</si>
  <si>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</si>
  <si>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</si>
  <si>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</si>
  <si>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</si>
  <si>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</si>
  <si>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</si>
  <si>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</si>
  <si>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</si>
  <si>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</si>
  <si>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</si>
  <si>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</si>
  <si>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</si>
  <si>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</si>
  <si>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</si>
  <si>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</si>
  <si>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</si>
  <si>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</si>
  <si>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</si>
  <si>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</si>
  <si>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</si>
  <si>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</si>
  <si>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</si>
  <si>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</si>
  <si>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</si>
  <si>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</si>
  <si>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</si>
  <si>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</si>
  <si>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</si>
  <si>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</si>
  <si>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</si>
  <si>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</si>
  <si>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</si>
  <si>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</si>
  <si>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</si>
  <si>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</si>
  <si>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</si>
  <si>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</si>
  <si>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</si>
  <si>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</si>
  <si>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</si>
  <si>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</si>
  <si>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</si>
  <si>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</si>
  <si>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</si>
  <si>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</si>
  <si>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</si>
  <si>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</si>
  <si>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</si>
  <si>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</si>
  <si>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</si>
  <si>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</si>
  <si>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</si>
  <si>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</si>
  <si>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</si>
  <si>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</si>
  <si>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</si>
  <si>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</si>
  <si>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</si>
  <si>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</si>
  <si>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</si>
  <si>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</si>
  <si>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</si>
  <si>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</si>
  <si>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</si>
  <si>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</si>
  <si>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</si>
  <si>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</si>
  <si>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</si>
  <si>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</si>
  <si>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</si>
  <si>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</si>
  <si>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</si>
  <si>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</si>
  <si>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</si>
  <si>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</si>
  <si>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</si>
  <si>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</si>
  <si>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</si>
  <si>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</si>
  <si>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</si>
  <si>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</si>
  <si>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</si>
  <si>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</si>
  <si>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</si>
  <si>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</si>
  <si>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</si>
  <si>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</si>
  <si>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</si>
  <si>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</si>
  <si>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</si>
  <si>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</si>
  <si>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</si>
  <si>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</si>
  <si>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</si>
  <si>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</si>
  <si>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</si>
  <si>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</si>
  <si>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</si>
  <si>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</si>
  <si>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</si>
  <si>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</si>
  <si>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</si>
  <si>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</si>
  <si>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</si>
  <si>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</si>
  <si>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</si>
  <si>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</si>
  <si>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</si>
  <si>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</si>
  <si>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</si>
  <si>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</si>
  <si>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</si>
  <si>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</si>
  <si>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</si>
  <si>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</si>
  <si>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</si>
  <si>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</si>
  <si>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</si>
  <si>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</si>
  <si>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</si>
  <si>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</si>
  <si>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</si>
  <si>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</si>
  <si>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</si>
  <si>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</si>
  <si>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</si>
  <si>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</si>
  <si>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</si>
  <si>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</si>
  <si>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</si>
  <si>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</si>
  <si>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</si>
  <si>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</si>
  <si>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</si>
  <si>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</si>
  <si>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</si>
  <si>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</si>
  <si>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</si>
  <si>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</si>
  <si>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</si>
  <si>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</si>
  <si>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</si>
  <si>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</si>
  <si>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</si>
  <si>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</si>
  <si>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</si>
  <si>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</si>
  <si>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</si>
  <si>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</si>
  <si>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</si>
  <si>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</si>
  <si>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</si>
  <si>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</si>
  <si>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</si>
  <si>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</si>
  <si>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</si>
  <si>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</si>
  <si>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</si>
  <si>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</si>
  <si>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</si>
  <si>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</si>
  <si>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</si>
  <si>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</si>
  <si>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</si>
  <si>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</si>
  <si>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</si>
  <si>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</si>
  <si>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</si>
  <si>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</si>
  <si>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</si>
  <si>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</si>
  <si>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</si>
  <si>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</si>
  <si>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</si>
  <si>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</si>
  <si>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</si>
  <si>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</si>
  <si>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</si>
  <si>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</si>
  <si>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</si>
  <si>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</si>
  <si>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</si>
  <si>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</si>
  <si>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</si>
  <si>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</si>
  <si>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</si>
  <si>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</si>
  <si>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</si>
  <si>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</si>
  <si>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</si>
  <si>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</si>
  <si>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</si>
  <si>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</si>
  <si>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</si>
  <si>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</si>
  <si>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</si>
  <si>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</si>
  <si>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</si>
  <si>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</si>
  <si>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</si>
  <si>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</si>
  <si>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</si>
  <si>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</si>
  <si>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</si>
  <si>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</si>
  <si>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</si>
  <si>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</si>
  <si>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</si>
  <si>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</si>
  <si>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</si>
  <si>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</si>
  <si>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</si>
  <si>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</si>
  <si>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</si>
  <si>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</si>
  <si>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</si>
  <si>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</si>
  <si>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</si>
  <si>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</si>
  <si>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</si>
  <si>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</si>
  <si>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</si>
  <si>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</si>
  <si>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</si>
  <si>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</si>
  <si>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</si>
  <si>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Project</t>
  </si>
  <si>
    <t xml:space="preserve">20240407_S2_J </t>
  </si>
  <si>
    <t xml:space="preserve">20240407_S3_A </t>
  </si>
  <si>
    <t xml:space="preserve">20240407_S3_B </t>
  </si>
  <si>
    <t xml:space="preserve">20240407_S3_C </t>
  </si>
  <si>
    <t xml:space="preserve">20240407_S3_D </t>
  </si>
  <si>
    <t>20240407_S3_E</t>
  </si>
  <si>
    <t>20240407_S3_F</t>
  </si>
  <si>
    <t xml:space="preserve">20240407_S4_A </t>
  </si>
  <si>
    <t>20240407_S4_A _Dup</t>
  </si>
  <si>
    <t xml:space="preserve">20240407_S4_B </t>
  </si>
  <si>
    <t xml:space="preserve">20240407_S4_C </t>
  </si>
  <si>
    <t xml:space="preserve">20240407_S4_D </t>
  </si>
  <si>
    <t xml:space="preserve">20240407_S4_E </t>
  </si>
  <si>
    <t xml:space="preserve">20240407_S4_F </t>
  </si>
  <si>
    <t xml:space="preserve">20240407_S4_G </t>
  </si>
  <si>
    <t xml:space="preserve">20240407_S4_H </t>
  </si>
  <si>
    <t>20240407_S4_I</t>
  </si>
  <si>
    <t>20240407_S4_J</t>
  </si>
  <si>
    <t xml:space="preserve">20240407_SS1_A </t>
  </si>
  <si>
    <t xml:space="preserve">20240407_SS1_B </t>
  </si>
  <si>
    <t xml:space="preserve">20240407_SS1_C </t>
  </si>
  <si>
    <t xml:space="preserve">20240407_SS1_D </t>
  </si>
  <si>
    <t xml:space="preserve">20240407_SS1_E </t>
  </si>
  <si>
    <t xml:space="preserve">20240407_SS1_F </t>
  </si>
  <si>
    <t xml:space="preserve">20240407_SS1_G </t>
  </si>
  <si>
    <t xml:space="preserve">20240407_SS1_H </t>
  </si>
  <si>
    <t xml:space="preserve">20240407_SS1_I </t>
  </si>
  <si>
    <t xml:space="preserve">20240407_SS1_J </t>
  </si>
  <si>
    <t>20240407_SS1_K</t>
  </si>
  <si>
    <t xml:space="preserve">20240407_W1_A </t>
  </si>
  <si>
    <t xml:space="preserve">20240407_W1_B </t>
  </si>
  <si>
    <t xml:space="preserve">20240407_W1_C </t>
  </si>
  <si>
    <t xml:space="preserve">20240407_W1_D </t>
  </si>
  <si>
    <t xml:space="preserve">20240407_W1_E </t>
  </si>
  <si>
    <t xml:space="preserve">20240407_W1_F </t>
  </si>
  <si>
    <t>20240407_W1_F_Dup</t>
  </si>
  <si>
    <t>KansasROAR-4</t>
  </si>
  <si>
    <t>The Kansas ROAR projects investigates soil health practices influences over nitrate leaching (Soil Samples collected from 0-8 inches in Kansas farmlands)</t>
  </si>
  <si>
    <t>Soil</t>
  </si>
  <si>
    <t>240610</t>
  </si>
  <si>
    <t>-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</si>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</sst>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31" dataDxfId="29" headerRowBorderDxfId="30" tableBorderDxfId="28" totalsRowBorderDxfId="27" headerRowCellStyle="Accent3">
  <autoFilter ref="E1:K16" xr:uid="{B118AAE5-6314-4991-BDCF-17CA9FBC3FF9}"/>
  <tableColumns count="7">
    <tableColumn id="1" xr3:uid="{5D36B30D-77B8-4D5D-9895-480D061267C8}" name="Last Name" dataDxfId="26"/>
    <tableColumn id="2" xr3:uid="{A6E9D35F-FE71-4119-B014-9E48C54984B4}" name="First Name" dataDxfId="25"/>
    <tableColumn id="3" xr3:uid="{3999A4BB-7307-470B-A6E4-445EE30963B1}" name="Branch" dataDxfId="24"/>
    <tableColumn id="4" xr3:uid="{7CB69ADB-FD93-4D3B-B155-F71BE7E3770F}" name="ID Number" dataDxfId="23"/>
    <tableColumn id="5" xr3:uid="{940639FA-9D60-4218-AF21-AAC1E4B69678}" name="Address" dataDxfId="22"/>
    <tableColumn id="6" xr3:uid="{6B88A187-DB08-469F-9EAA-D4B0D564CB1A}" name="email Address" dataDxfId="21"/>
    <tableColumn id="7" xr3:uid="{2758765F-F6B7-49E9-A496-3CB036C89C91}" name="Phone" dataDxf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workbookViewId="0">
      <selection activeCell="G22" sqref="G22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IC15N-240610-10KansasROAR-4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402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401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403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404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 ht="13">
      <c r="B35" s="34" t="s">
        <v>100</v>
      </c>
      <c r="C35" s="665" t="s">
        <v>99</v>
      </c>
      <c r="D35" s="666"/>
    </row>
    <row r="36" spans="2:4" ht="13">
      <c r="B36" s="35" t="s">
        <v>105</v>
      </c>
      <c r="C36" s="667" t="s">
        <v>104</v>
      </c>
      <c r="D36" s="668"/>
    </row>
    <row r="37" spans="2:4" ht="13">
      <c r="B37" s="35" t="s">
        <v>120</v>
      </c>
      <c r="C37" s="667" t="s">
        <v>122</v>
      </c>
      <c r="D37" s="668"/>
    </row>
    <row r="38" spans="2:4" ht="13">
      <c r="B38" s="48" t="s">
        <v>121</v>
      </c>
      <c r="C38" s="667" t="s">
        <v>106</v>
      </c>
      <c r="D38" s="668"/>
    </row>
    <row r="39" spans="2:4" ht="13">
      <c r="B39" s="644" t="s">
        <v>146</v>
      </c>
      <c r="C39" s="669" t="s">
        <v>108</v>
      </c>
      <c r="D39" s="670"/>
    </row>
    <row r="40" spans="2:4" ht="13">
      <c r="B40" s="645" t="s">
        <v>101</v>
      </c>
      <c r="C40" s="654" t="s">
        <v>107</v>
      </c>
      <c r="D40" s="655"/>
    </row>
    <row r="41" spans="2:4" ht="15">
      <c r="B41" s="437" t="s">
        <v>102</v>
      </c>
      <c r="C41" s="656" t="s">
        <v>147</v>
      </c>
      <c r="D41" s="657"/>
    </row>
    <row r="42" spans="2:4" ht="15">
      <c r="B42" s="437" t="s">
        <v>103</v>
      </c>
      <c r="C42" s="656" t="s">
        <v>148</v>
      </c>
      <c r="D42" s="657"/>
    </row>
    <row r="43" spans="2:4" ht="14.5">
      <c r="B43" s="437" t="s">
        <v>179</v>
      </c>
      <c r="C43" s="658" t="s">
        <v>180</v>
      </c>
      <c r="D43" s="659"/>
    </row>
    <row r="44" spans="2:4" ht="13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7 C9:C23" name="Cover data_1_1_1"/>
    <protectedRange password="94AB" sqref="C8" name="Cover data_1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topLeftCell="A3" workbookViewId="0">
      <selection activeCell="J21" sqref="J21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1" t="str">
        <f>COVER!C2</f>
        <v>IC15N-240610-10KansasROAR-4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365</v>
      </c>
      <c r="C4" s="574">
        <v>30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366</v>
      </c>
      <c r="C5" s="574">
        <v>30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367</v>
      </c>
      <c r="C6" s="574">
        <v>30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368</v>
      </c>
      <c r="C7" s="574">
        <v>30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369</v>
      </c>
      <c r="C8" s="574">
        <v>30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370</v>
      </c>
      <c r="C9" s="574">
        <v>30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371</v>
      </c>
      <c r="C10" s="574">
        <v>30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372</v>
      </c>
      <c r="C11" s="574">
        <v>30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373</v>
      </c>
      <c r="C12" s="574">
        <v>30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374</v>
      </c>
      <c r="C13" s="574">
        <v>30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375</v>
      </c>
      <c r="C14" s="574">
        <v>30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376</v>
      </c>
      <c r="C15" s="574">
        <v>30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377</v>
      </c>
      <c r="C16" s="574">
        <v>30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378</v>
      </c>
      <c r="C17" s="574">
        <v>30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379</v>
      </c>
      <c r="C18" s="574">
        <v>30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380</v>
      </c>
      <c r="C19" s="574">
        <v>30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381</v>
      </c>
      <c r="C20" s="574">
        <v>30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382</v>
      </c>
      <c r="C21" s="574">
        <v>30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383</v>
      </c>
      <c r="C22" s="574">
        <v>30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384</v>
      </c>
      <c r="C23" s="574">
        <v>30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385</v>
      </c>
      <c r="C24" s="574">
        <v>30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386</v>
      </c>
      <c r="C25" s="574">
        <v>30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387</v>
      </c>
      <c r="C26" s="574">
        <v>30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388</v>
      </c>
      <c r="C27" s="574">
        <v>30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389</v>
      </c>
      <c r="C28" s="574">
        <v>30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390</v>
      </c>
      <c r="C29" s="574">
        <v>30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391</v>
      </c>
      <c r="C30" s="574">
        <v>30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392</v>
      </c>
      <c r="C31" s="574">
        <v>30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393</v>
      </c>
      <c r="C32" s="574">
        <v>30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394</v>
      </c>
      <c r="C33" s="574">
        <v>30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395</v>
      </c>
      <c r="C34" s="574">
        <v>30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396</v>
      </c>
      <c r="C35" s="574">
        <v>30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397</v>
      </c>
      <c r="C36" s="574">
        <v>30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398</v>
      </c>
      <c r="C37" s="574">
        <v>30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399</v>
      </c>
      <c r="C38" s="574">
        <v>30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400</v>
      </c>
      <c r="C39" s="574">
        <v>30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workbookViewId="0">
      <selection activeCell="E69" sqref="E69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IC15N-240610-10KansasROAR-4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240610</v>
      </c>
      <c r="T11" s="2"/>
    </row>
    <row r="12" spans="1:50" ht="14.5">
      <c r="A12" s="169" t="s">
        <v>181</v>
      </c>
      <c r="B12" s="162"/>
      <c r="C12" s="636" t="s">
        <v>355</v>
      </c>
      <c r="D12" s="642">
        <f>VLOOKUP(C12,Tables!A2:C17,3,FALSE)</f>
        <v>2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IC15N240610-101</v>
      </c>
      <c r="B17" s="179" t="s">
        <v>37</v>
      </c>
      <c r="C17" s="180" t="s">
        <v>34</v>
      </c>
      <c r="D17" s="303"/>
      <c r="E17" s="465" t="s">
        <v>405</v>
      </c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IC15N240610-102</v>
      </c>
      <c r="B18" s="179" t="s">
        <v>38</v>
      </c>
      <c r="C18" s="180" t="s">
        <v>34</v>
      </c>
      <c r="D18" s="303"/>
      <c r="E18" s="465" t="s">
        <v>405</v>
      </c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IC15N240610-103</v>
      </c>
      <c r="B19" s="179" t="s">
        <v>39</v>
      </c>
      <c r="C19" s="180" t="str">
        <f>$C$9</f>
        <v>ISIRF Ulva</v>
      </c>
      <c r="D19" s="303">
        <f>$D$9</f>
        <v>1.2</v>
      </c>
      <c r="E19" s="464">
        <v>1.2729999999999999</v>
      </c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IC15N240610-104</v>
      </c>
      <c r="B20" s="179" t="s">
        <v>40</v>
      </c>
      <c r="C20" s="180" t="str">
        <f>$C$10</f>
        <v>ISIRF Chitin</v>
      </c>
      <c r="D20" s="303">
        <f>$D$10</f>
        <v>1</v>
      </c>
      <c r="E20" s="464">
        <v>1.038</v>
      </c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IC15N240610-105</v>
      </c>
      <c r="B21" s="179" t="s">
        <v>41</v>
      </c>
      <c r="C21" s="180" t="str">
        <f>$C$11</f>
        <v>ISIRF Bamboo</v>
      </c>
      <c r="D21" s="303">
        <f>$D$11</f>
        <v>1.5</v>
      </c>
      <c r="E21" s="465">
        <v>1.496</v>
      </c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IC15N240610-106</v>
      </c>
      <c r="B22" s="179" t="s">
        <v>42</v>
      </c>
      <c r="C22" s="180" t="str">
        <f>C12</f>
        <v>NBS 1572 Citrus Leaf</v>
      </c>
      <c r="D22" s="303">
        <f>D12</f>
        <v>2</v>
      </c>
      <c r="E22" s="465">
        <v>2.0379999999999998</v>
      </c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IC15N240610-107</v>
      </c>
      <c r="B23" s="179" t="s">
        <v>43</v>
      </c>
      <c r="C23" s="410" t="str">
        <f>IF('Investigator Data'!B4="","","R1-"&amp;'Investigator Data'!B4)</f>
        <v xml:space="preserve">R1-20240407_S2_J </v>
      </c>
      <c r="D23" s="304">
        <f>IF('Investigator Data'!C4="",$D$8,'Investigator Data'!C4)</f>
        <v>30</v>
      </c>
      <c r="E23" s="465">
        <v>29.097999999999999</v>
      </c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IC15N240610-108</v>
      </c>
      <c r="B24" s="179" t="s">
        <v>44</v>
      </c>
      <c r="C24" s="182" t="str">
        <f>IF('Investigator Data'!B5="","",'Investigator Data'!B5)</f>
        <v xml:space="preserve">20240407_S3_A </v>
      </c>
      <c r="D24" s="304">
        <f>IF('Investigator Data'!C5="",$D$8,'Investigator Data'!C5)</f>
        <v>30</v>
      </c>
      <c r="E24" s="465">
        <v>29.411999999999999</v>
      </c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IC15N240610-109</v>
      </c>
      <c r="B25" s="179" t="s">
        <v>187</v>
      </c>
      <c r="C25" s="182" t="str">
        <f>IF('Investigator Data'!B6="","",'Investigator Data'!B6)</f>
        <v xml:space="preserve">20240407_S3_B </v>
      </c>
      <c r="D25" s="304">
        <f>IF('Investigator Data'!C6="",$D$8,'Investigator Data'!C6)</f>
        <v>30</v>
      </c>
      <c r="E25" s="465">
        <v>29.901</v>
      </c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IC15N240610-1010</v>
      </c>
      <c r="B26" s="179" t="s">
        <v>188</v>
      </c>
      <c r="C26" s="182" t="str">
        <f>IF('Investigator Data'!B7="","",'Investigator Data'!B7)</f>
        <v xml:space="preserve">20240407_S3_C </v>
      </c>
      <c r="D26" s="304">
        <f>IF('Investigator Data'!C7="",$D$8,'Investigator Data'!C7)</f>
        <v>30</v>
      </c>
      <c r="E26" s="465">
        <v>30.36</v>
      </c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IC15N240610-1011</v>
      </c>
      <c r="B27" s="179" t="s">
        <v>189</v>
      </c>
      <c r="C27" s="182" t="str">
        <f>IF('Investigator Data'!B8="","",'Investigator Data'!B8)</f>
        <v xml:space="preserve">20240407_S3_D </v>
      </c>
      <c r="D27" s="304">
        <f>IF('Investigator Data'!C8="",$D$8,'Investigator Data'!C8)</f>
        <v>30</v>
      </c>
      <c r="E27" s="465">
        <v>30.61</v>
      </c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IC15N240610-1012</v>
      </c>
      <c r="B28" s="179" t="s">
        <v>190</v>
      </c>
      <c r="C28" s="182" t="str">
        <f>IF('Investigator Data'!B9="","",'Investigator Data'!B9)</f>
        <v>20240407_S3_E</v>
      </c>
      <c r="D28" s="304">
        <f>IF('Investigator Data'!C9="",$D$8,'Investigator Data'!C9)</f>
        <v>30</v>
      </c>
      <c r="E28" s="465">
        <v>30.024999999999999</v>
      </c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IC15N240610-1013</v>
      </c>
      <c r="B29" s="179" t="s">
        <v>45</v>
      </c>
      <c r="C29" s="182" t="str">
        <f>IF('Investigator Data'!B10="","",'Investigator Data'!B10)</f>
        <v>20240407_S3_F</v>
      </c>
      <c r="D29" s="304">
        <f>IF('Investigator Data'!C10="",$D$8,'Investigator Data'!C10)</f>
        <v>30</v>
      </c>
      <c r="E29" s="465">
        <v>30.36</v>
      </c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IC15N240610-1014</v>
      </c>
      <c r="B30" s="179" t="s">
        <v>46</v>
      </c>
      <c r="C30" s="182" t="str">
        <f>IF('Investigator Data'!B11="","",'Investigator Data'!B11)</f>
        <v xml:space="preserve">20240407_S4_A </v>
      </c>
      <c r="D30" s="304">
        <f>IF('Investigator Data'!C11="",$D$8,'Investigator Data'!C11)</f>
        <v>30</v>
      </c>
      <c r="E30" s="465">
        <v>29.55</v>
      </c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IC15N240610-1015</v>
      </c>
      <c r="B31" s="179" t="s">
        <v>47</v>
      </c>
      <c r="C31" s="182" t="str">
        <f>IF('Investigator Data'!B12="","",'Investigator Data'!B12)</f>
        <v>20240407_S4_A _Dup</v>
      </c>
      <c r="D31" s="304">
        <f>IF('Investigator Data'!C12="",$D$8,'Investigator Data'!C12)</f>
        <v>30</v>
      </c>
      <c r="E31" s="465">
        <v>29.597999999999999</v>
      </c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IC15N240610-1016</v>
      </c>
      <c r="B32" s="179" t="s">
        <v>48</v>
      </c>
      <c r="C32" s="180" t="str">
        <f>$C$9</f>
        <v>ISIRF Ulva</v>
      </c>
      <c r="D32" s="303">
        <f>$D$9</f>
        <v>1.2</v>
      </c>
      <c r="E32" s="465">
        <v>1.2609999999999999</v>
      </c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IC15N240610-1017</v>
      </c>
      <c r="B33" s="179" t="s">
        <v>49</v>
      </c>
      <c r="C33" s="182" t="str">
        <f>IF('Investigator Data'!B13="","",'Investigator Data'!B13)</f>
        <v xml:space="preserve">20240407_S4_B </v>
      </c>
      <c r="D33" s="304">
        <f>IF('Investigator Data'!C13="",$D$8,'Investigator Data'!C13)</f>
        <v>30</v>
      </c>
      <c r="E33" s="465">
        <v>30.277999999999999</v>
      </c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IC15N240610-1018</v>
      </c>
      <c r="B34" s="179" t="s">
        <v>50</v>
      </c>
      <c r="C34" s="182" t="str">
        <f>IF('Investigator Data'!B14="","",'Investigator Data'!B14)</f>
        <v xml:space="preserve">20240407_S4_C </v>
      </c>
      <c r="D34" s="304">
        <f>IF('Investigator Data'!C14="",$D$8,'Investigator Data'!C14)</f>
        <v>30</v>
      </c>
      <c r="E34" s="465">
        <v>30.027999999999999</v>
      </c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IC15N240610-1019</v>
      </c>
      <c r="B35" s="179" t="s">
        <v>51</v>
      </c>
      <c r="C35" s="182" t="str">
        <f>IF('Investigator Data'!B15="","",'Investigator Data'!B15)</f>
        <v xml:space="preserve">20240407_S4_D </v>
      </c>
      <c r="D35" s="304">
        <f>IF('Investigator Data'!C15="",$D$8,'Investigator Data'!C15)</f>
        <v>30</v>
      </c>
      <c r="E35" s="465">
        <v>29.779</v>
      </c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IC15N240610-1020</v>
      </c>
      <c r="B36" s="179" t="s">
        <v>52</v>
      </c>
      <c r="C36" s="182" t="str">
        <f>IF('Investigator Data'!B16="","",'Investigator Data'!B16)</f>
        <v xml:space="preserve">20240407_S4_E </v>
      </c>
      <c r="D36" s="304">
        <f>IF('Investigator Data'!C16="",$D$8,'Investigator Data'!C16)</f>
        <v>30</v>
      </c>
      <c r="E36" s="465">
        <v>30.710999999999999</v>
      </c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IC15N240610-1021</v>
      </c>
      <c r="B37" s="179" t="s">
        <v>191</v>
      </c>
      <c r="C37" s="410" t="str">
        <f>IF('Investigator Data'!B17="","","R2-"&amp;'Investigator Data'!B17)</f>
        <v xml:space="preserve">R2-20240407_S4_F </v>
      </c>
      <c r="D37" s="304">
        <f>IF('Investigator Data'!C17="",$D$8,'Investigator Data'!C17)</f>
        <v>30</v>
      </c>
      <c r="E37" s="465">
        <v>30.091000000000001</v>
      </c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IC15N240610-1022</v>
      </c>
      <c r="B38" s="179" t="s">
        <v>192</v>
      </c>
      <c r="C38" s="410" t="str">
        <f>IF('Investigator Data'!B17="","","R2-"&amp;'Investigator Data'!B17)</f>
        <v xml:space="preserve">R2-20240407_S4_F </v>
      </c>
      <c r="D38" s="304">
        <f>IF('Investigator Data'!C17="",$D$8,'Investigator Data'!C17)</f>
        <v>30</v>
      </c>
      <c r="E38" s="465">
        <v>30.038</v>
      </c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IC15N240610-1023</v>
      </c>
      <c r="B39" s="179" t="s">
        <v>193</v>
      </c>
      <c r="C39" s="182" t="str">
        <f>IF('Investigator Data'!B18="","",'Investigator Data'!B18)</f>
        <v xml:space="preserve">20240407_S4_G </v>
      </c>
      <c r="D39" s="304">
        <f>IF('Investigator Data'!C18="",$D$8,'Investigator Data'!C18)</f>
        <v>30</v>
      </c>
      <c r="E39" s="465">
        <v>30.295000000000002</v>
      </c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IC15N240610-1024</v>
      </c>
      <c r="B40" s="179" t="s">
        <v>194</v>
      </c>
      <c r="C40" s="182" t="str">
        <f>IF('Investigator Data'!B19="","",'Investigator Data'!B19)</f>
        <v xml:space="preserve">20240407_S4_H </v>
      </c>
      <c r="D40" s="304">
        <f>IF('Investigator Data'!C19="",$D$8,'Investigator Data'!C19)</f>
        <v>30</v>
      </c>
      <c r="E40" s="465">
        <v>29.72</v>
      </c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IC15N240610-1025</v>
      </c>
      <c r="B41" s="179" t="s">
        <v>174</v>
      </c>
      <c r="C41" s="182" t="str">
        <f>IF('Investigator Data'!B20="","",'Investigator Data'!B20)</f>
        <v>20240407_S4_I</v>
      </c>
      <c r="D41" s="304">
        <f>IF('Investigator Data'!C20="",$D$8,'Investigator Data'!C20)</f>
        <v>30</v>
      </c>
      <c r="E41" s="465">
        <v>30.495999999999999</v>
      </c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IC15N240610-1026</v>
      </c>
      <c r="B42" s="179" t="s">
        <v>53</v>
      </c>
      <c r="C42" s="182" t="str">
        <f>IF('Investigator Data'!B21="","",'Investigator Data'!B21)</f>
        <v>20240407_S4_J</v>
      </c>
      <c r="D42" s="304">
        <f>IF('Investigator Data'!C21="",$D$8,'Investigator Data'!C21)</f>
        <v>30</v>
      </c>
      <c r="E42" s="465">
        <v>31.016999999999999</v>
      </c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IC15N240610-1027</v>
      </c>
      <c r="B43" s="179" t="s">
        <v>54</v>
      </c>
      <c r="C43" s="180" t="s">
        <v>34</v>
      </c>
      <c r="D43" s="303"/>
      <c r="E43" s="465" t="s">
        <v>405</v>
      </c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IC15N240610-1028</v>
      </c>
      <c r="B44" s="179" t="s">
        <v>55</v>
      </c>
      <c r="C44" s="180" t="str">
        <f>$C$9</f>
        <v>ISIRF Ulva</v>
      </c>
      <c r="D44" s="303">
        <f>$D$9</f>
        <v>1.2</v>
      </c>
      <c r="E44" s="465">
        <v>1.2969999999999999</v>
      </c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IC15N240610-1029</v>
      </c>
      <c r="B45" s="179" t="s">
        <v>56</v>
      </c>
      <c r="C45" s="180" t="str">
        <f>C10</f>
        <v>ISIRF Chitin</v>
      </c>
      <c r="D45" s="303">
        <f>$D$10</f>
        <v>1</v>
      </c>
      <c r="E45" s="465">
        <v>1.0389999999999999</v>
      </c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IC15N240610-1030</v>
      </c>
      <c r="B46" s="179" t="s">
        <v>57</v>
      </c>
      <c r="C46" s="180" t="str">
        <f>C11</f>
        <v>ISIRF Bamboo</v>
      </c>
      <c r="D46" s="303">
        <f>$D$11</f>
        <v>1.5</v>
      </c>
      <c r="E46" s="465">
        <v>1.534</v>
      </c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IC15N240610-1031</v>
      </c>
      <c r="B47" s="179" t="s">
        <v>58</v>
      </c>
      <c r="C47" s="180" t="str">
        <f>C12</f>
        <v>NBS 1572 Citrus Leaf</v>
      </c>
      <c r="D47" s="303">
        <f>$D$12</f>
        <v>2</v>
      </c>
      <c r="E47" s="465">
        <v>2.0910000000000002</v>
      </c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IC15N240610-1032</v>
      </c>
      <c r="B48" s="179" t="s">
        <v>59</v>
      </c>
      <c r="C48" s="183" t="str">
        <f>IF('Investigator Data'!B22="","",'Investigator Data'!B22)</f>
        <v xml:space="preserve">20240407_SS1_A </v>
      </c>
      <c r="D48" s="304">
        <f>IF('Investigator Data'!C22="",$D$8,'Investigator Data'!C22)</f>
        <v>30</v>
      </c>
      <c r="E48" s="465">
        <v>29.427</v>
      </c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IC15N240610-1033</v>
      </c>
      <c r="B49" s="179" t="s">
        <v>195</v>
      </c>
      <c r="C49" s="183" t="str">
        <f>IF('Investigator Data'!B23="","",'Investigator Data'!B23)</f>
        <v xml:space="preserve">20240407_SS1_B </v>
      </c>
      <c r="D49" s="304">
        <f>IF('Investigator Data'!C23="",$D$8,'Investigator Data'!C23)</f>
        <v>30</v>
      </c>
      <c r="E49" s="465">
        <v>30.667000000000002</v>
      </c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IC15N240610-1034</v>
      </c>
      <c r="B50" s="179" t="s">
        <v>196</v>
      </c>
      <c r="C50" s="183" t="str">
        <f>IF('Investigator Data'!B24="","",'Investigator Data'!B24)</f>
        <v xml:space="preserve">20240407_SS1_C </v>
      </c>
      <c r="D50" s="304">
        <f>IF('Investigator Data'!C24="",$D$8,'Investigator Data'!C24)</f>
        <v>30</v>
      </c>
      <c r="E50" s="465">
        <v>30.376000000000001</v>
      </c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IC15N240610-1035</v>
      </c>
      <c r="B51" s="179" t="s">
        <v>197</v>
      </c>
      <c r="C51" s="183" t="str">
        <f>IF('Investigator Data'!B25="","",'Investigator Data'!B25)</f>
        <v xml:space="preserve">20240407_SS1_D </v>
      </c>
      <c r="D51" s="304">
        <f>IF('Investigator Data'!C25="",$D$8,'Investigator Data'!C25)</f>
        <v>30</v>
      </c>
      <c r="E51" s="465">
        <v>29.335000000000001</v>
      </c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IC15N240610-1036</v>
      </c>
      <c r="B52" s="179" t="s">
        <v>198</v>
      </c>
      <c r="C52" s="183" t="str">
        <f>IF('Investigator Data'!B26="","",'Investigator Data'!B26)</f>
        <v xml:space="preserve">20240407_SS1_E </v>
      </c>
      <c r="D52" s="304">
        <f>IF('Investigator Data'!C26="",$D$8,'Investigator Data'!C26)</f>
        <v>30</v>
      </c>
      <c r="E52" s="465">
        <v>29.715</v>
      </c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IC15N240610-1037</v>
      </c>
      <c r="B53" s="179" t="s">
        <v>60</v>
      </c>
      <c r="C53" s="183" t="str">
        <f>IF('Investigator Data'!B27="","",'Investigator Data'!B27)</f>
        <v xml:space="preserve">20240407_SS1_F </v>
      </c>
      <c r="D53" s="304">
        <f>IF('Investigator Data'!C27="",$D$8,'Investigator Data'!C27)</f>
        <v>30</v>
      </c>
      <c r="E53" s="465">
        <v>29.763999999999999</v>
      </c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IC15N240610-1038</v>
      </c>
      <c r="B54" s="179" t="s">
        <v>61</v>
      </c>
      <c r="C54" s="183" t="str">
        <f>IF('Investigator Data'!B28="","",'Investigator Data'!B28)</f>
        <v xml:space="preserve">20240407_SS1_G </v>
      </c>
      <c r="D54" s="304">
        <f>IF('Investigator Data'!C28="",$D$8,'Investigator Data'!C28)</f>
        <v>30</v>
      </c>
      <c r="E54" s="465">
        <v>30.094000000000001</v>
      </c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IC15N240610-1039</v>
      </c>
      <c r="B55" s="179" t="s">
        <v>62</v>
      </c>
      <c r="C55" s="183" t="str">
        <f>IF('Investigator Data'!B29="","",'Investigator Data'!B29)</f>
        <v xml:space="preserve">20240407_SS1_H </v>
      </c>
      <c r="D55" s="304">
        <f>IF('Investigator Data'!C29="",$D$8,'Investigator Data'!C29)</f>
        <v>30</v>
      </c>
      <c r="E55" s="465">
        <v>30.669</v>
      </c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IC15N240610-1040</v>
      </c>
      <c r="B56" s="179" t="s">
        <v>63</v>
      </c>
      <c r="C56" s="183" t="str">
        <f>IF('Investigator Data'!B30="","",'Investigator Data'!B30)</f>
        <v xml:space="preserve">20240407_SS1_I </v>
      </c>
      <c r="D56" s="304">
        <f>IF('Investigator Data'!C30="",$D$8,'Investigator Data'!C30)</f>
        <v>30</v>
      </c>
      <c r="E56" s="465">
        <v>29.969000000000001</v>
      </c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IC15N240610-1041</v>
      </c>
      <c r="B57" s="179" t="s">
        <v>64</v>
      </c>
      <c r="C57" s="180" t="str">
        <f>$C$9</f>
        <v>ISIRF Ulva</v>
      </c>
      <c r="D57" s="303">
        <f>$D$9</f>
        <v>1.2</v>
      </c>
      <c r="E57" s="465">
        <v>1.1240000000000001</v>
      </c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IC15N240610-1042</v>
      </c>
      <c r="B58" s="179" t="s">
        <v>65</v>
      </c>
      <c r="C58" s="183" t="str">
        <f>IF('Investigator Data'!B31="","",'Investigator Data'!B31)</f>
        <v xml:space="preserve">20240407_SS1_J </v>
      </c>
      <c r="D58" s="304">
        <f>IF('Investigator Data'!C31="",$D$8,'Investigator Data'!C31)</f>
        <v>30</v>
      </c>
      <c r="E58" s="465">
        <v>29.521000000000001</v>
      </c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IC15N240610-1043</v>
      </c>
      <c r="B59" s="179" t="s">
        <v>11</v>
      </c>
      <c r="C59" s="183" t="str">
        <f>IF('Investigator Data'!B32="","",'Investigator Data'!B32)</f>
        <v>20240407_SS1_K</v>
      </c>
      <c r="D59" s="304">
        <f>IF('Investigator Data'!C32="",$D$8,'Investigator Data'!C32)</f>
        <v>30</v>
      </c>
      <c r="E59" s="465">
        <v>30.34</v>
      </c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IC15N240610-1044</v>
      </c>
      <c r="B60" s="179" t="s">
        <v>12</v>
      </c>
      <c r="C60" s="183" t="str">
        <f>IF('Investigator Data'!B33="","",'Investigator Data'!B33)</f>
        <v xml:space="preserve">20240407_W1_A </v>
      </c>
      <c r="D60" s="304">
        <f>IF('Investigator Data'!C33="",$D$8,'Investigator Data'!C33)</f>
        <v>30</v>
      </c>
      <c r="E60" s="465">
        <v>31.231000000000002</v>
      </c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IC15N240610-1045</v>
      </c>
      <c r="B61" s="179" t="s">
        <v>199</v>
      </c>
      <c r="C61" s="183" t="str">
        <f>IF('Investigator Data'!B34="","",'Investigator Data'!B34)</f>
        <v xml:space="preserve">20240407_W1_B </v>
      </c>
      <c r="D61" s="304">
        <f>IF('Investigator Data'!C34="",$D$8,'Investigator Data'!C34)</f>
        <v>30</v>
      </c>
      <c r="E61" s="465">
        <v>30.558</v>
      </c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IC15N240610-1046</v>
      </c>
      <c r="B62" s="179" t="s">
        <v>200</v>
      </c>
      <c r="C62" s="183" t="str">
        <f>IF('Investigator Data'!B35="","",'Investigator Data'!B35)</f>
        <v xml:space="preserve">20240407_W1_C </v>
      </c>
      <c r="D62" s="304">
        <f>IF('Investigator Data'!C35="",$D$8,'Investigator Data'!C35)</f>
        <v>30</v>
      </c>
      <c r="E62" s="465">
        <v>29.094999999999999</v>
      </c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IC15N240610-1047</v>
      </c>
      <c r="B63" s="179" t="s">
        <v>201</v>
      </c>
      <c r="C63" s="183" t="str">
        <f>IF('Investigator Data'!B36="","",'Investigator Data'!B36)</f>
        <v xml:space="preserve">20240407_W1_D </v>
      </c>
      <c r="D63" s="304">
        <f>IF('Investigator Data'!C36="",$D$8,'Investigator Data'!C36)</f>
        <v>30</v>
      </c>
      <c r="E63" s="465" t="s">
        <v>406</v>
      </c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IC15N240610-1048</v>
      </c>
      <c r="B64" s="179" t="s">
        <v>202</v>
      </c>
      <c r="C64" s="183" t="str">
        <f>IF('Investigator Data'!B37="","",'Investigator Data'!B37)</f>
        <v xml:space="preserve">20240407_W1_E </v>
      </c>
      <c r="D64" s="304">
        <f>IF('Investigator Data'!C37="",$D$8,'Investigator Data'!C37)</f>
        <v>30</v>
      </c>
      <c r="E64" s="465">
        <v>30.335999999999999</v>
      </c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IC15N240610-1049</v>
      </c>
      <c r="B65" s="179" t="s">
        <v>13</v>
      </c>
      <c r="C65" s="183" t="str">
        <f>IF('Investigator Data'!B38="","",'Investigator Data'!B38)</f>
        <v xml:space="preserve">20240407_W1_F </v>
      </c>
      <c r="D65" s="304">
        <f>IF('Investigator Data'!C38="",$D$8,'Investigator Data'!C38)</f>
        <v>30</v>
      </c>
      <c r="E65" s="465">
        <v>29.853000000000002</v>
      </c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IC15N240610-1050</v>
      </c>
      <c r="B66" s="179" t="s">
        <v>167</v>
      </c>
      <c r="C66" s="183" t="str">
        <f>IF('Investigator Data'!B39="","",'Investigator Data'!B39)</f>
        <v>20240407_W1_F_Dup</v>
      </c>
      <c r="D66" s="304">
        <f>IF('Investigator Data'!C39="",$D$8,'Investigator Data'!C39)</f>
        <v>30</v>
      </c>
      <c r="E66" s="465">
        <v>29.361000000000001</v>
      </c>
      <c r="F66" s="181">
        <f t="shared" si="0"/>
        <v>50</v>
      </c>
    </row>
    <row r="67" spans="1:20" ht="13">
      <c r="A67" s="178" t="str">
        <f>"IC"&amp;COVER!C$15&amp;COVER!C$23&amp;"-"&amp;COVER!C$22&amp;F67</f>
        <v>IC15N240610-1051</v>
      </c>
      <c r="B67" s="179" t="s">
        <v>168</v>
      </c>
      <c r="C67" s="410" t="str">
        <f>IF('Investigator Data'!B4="","","R1-"&amp;'Investigator Data'!B4)</f>
        <v xml:space="preserve">R1-20240407_S2_J </v>
      </c>
      <c r="D67" s="304">
        <f>IF('Investigator Data'!C4="",$D$8,'Investigator Data'!C4)</f>
        <v>30</v>
      </c>
      <c r="E67" s="465">
        <v>29.411999999999999</v>
      </c>
      <c r="F67" s="181">
        <f t="shared" si="0"/>
        <v>51</v>
      </c>
    </row>
    <row r="68" spans="1:20" ht="13">
      <c r="A68" s="178" t="str">
        <f>"IC"&amp;COVER!C$15&amp;COVER!C$23&amp;"-"&amp;COVER!C$22&amp;F68</f>
        <v>IC15N240610-1052</v>
      </c>
      <c r="B68" s="179" t="s">
        <v>169</v>
      </c>
      <c r="C68" s="180" t="s">
        <v>34</v>
      </c>
      <c r="D68" s="303"/>
      <c r="E68" s="465" t="s">
        <v>405</v>
      </c>
      <c r="F68" s="181">
        <f t="shared" si="0"/>
        <v>52</v>
      </c>
    </row>
    <row r="69" spans="1:20" ht="13">
      <c r="A69" s="178" t="str">
        <f>"IC"&amp;COVER!C$15&amp;COVER!C$23&amp;"-"&amp;COVER!C$22&amp;F69</f>
        <v>IC15N240610-1053</v>
      </c>
      <c r="B69" s="179" t="s">
        <v>170</v>
      </c>
      <c r="C69" s="180" t="str">
        <f>$C$9</f>
        <v>ISIRF Ulva</v>
      </c>
      <c r="D69" s="303">
        <f>$D$9</f>
        <v>1.2</v>
      </c>
      <c r="E69" s="466">
        <v>1.1819999999999999</v>
      </c>
      <c r="F69" s="181">
        <f t="shared" si="0"/>
        <v>53</v>
      </c>
    </row>
    <row r="70" spans="1:20" ht="13">
      <c r="A70" s="178" t="str">
        <f>"IC"&amp;COVER!C$15&amp;COVER!C$23&amp;"-"&amp;COVER!C$22&amp;F70</f>
        <v>IC15N240610-1054</v>
      </c>
      <c r="B70" s="179" t="s">
        <v>171</v>
      </c>
      <c r="C70" s="180" t="str">
        <f>$C$10</f>
        <v>ISIRF Chitin</v>
      </c>
      <c r="D70" s="303">
        <f>$D$10</f>
        <v>1</v>
      </c>
      <c r="E70" s="466">
        <v>1.0249999999999999</v>
      </c>
      <c r="F70" s="181">
        <f t="shared" si="0"/>
        <v>54</v>
      </c>
    </row>
    <row r="71" spans="1:20" ht="13">
      <c r="A71" s="178" t="str">
        <f>"IC"&amp;COVER!C$15&amp;COVER!C$23&amp;"-"&amp;COVER!C$22&amp;F71</f>
        <v>IC15N240610-1055</v>
      </c>
      <c r="B71" s="179" t="s">
        <v>172</v>
      </c>
      <c r="C71" s="180" t="str">
        <f>$C$11</f>
        <v>ISIRF Bamboo</v>
      </c>
      <c r="D71" s="303">
        <f>$D$11</f>
        <v>1.5</v>
      </c>
      <c r="E71" s="465">
        <v>1.4390000000000001</v>
      </c>
      <c r="F71" s="181">
        <f t="shared" si="0"/>
        <v>55</v>
      </c>
    </row>
    <row r="72" spans="1:20" ht="13">
      <c r="A72" s="442" t="str">
        <f>"IC"&amp;COVER!C$15&amp;COVER!C$23&amp;"-"&amp;COVER!C$22&amp;F72</f>
        <v>IC15N240610-1056</v>
      </c>
      <c r="B72" s="443" t="s">
        <v>173</v>
      </c>
      <c r="C72" s="444" t="str">
        <f>C12</f>
        <v>NBS 1572 Citrus Leaf</v>
      </c>
      <c r="D72" s="445">
        <f>$D$12</f>
        <v>2</v>
      </c>
      <c r="E72" s="467">
        <v>1.972</v>
      </c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19" priority="10" stopIfTrue="1">
      <formula>C24=""</formula>
    </cfRule>
  </conditionalFormatting>
  <conditionalFormatting sqref="E72">
    <cfRule type="expression" dxfId="18" priority="9" stopIfTrue="1">
      <formula>C72=""</formula>
    </cfRule>
  </conditionalFormatting>
  <conditionalFormatting sqref="E23">
    <cfRule type="expression" dxfId="17" priority="5" stopIfTrue="1">
      <formula>C23=""</formula>
    </cfRule>
  </conditionalFormatting>
  <conditionalFormatting sqref="E70">
    <cfRule type="expression" dxfId="16" priority="4" stopIfTrue="1">
      <formula>C70=""</formula>
    </cfRule>
  </conditionalFormatting>
  <conditionalFormatting sqref="E17:E18">
    <cfRule type="expression" dxfId="15" priority="3" stopIfTrue="1">
      <formula>C17=""</formula>
    </cfRule>
  </conditionalFormatting>
  <conditionalFormatting sqref="E43">
    <cfRule type="expression" dxfId="14" priority="2" stopIfTrue="1">
      <formula>C43=""</formula>
    </cfRule>
  </conditionalFormatting>
  <conditionalFormatting sqref="E68">
    <cfRule type="expression" dxfId="13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IC15N-240610-10KansasROAR-4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1572 Citrus Leaf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20240407_S2_J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20240407_S4_F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1572 Citrus Leaf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20240407_S2_J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 xml:space="preserve">20240407_S4_F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1572 Citrus Leaf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1572 Citrus Leaf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1572 Citrus Leaf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R1-20240407_S2_J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R1-20240407_S2_J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R2-20240407_S4_F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R2-20240407_S4_F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12" priority="11" operator="greaterThan">
      <formula>0.3</formula>
    </cfRule>
  </conditionalFormatting>
  <conditionalFormatting sqref="O14:O15">
    <cfRule type="cellIs" dxfId="11" priority="10" operator="greaterThan">
      <formula>0.3</formula>
    </cfRule>
  </conditionalFormatting>
  <conditionalFormatting sqref="O17">
    <cfRule type="cellIs" dxfId="10" priority="9" operator="greaterThan">
      <formula>"abs(0.6)"</formula>
    </cfRule>
  </conditionalFormatting>
  <conditionalFormatting sqref="O18">
    <cfRule type="cellIs" dxfId="9" priority="8" operator="greaterThan">
      <formula>0.5</formula>
    </cfRule>
  </conditionalFormatting>
  <conditionalFormatting sqref="G6:G9 G11">
    <cfRule type="cellIs" dxfId="8" priority="7" operator="greaterThan">
      <formula>0.3</formula>
    </cfRule>
  </conditionalFormatting>
  <conditionalFormatting sqref="O5">
    <cfRule type="cellIs" dxfId="7" priority="6" operator="greaterThan">
      <formula>0.3</formula>
    </cfRule>
  </conditionalFormatting>
  <conditionalFormatting sqref="O6">
    <cfRule type="cellIs" dxfId="6" priority="5" operator="greaterThan">
      <formula>1</formula>
    </cfRule>
  </conditionalFormatting>
  <conditionalFormatting sqref="O8">
    <cfRule type="cellIs" dxfId="5" priority="4" operator="greaterThan">
      <formula>"abs(0.6)"</formula>
    </cfRule>
  </conditionalFormatting>
  <conditionalFormatting sqref="O9">
    <cfRule type="cellIs" dxfId="4" priority="3" operator="greaterThan">
      <formula>0.5</formula>
    </cfRule>
  </conditionalFormatting>
  <conditionalFormatting sqref="G19">
    <cfRule type="cellIs" dxfId="3" priority="2" operator="greaterThan">
      <formula>0.3</formula>
    </cfRule>
  </conditionalFormatting>
  <conditionalFormatting sqref="G10">
    <cfRule type="cellIs" dxfId="2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IC15N-240610-10KansasROAR-4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1572 Citrus Leaf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R1-20240407_S2_J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20240407_S3_A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20240407_S3_B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20240407_S3_C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20240407_S3_D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20240407_S3_E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20240407_S3_F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20240407_S4_A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>20240407_S4_A _Dup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20240407_S4_B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20240407_S4_C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20240407_S4_D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20240407_S4_E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R2-20240407_S4_F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R2-20240407_S4_F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20240407_S4_G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20240407_S4_H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20240407_S4_I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>20240407_S4_J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1572 Citrus Leaf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20240407_SS1_A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20240407_SS1_B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20240407_SS1_C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20240407_SS1_D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20240407_SS1_E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20240407_SS1_F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20240407_SS1_G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20240407_SS1_H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20240407_SS1_I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 xml:space="preserve">20240407_SS1_J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>20240407_SS1_K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20240407_W1_A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20240407_W1_B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20240407_W1_C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20240407_W1_D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20240407_W1_E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 xml:space="preserve">20240407_W1_F 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>20240407_W1_F_Dup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R1-20240407_S2_J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1572 Citrus Leaf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" priority="2" operator="notBetween">
      <formula>1</formula>
      <formula>40</formula>
    </cfRule>
  </conditionalFormatting>
  <conditionalFormatting sqref="F6:F61">
    <cfRule type="cellIs" dxfId="0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IC15N-240610-10KansasROAR-4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1572 Citrus Leaf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1572 Citrus Leaf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1572 Citrus Leaf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1572 Citrus Leaf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IC15N-240610-10KansasROAR-4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1572 Citrus Leaf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1572 Citrus Leaf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1572 Citrus Leaf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1572 Citrus Leaf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44057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240815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 (she/her/hers)</cp:lastModifiedBy>
  <cp:lastPrinted>2016-12-02T18:38:25Z</cp:lastPrinted>
  <dcterms:created xsi:type="dcterms:W3CDTF">2000-03-01T21:58:50Z</dcterms:created>
  <dcterms:modified xsi:type="dcterms:W3CDTF">2024-08-15T20:23:43Z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