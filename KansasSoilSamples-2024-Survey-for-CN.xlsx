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0" documentId="8_{10765954-CCF5-4124-98A6-B6C66E830C39}" xr6:coauthVersionLast="47" xr6:coauthVersionMax="47" xr10:uidLastSave="{00000000-0000-0000-0000-000000000000}"/>
  <bookViews>
    <workbookView xWindow="-110" yWindow="-110" windowWidth="19420" windowHeight="10300" xr2:uid="{2A6F7F29-8F1B-449D-BC6A-2E7F2660522B}"/>
  </bookViews>
  <sheets>
    <sheet name="Weight Sheet" sheetId="3" r:id="rId1"/>
    <sheet name="Final Results" sheetId="1" r:id="rId2"/>
    <sheet name="Calibration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K11" i="2" l="1"/>
  <c r="J11" i="2"/>
  <c r="K10" i="2"/>
  <c r="J10" i="2"/>
  <c r="K12" i="2" l="1"/>
  <c r="J12" i="2"/>
</calcChain>
</file>

<file path=xl/sharedStrings.xml><?xml version="1.0" encoding="utf-8"?>
<sst xmlns="http://schemas.openxmlformats.org/spreadsheetml/2006/main" count="128" uniqueCount="59">
  <si>
    <t>Position</t>
  </si>
  <si>
    <t>Sample</t>
  </si>
  <si>
    <t>Weight</t>
  </si>
  <si>
    <t>N Area</t>
  </si>
  <si>
    <t>C Area</t>
  </si>
  <si>
    <t>N%</t>
  </si>
  <si>
    <t>C%</t>
  </si>
  <si>
    <t>C/N</t>
  </si>
  <si>
    <t>SnBlnk</t>
  </si>
  <si>
    <t>Acetanilide</t>
  </si>
  <si>
    <t>Matrix</t>
  </si>
  <si>
    <t>Blank</t>
  </si>
  <si>
    <t>Standard</t>
  </si>
  <si>
    <t>Soil</t>
  </si>
  <si>
    <t>Duff</t>
  </si>
  <si>
    <t>Average</t>
  </si>
  <si>
    <t>Std</t>
  </si>
  <si>
    <t>Rel. Std</t>
  </si>
  <si>
    <t xml:space="preserve">Wt. </t>
  </si>
  <si>
    <t>N mg</t>
  </si>
  <si>
    <t>C mg</t>
  </si>
  <si>
    <t>C Response Factor</t>
  </si>
  <si>
    <t>N Response Factor</t>
  </si>
  <si>
    <t xml:space="preserve">Survey results for </t>
  </si>
  <si>
    <t>Comments</t>
  </si>
  <si>
    <t>Target Weight</t>
  </si>
  <si>
    <t>Actual Weight</t>
  </si>
  <si>
    <t xml:space="preserve">20231120_SS1_H </t>
  </si>
  <si>
    <t xml:space="preserve">20231120_SS1_E </t>
  </si>
  <si>
    <t>20231120_SS1_K</t>
  </si>
  <si>
    <t>20231120_S2_H</t>
  </si>
  <si>
    <t xml:space="preserve">20231120_SS1_B </t>
  </si>
  <si>
    <t xml:space="preserve">20231120_S4_C </t>
  </si>
  <si>
    <t xml:space="preserve">20231120_S4_F </t>
  </si>
  <si>
    <t>20231120_S4_I</t>
  </si>
  <si>
    <t xml:space="preserve">20231120_W1_A </t>
  </si>
  <si>
    <t xml:space="preserve">20231120_E1_H </t>
  </si>
  <si>
    <t>N area</t>
  </si>
  <si>
    <t>C area</t>
  </si>
  <si>
    <t>C/N ratio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</si>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</sst>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3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2" xfId="0" applyNumberFormat="1" applyBorder="1"/>
    <xf numFmtId="0" fontId="2" fillId="4" borderId="1" xfId="3" applyFont="1" applyBorder="1" applyAlignment="1">
      <alignment horizontal="center"/>
    </xf>
    <xf numFmtId="0" fontId="2" fillId="5" borderId="1" xfId="4" applyFont="1" applyBorder="1" applyAlignment="1">
      <alignment horizontal="center"/>
    </xf>
    <xf numFmtId="2" fontId="1" fillId="2" borderId="2" xfId="1" applyNumberFormat="1" applyBorder="1"/>
    <xf numFmtId="2" fontId="1" fillId="2" borderId="3" xfId="1" applyNumberFormat="1" applyBorder="1"/>
    <xf numFmtId="2" fontId="1" fillId="6" borderId="2" xfId="5" applyNumberFormat="1" applyBorder="1"/>
    <xf numFmtId="2" fontId="1" fillId="6" borderId="3" xfId="5" applyNumberFormat="1" applyBorder="1"/>
    <xf numFmtId="2" fontId="1" fillId="2" borderId="4" xfId="1" applyNumberFormat="1" applyBorder="1"/>
    <xf numFmtId="2" fontId="1" fillId="6" borderId="4" xfId="5" applyNumberFormat="1" applyBorder="1"/>
    <xf numFmtId="2" fontId="1" fillId="2" borderId="5" xfId="1" applyNumberFormat="1" applyBorder="1"/>
    <xf numFmtId="2" fontId="1" fillId="6" borderId="5" xfId="5" applyNumberFormat="1" applyBorder="1"/>
    <xf numFmtId="2" fontId="1" fillId="2" borderId="1" xfId="1" applyNumberFormat="1" applyBorder="1"/>
    <xf numFmtId="2" fontId="1" fillId="6" borderId="1" xfId="5" applyNumberFormat="1" applyBorder="1"/>
    <xf numFmtId="2" fontId="3" fillId="2" borderId="2" xfId="1" applyNumberFormat="1" applyFont="1" applyBorder="1"/>
    <xf numFmtId="2" fontId="3" fillId="6" borderId="2" xfId="5" applyNumberFormat="1" applyFont="1" applyBorder="1"/>
    <xf numFmtId="0" fontId="1" fillId="3" borderId="1" xfId="2" applyBorder="1"/>
    <xf numFmtId="164" fontId="1" fillId="3" borderId="1" xfId="2" applyNumberFormat="1" applyBorder="1"/>
    <xf numFmtId="0" fontId="1" fillId="3" borderId="2" xfId="2" applyBorder="1"/>
    <xf numFmtId="164" fontId="1" fillId="3" borderId="2" xfId="2" applyNumberFormat="1" applyBorder="1"/>
    <xf numFmtId="0" fontId="1" fillId="3" borderId="3" xfId="2" applyBorder="1"/>
    <xf numFmtId="164" fontId="1" fillId="3" borderId="3" xfId="2" applyNumberFormat="1" applyBorder="1"/>
    <xf numFmtId="0" fontId="0" fillId="0" borderId="0" xfId="0" applyAlignment="1">
      <alignment horizontal="center"/>
    </xf>
    <xf numFmtId="0" fontId="5" fillId="0" borderId="0" xfId="0" applyFont="1" applyFill="1" applyBorder="1"/>
    <xf numFmtId="164" fontId="5" fillId="0" borderId="0" xfId="0" applyNumberFormat="1" applyFont="1" applyFill="1" applyBorder="1"/>
    <xf numFmtId="0" fontId="5" fillId="0" borderId="0" xfId="2" applyFont="1" applyFill="1" applyBorder="1"/>
    <xf numFmtId="164" fontId="5" fillId="0" borderId="0" xfId="2" applyNumberFormat="1" applyFont="1" applyFill="1" applyBorder="1"/>
    <xf numFmtId="0" fontId="6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2" applyFont="1" applyFill="1" applyBorder="1" applyAlignment="1">
      <alignment horizontal="left"/>
    </xf>
    <xf numFmtId="0" fontId="0" fillId="7" borderId="0" xfId="0" applyFill="1"/>
  </cellXfs>
  <cellStyles count="6">
    <cellStyle name="20% - Accent1" xfId="1" builtinId="30"/>
    <cellStyle name="20% - Accent4" xfId="2" builtinId="42"/>
    <cellStyle name="20% - Accent6" xfId="5" builtinId="50"/>
    <cellStyle name="Accent5" xfId="3" builtinId="45"/>
    <cellStyle name="Accent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Response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056596675415573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 Data'!$F$4:$F$9</c:f>
              <c:numCache>
                <c:formatCode>0.000</c:formatCode>
                <c:ptCount val="6"/>
              </c:numCache>
            </c:numRef>
          </c:xVal>
          <c:yVal>
            <c:numRef>
              <c:f>'Calibration Data'!$H$4:$H$9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D-41FE-9635-EA96DBDA9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192544"/>
        <c:axId val="1951082064"/>
      </c:scatterChart>
      <c:valAx>
        <c:axId val="187919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82064"/>
        <c:crosses val="autoZero"/>
        <c:crossBetween val="midCat"/>
      </c:valAx>
      <c:valAx>
        <c:axId val="19510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9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Carbon Response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056596675415573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 Data'!$G$4:$G$9</c:f>
              <c:numCache>
                <c:formatCode>0.000</c:formatCode>
                <c:ptCount val="6"/>
              </c:numCache>
            </c:numRef>
          </c:xVal>
          <c:yVal>
            <c:numRef>
              <c:f>'Calibration Data'!$I$4:$I$9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01-40C4-9250-F7B4DE51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192544"/>
        <c:axId val="1951082064"/>
      </c:scatterChart>
      <c:valAx>
        <c:axId val="187919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82064"/>
        <c:crosses val="autoZero"/>
        <c:crossBetween val="midCat"/>
      </c:valAx>
      <c:valAx>
        <c:axId val="19510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9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15</xdr:row>
      <xdr:rowOff>119062</xdr:rowOff>
    </xdr:from>
    <xdr:to>
      <xdr:col>8</xdr:col>
      <xdr:colOff>228600</xdr:colOff>
      <xdr:row>30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467768-B58C-01AE-0C6D-1CB9C09AA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30</xdr:row>
      <xdr:rowOff>104775</xdr:rowOff>
    </xdr:from>
    <xdr:to>
      <xdr:col>8</xdr:col>
      <xdr:colOff>200025</xdr:colOff>
      <xdr:row>44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1D94E6-4443-466B-A969-6708BE35B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7BA0-D6C3-4DD3-8E68-8435862D8A80}">
  <dimension ref="A4:F23"/>
  <sheetViews>
    <sheetView tabSelected="1" topLeftCell="A10" workbookViewId="0">
      <selection activeCell="F10" sqref="F1:F1048576"/>
    </sheetView>
  </sheetViews>
  <sheetFormatPr defaultRowHeight="14.5" x14ac:dyDescent="0.35"/>
  <cols>
    <col min="3" max="3" width="15.81640625" bestFit="1" customWidth="1"/>
    <col min="4" max="4" width="8.81640625" bestFit="1" customWidth="1"/>
    <col min="5" max="5" width="13.7265625" bestFit="1" customWidth="1"/>
    <col min="6" max="6" width="15.7265625" customWidth="1"/>
  </cols>
  <sheetData>
    <row r="4" spans="1:6" x14ac:dyDescent="0.35">
      <c r="B4" s="30" t="s">
        <v>0</v>
      </c>
      <c r="C4" s="30" t="s">
        <v>1</v>
      </c>
      <c r="D4" s="30" t="s">
        <v>10</v>
      </c>
      <c r="E4" s="30" t="s">
        <v>25</v>
      </c>
      <c r="F4" s="30" t="s">
        <v>26</v>
      </c>
    </row>
    <row r="5" spans="1:6" x14ac:dyDescent="0.35">
      <c r="A5" t="s">
        <v>40</v>
      </c>
      <c r="B5" s="26">
        <v>1</v>
      </c>
      <c r="C5" s="31" t="s">
        <v>8</v>
      </c>
      <c r="D5" s="26" t="s">
        <v>11</v>
      </c>
      <c r="E5" s="27"/>
      <c r="F5" s="33"/>
    </row>
    <row r="6" spans="1:6" x14ac:dyDescent="0.35">
      <c r="A6" t="s">
        <v>41</v>
      </c>
      <c r="B6" s="26">
        <v>2</v>
      </c>
      <c r="C6" s="31" t="s">
        <v>8</v>
      </c>
      <c r="D6" s="26" t="s">
        <v>11</v>
      </c>
      <c r="E6" s="27"/>
      <c r="F6" s="33"/>
    </row>
    <row r="7" spans="1:6" x14ac:dyDescent="0.35">
      <c r="A7" t="s">
        <v>42</v>
      </c>
      <c r="B7" s="26">
        <v>3</v>
      </c>
      <c r="C7" s="31" t="s">
        <v>9</v>
      </c>
      <c r="D7" s="26" t="s">
        <v>12</v>
      </c>
      <c r="E7" s="1">
        <v>0.6</v>
      </c>
      <c r="F7" s="33">
        <v>0.63200000000000001</v>
      </c>
    </row>
    <row r="8" spans="1:6" x14ac:dyDescent="0.35">
      <c r="A8" t="s">
        <v>43</v>
      </c>
      <c r="B8" s="26">
        <v>4</v>
      </c>
      <c r="C8" s="31" t="s">
        <v>9</v>
      </c>
      <c r="D8" s="26" t="s">
        <v>12</v>
      </c>
      <c r="E8" s="1">
        <v>0.9</v>
      </c>
      <c r="F8" s="33">
        <v>0.91600000000000004</v>
      </c>
    </row>
    <row r="9" spans="1:6" x14ac:dyDescent="0.35">
      <c r="A9" t="s">
        <v>44</v>
      </c>
      <c r="B9" s="26">
        <v>5</v>
      </c>
      <c r="C9" s="31" t="s">
        <v>9</v>
      </c>
      <c r="D9" s="26" t="s">
        <v>12</v>
      </c>
      <c r="E9" s="1">
        <v>1.2</v>
      </c>
      <c r="F9" s="33">
        <v>1.282</v>
      </c>
    </row>
    <row r="10" spans="1:6" x14ac:dyDescent="0.35">
      <c r="A10" t="s">
        <v>45</v>
      </c>
      <c r="B10" s="28">
        <v>6</v>
      </c>
      <c r="C10" s="32" t="s">
        <v>36</v>
      </c>
      <c r="D10" s="28" t="s">
        <v>13</v>
      </c>
      <c r="E10" s="29">
        <v>20</v>
      </c>
      <c r="F10" s="33">
        <v>20.236999999999998</v>
      </c>
    </row>
    <row r="11" spans="1:6" x14ac:dyDescent="0.35">
      <c r="A11" t="s">
        <v>46</v>
      </c>
      <c r="B11" s="28">
        <v>7</v>
      </c>
      <c r="C11" s="32" t="s">
        <v>30</v>
      </c>
      <c r="D11" s="28" t="s">
        <v>13</v>
      </c>
      <c r="E11" s="29">
        <v>20</v>
      </c>
      <c r="F11" s="33">
        <v>20.173999999999999</v>
      </c>
    </row>
    <row r="12" spans="1:6" x14ac:dyDescent="0.35">
      <c r="A12" t="s">
        <v>47</v>
      </c>
      <c r="B12" s="28">
        <v>8</v>
      </c>
      <c r="C12" s="32" t="s">
        <v>32</v>
      </c>
      <c r="D12" s="28" t="s">
        <v>13</v>
      </c>
      <c r="E12" s="29">
        <v>20</v>
      </c>
      <c r="F12" s="33">
        <v>20.262</v>
      </c>
    </row>
    <row r="13" spans="1:6" x14ac:dyDescent="0.35">
      <c r="A13" t="s">
        <v>48</v>
      </c>
      <c r="B13" s="28">
        <v>9</v>
      </c>
      <c r="C13" t="s">
        <v>33</v>
      </c>
      <c r="D13" s="28" t="s">
        <v>13</v>
      </c>
      <c r="E13" s="29">
        <v>20</v>
      </c>
      <c r="F13" s="33">
        <v>21.033999999999999</v>
      </c>
    </row>
    <row r="14" spans="1:6" x14ac:dyDescent="0.35">
      <c r="A14" t="s">
        <v>49</v>
      </c>
      <c r="B14" s="28">
        <v>10</v>
      </c>
      <c r="C14" s="32" t="s">
        <v>34</v>
      </c>
      <c r="D14" s="28" t="s">
        <v>13</v>
      </c>
      <c r="E14" s="29">
        <v>20</v>
      </c>
      <c r="F14" s="33">
        <v>20.202999999999999</v>
      </c>
    </row>
    <row r="15" spans="1:6" x14ac:dyDescent="0.35">
      <c r="A15" t="s">
        <v>50</v>
      </c>
      <c r="B15" s="28">
        <v>11</v>
      </c>
      <c r="C15" s="32" t="s">
        <v>31</v>
      </c>
      <c r="D15" s="28" t="s">
        <v>13</v>
      </c>
      <c r="E15" s="29">
        <v>20</v>
      </c>
      <c r="F15" s="33">
        <v>20.506</v>
      </c>
    </row>
    <row r="16" spans="1:6" x14ac:dyDescent="0.35">
      <c r="A16" t="s">
        <v>51</v>
      </c>
      <c r="B16" s="28">
        <v>12</v>
      </c>
      <c r="C16" s="32" t="s">
        <v>28</v>
      </c>
      <c r="D16" s="28" t="s">
        <v>13</v>
      </c>
      <c r="E16" s="29">
        <v>20</v>
      </c>
      <c r="F16" s="33">
        <v>20.091999999999999</v>
      </c>
    </row>
    <row r="17" spans="1:6" x14ac:dyDescent="0.35">
      <c r="A17" t="s">
        <v>52</v>
      </c>
      <c r="B17" s="28">
        <v>13</v>
      </c>
      <c r="C17" t="s">
        <v>27</v>
      </c>
      <c r="D17" s="28" t="s">
        <v>13</v>
      </c>
      <c r="E17" s="29">
        <v>20</v>
      </c>
      <c r="F17" s="33">
        <v>20.263000000000002</v>
      </c>
    </row>
    <row r="18" spans="1:6" x14ac:dyDescent="0.35">
      <c r="A18" t="s">
        <v>53</v>
      </c>
      <c r="B18" s="28">
        <v>14</v>
      </c>
      <c r="C18" t="s">
        <v>29</v>
      </c>
      <c r="D18" s="28" t="s">
        <v>13</v>
      </c>
      <c r="E18" s="29">
        <v>20</v>
      </c>
      <c r="F18" s="33">
        <v>20.298999999999999</v>
      </c>
    </row>
    <row r="19" spans="1:6" x14ac:dyDescent="0.35">
      <c r="A19" t="s">
        <v>54</v>
      </c>
      <c r="B19" s="28">
        <v>15</v>
      </c>
      <c r="C19" s="32" t="s">
        <v>35</v>
      </c>
      <c r="D19" s="28" t="s">
        <v>13</v>
      </c>
      <c r="E19" s="29">
        <v>20</v>
      </c>
      <c r="F19" s="33">
        <v>20.390999999999998</v>
      </c>
    </row>
    <row r="20" spans="1:6" x14ac:dyDescent="0.35">
      <c r="A20" t="s">
        <v>55</v>
      </c>
      <c r="B20" s="26">
        <v>16</v>
      </c>
      <c r="C20" s="31" t="s">
        <v>9</v>
      </c>
      <c r="D20" s="26" t="s">
        <v>12</v>
      </c>
      <c r="E20" s="1">
        <v>1.8</v>
      </c>
      <c r="F20" s="33">
        <v>1.917</v>
      </c>
    </row>
    <row r="21" spans="1:6" x14ac:dyDescent="0.35">
      <c r="A21" t="s">
        <v>56</v>
      </c>
      <c r="B21" s="26">
        <v>17</v>
      </c>
      <c r="C21" s="31" t="s">
        <v>9</v>
      </c>
      <c r="D21" s="26" t="s">
        <v>12</v>
      </c>
      <c r="E21" s="1">
        <v>0.9</v>
      </c>
      <c r="F21" s="33">
        <v>0.94199999999999995</v>
      </c>
    </row>
    <row r="22" spans="1:6" x14ac:dyDescent="0.35">
      <c r="A22" t="s">
        <v>57</v>
      </c>
      <c r="B22" s="26">
        <v>18</v>
      </c>
      <c r="C22" s="31" t="s">
        <v>9</v>
      </c>
      <c r="D22" s="26" t="s">
        <v>12</v>
      </c>
      <c r="E22" s="1">
        <v>0.6</v>
      </c>
      <c r="F22" s="33">
        <v>0.61599999999999999</v>
      </c>
    </row>
    <row r="23" spans="1:6" x14ac:dyDescent="0.35">
      <c r="A23" t="s">
        <v>58</v>
      </c>
      <c r="B23" s="26">
        <v>19</v>
      </c>
      <c r="C23" s="31" t="s">
        <v>8</v>
      </c>
      <c r="D23" s="26" t="s">
        <v>11</v>
      </c>
      <c r="E23" s="27"/>
      <c r="F23" s="3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23F2-79FA-4E26-A08F-3F2188EC0F92}">
  <dimension ref="A2:L31"/>
  <sheetViews>
    <sheetView workbookViewId="0">
      <selection activeCell="B20" sqref="B20"/>
    </sheetView>
  </sheetViews>
  <sheetFormatPr defaultRowHeight="14.5" x14ac:dyDescent="0.35"/>
  <cols>
    <col min="2" max="2" width="11.1796875" bestFit="1" customWidth="1"/>
    <col min="3" max="3" width="11.1796875" customWidth="1"/>
    <col min="4" max="4" width="8.453125" customWidth="1"/>
    <col min="5" max="5" width="9.26953125" bestFit="1" customWidth="1"/>
    <col min="6" max="6" width="9.54296875" bestFit="1" customWidth="1"/>
    <col min="7" max="8" width="9.54296875" customWidth="1"/>
    <col min="9" max="10" width="9.26953125" bestFit="1" customWidth="1"/>
    <col min="11" max="11" width="9.7265625" bestFit="1" customWidth="1"/>
    <col min="12" max="12" width="22.453125" customWidth="1"/>
  </cols>
  <sheetData>
    <row r="2" spans="1:12" x14ac:dyDescent="0.35">
      <c r="C2" t="s">
        <v>23</v>
      </c>
    </row>
    <row r="4" spans="1:12" x14ac:dyDescent="0.35">
      <c r="A4" t="s">
        <v>0</v>
      </c>
      <c r="B4" t="s">
        <v>1</v>
      </c>
      <c r="C4" t="s">
        <v>10</v>
      </c>
      <c r="D4" t="s">
        <v>2</v>
      </c>
      <c r="E4" t="s">
        <v>3</v>
      </c>
      <c r="F4" t="s">
        <v>4</v>
      </c>
      <c r="G4" t="s">
        <v>19</v>
      </c>
      <c r="H4" t="s">
        <v>20</v>
      </c>
      <c r="I4" s="5" t="s">
        <v>5</v>
      </c>
      <c r="J4" s="6" t="s">
        <v>6</v>
      </c>
      <c r="K4" t="s">
        <v>7</v>
      </c>
      <c r="L4" s="25" t="s">
        <v>24</v>
      </c>
    </row>
    <row r="5" spans="1:12" x14ac:dyDescent="0.35">
      <c r="A5">
        <v>1</v>
      </c>
      <c r="B5" t="s">
        <v>8</v>
      </c>
      <c r="C5" t="s">
        <v>11</v>
      </c>
      <c r="D5" s="1"/>
      <c r="I5" s="4"/>
      <c r="J5" s="4"/>
    </row>
    <row r="6" spans="1:12" x14ac:dyDescent="0.35">
      <c r="A6">
        <v>2</v>
      </c>
      <c r="B6" t="s">
        <v>8</v>
      </c>
      <c r="C6" t="s">
        <v>11</v>
      </c>
      <c r="D6" s="1"/>
      <c r="I6" s="4"/>
      <c r="J6" s="4"/>
      <c r="L6" s="25"/>
    </row>
    <row r="7" spans="1:12" x14ac:dyDescent="0.35">
      <c r="A7">
        <v>3</v>
      </c>
      <c r="B7" t="s">
        <v>9</v>
      </c>
      <c r="C7" t="s">
        <v>12</v>
      </c>
      <c r="D7" s="1"/>
      <c r="G7" s="1"/>
      <c r="H7" s="1"/>
      <c r="I7" s="7"/>
      <c r="J7" s="9"/>
      <c r="K7" s="2"/>
      <c r="L7" s="25"/>
    </row>
    <row r="8" spans="1:12" x14ac:dyDescent="0.35">
      <c r="A8">
        <v>4</v>
      </c>
      <c r="B8" t="s">
        <v>9</v>
      </c>
      <c r="C8" t="s">
        <v>12</v>
      </c>
      <c r="D8" s="1"/>
      <c r="G8" s="1"/>
      <c r="H8" s="1"/>
      <c r="I8" s="7"/>
      <c r="J8" s="9"/>
      <c r="K8" s="2"/>
      <c r="L8" s="25"/>
    </row>
    <row r="9" spans="1:12" x14ac:dyDescent="0.35">
      <c r="A9">
        <v>5</v>
      </c>
      <c r="B9" t="s">
        <v>9</v>
      </c>
      <c r="C9" t="s">
        <v>12</v>
      </c>
      <c r="D9" s="1"/>
      <c r="G9" s="1"/>
      <c r="H9" s="1"/>
      <c r="I9" s="11"/>
      <c r="J9" s="12"/>
      <c r="K9" s="2"/>
      <c r="L9" s="25"/>
    </row>
    <row r="10" spans="1:12" x14ac:dyDescent="0.35">
      <c r="A10" s="19">
        <v>6</v>
      </c>
      <c r="B10" s="19">
        <v>23082700</v>
      </c>
      <c r="C10" s="19" t="s">
        <v>13</v>
      </c>
      <c r="D10" s="20"/>
      <c r="E10" s="19"/>
      <c r="F10" s="19"/>
      <c r="G10" s="20"/>
      <c r="H10" s="20"/>
      <c r="I10" s="15"/>
      <c r="J10" s="16"/>
      <c r="K10" s="2"/>
      <c r="L10" s="25"/>
    </row>
    <row r="11" spans="1:12" x14ac:dyDescent="0.35">
      <c r="A11" s="21">
        <v>7</v>
      </c>
      <c r="B11" s="21">
        <v>23082701</v>
      </c>
      <c r="C11" s="21" t="s">
        <v>13</v>
      </c>
      <c r="D11" s="22"/>
      <c r="E11" s="21"/>
      <c r="F11" s="21"/>
      <c r="G11" s="22"/>
      <c r="H11" s="22"/>
      <c r="I11" s="7"/>
      <c r="J11" s="9"/>
      <c r="K11" s="2"/>
      <c r="L11" s="25"/>
    </row>
    <row r="12" spans="1:12" x14ac:dyDescent="0.35">
      <c r="A12" s="21">
        <v>8</v>
      </c>
      <c r="B12" s="21">
        <v>23082702</v>
      </c>
      <c r="C12" s="21" t="s">
        <v>13</v>
      </c>
      <c r="D12" s="22"/>
      <c r="E12" s="21"/>
      <c r="F12" s="21"/>
      <c r="G12" s="22"/>
      <c r="H12" s="22"/>
      <c r="I12" s="17"/>
      <c r="J12" s="18"/>
      <c r="K12" s="2"/>
      <c r="L12" s="25"/>
    </row>
    <row r="13" spans="1:12" x14ac:dyDescent="0.35">
      <c r="A13" s="21">
        <v>9</v>
      </c>
      <c r="B13" s="21">
        <v>23082703</v>
      </c>
      <c r="C13" s="21" t="s">
        <v>13</v>
      </c>
      <c r="D13" s="22"/>
      <c r="E13" s="21"/>
      <c r="F13" s="21"/>
      <c r="G13" s="22"/>
      <c r="H13" s="22"/>
      <c r="I13" s="7"/>
      <c r="J13" s="9"/>
      <c r="K13" s="2"/>
      <c r="L13" s="25"/>
    </row>
    <row r="14" spans="1:12" x14ac:dyDescent="0.35">
      <c r="A14" s="21">
        <v>10</v>
      </c>
      <c r="B14" s="21">
        <v>23082704</v>
      </c>
      <c r="C14" s="21" t="s">
        <v>13</v>
      </c>
      <c r="D14" s="22"/>
      <c r="E14" s="21"/>
      <c r="F14" s="21"/>
      <c r="G14" s="22"/>
      <c r="H14" s="22"/>
      <c r="I14" s="7"/>
      <c r="J14" s="9"/>
      <c r="K14" s="2"/>
      <c r="L14" s="25"/>
    </row>
    <row r="15" spans="1:12" x14ac:dyDescent="0.35">
      <c r="A15" s="21">
        <v>11</v>
      </c>
      <c r="B15" s="21">
        <v>23082705</v>
      </c>
      <c r="C15" s="21" t="s">
        <v>14</v>
      </c>
      <c r="D15" s="22"/>
      <c r="E15" s="21"/>
      <c r="F15" s="21"/>
      <c r="G15" s="22"/>
      <c r="H15" s="22"/>
      <c r="I15" s="7"/>
      <c r="J15" s="9"/>
      <c r="K15" s="2"/>
      <c r="L15" s="25"/>
    </row>
    <row r="16" spans="1:12" x14ac:dyDescent="0.35">
      <c r="A16" s="21">
        <v>12</v>
      </c>
      <c r="B16" s="21">
        <v>23082706</v>
      </c>
      <c r="C16" s="21" t="s">
        <v>14</v>
      </c>
      <c r="D16" s="22"/>
      <c r="E16" s="21"/>
      <c r="F16" s="21"/>
      <c r="G16" s="22"/>
      <c r="H16" s="22"/>
      <c r="I16" s="7"/>
      <c r="J16" s="9"/>
      <c r="K16" s="2"/>
      <c r="L16" s="25"/>
    </row>
    <row r="17" spans="1:12" x14ac:dyDescent="0.35">
      <c r="A17" s="21">
        <v>13</v>
      </c>
      <c r="B17" s="21">
        <v>23082707</v>
      </c>
      <c r="C17" s="21" t="s">
        <v>14</v>
      </c>
      <c r="D17" s="22"/>
      <c r="E17" s="21"/>
      <c r="F17" s="21"/>
      <c r="G17" s="22"/>
      <c r="H17" s="22"/>
      <c r="I17" s="7"/>
      <c r="J17" s="9"/>
      <c r="K17" s="2"/>
      <c r="L17" s="25"/>
    </row>
    <row r="18" spans="1:12" x14ac:dyDescent="0.35">
      <c r="A18" s="21">
        <v>14</v>
      </c>
      <c r="B18" s="21">
        <v>23082708</v>
      </c>
      <c r="C18" s="21" t="s">
        <v>14</v>
      </c>
      <c r="D18" s="22"/>
      <c r="E18" s="21"/>
      <c r="F18" s="21"/>
      <c r="G18" s="22"/>
      <c r="H18" s="22"/>
      <c r="I18" s="7"/>
      <c r="J18" s="9"/>
      <c r="K18" s="2"/>
      <c r="L18" s="25"/>
    </row>
    <row r="19" spans="1:12" x14ac:dyDescent="0.35">
      <c r="A19" s="23">
        <v>15</v>
      </c>
      <c r="B19" s="23">
        <v>23082709</v>
      </c>
      <c r="C19" s="23" t="s">
        <v>14</v>
      </c>
      <c r="D19" s="24"/>
      <c r="E19" s="23"/>
      <c r="F19" s="23"/>
      <c r="G19" s="24"/>
      <c r="H19" s="24"/>
      <c r="I19" s="8"/>
      <c r="J19" s="10"/>
      <c r="K19" s="2"/>
      <c r="L19" s="25"/>
    </row>
    <row r="20" spans="1:12" x14ac:dyDescent="0.35">
      <c r="A20">
        <v>16</v>
      </c>
      <c r="B20" t="s">
        <v>9</v>
      </c>
      <c r="C20" t="s">
        <v>12</v>
      </c>
      <c r="D20" s="1"/>
      <c r="G20" s="1"/>
      <c r="H20" s="1"/>
      <c r="I20" s="13"/>
      <c r="J20" s="14"/>
      <c r="K20" s="2"/>
      <c r="L20" s="25"/>
    </row>
    <row r="21" spans="1:12" x14ac:dyDescent="0.35">
      <c r="A21">
        <v>17</v>
      </c>
      <c r="B21" t="s">
        <v>9</v>
      </c>
      <c r="C21" t="s">
        <v>12</v>
      </c>
      <c r="D21" s="1"/>
      <c r="G21" s="1"/>
      <c r="H21" s="1"/>
      <c r="I21" s="7"/>
      <c r="J21" s="9"/>
      <c r="K21" s="2"/>
      <c r="L21" s="25"/>
    </row>
    <row r="22" spans="1:12" x14ac:dyDescent="0.35">
      <c r="A22">
        <v>18</v>
      </c>
      <c r="B22" t="s">
        <v>9</v>
      </c>
      <c r="C22" t="s">
        <v>12</v>
      </c>
      <c r="D22" s="1"/>
      <c r="G22" s="1"/>
      <c r="H22" s="1"/>
      <c r="I22" s="8"/>
      <c r="J22" s="10"/>
      <c r="K22" s="2"/>
      <c r="L22" s="25"/>
    </row>
    <row r="23" spans="1:12" x14ac:dyDescent="0.35">
      <c r="A23">
        <v>19</v>
      </c>
      <c r="B23" t="s">
        <v>8</v>
      </c>
      <c r="C23" t="s">
        <v>11</v>
      </c>
      <c r="D23" s="1"/>
      <c r="I23" s="2"/>
      <c r="J23" s="2"/>
    </row>
    <row r="25" spans="1:12" x14ac:dyDescent="0.35">
      <c r="B25" t="s">
        <v>22</v>
      </c>
      <c r="D25" s="3"/>
    </row>
    <row r="26" spans="1:12" x14ac:dyDescent="0.35">
      <c r="B26" t="s">
        <v>21</v>
      </c>
      <c r="D26" s="3"/>
      <c r="E26" s="2"/>
      <c r="F26" s="2"/>
      <c r="G26" s="2"/>
      <c r="H26" s="2"/>
      <c r="I26" s="2"/>
      <c r="J26" s="2"/>
      <c r="K26" s="2"/>
    </row>
    <row r="27" spans="1:12" x14ac:dyDescent="0.35">
      <c r="D27" s="2"/>
      <c r="E27" s="2"/>
      <c r="F27" s="2"/>
      <c r="G27" s="2"/>
      <c r="H27" s="2"/>
      <c r="I27" s="2"/>
      <c r="J27" s="2"/>
      <c r="K27" s="2"/>
    </row>
    <row r="28" spans="1:12" x14ac:dyDescent="0.35">
      <c r="D28" s="2"/>
      <c r="E28" s="2"/>
      <c r="F28" s="2"/>
      <c r="G28" s="2">
        <f>G10*40</f>
        <v>0</v>
      </c>
      <c r="H28" s="2">
        <f>H10*5</f>
        <v>0</v>
      </c>
      <c r="I28" s="2"/>
      <c r="J28" s="2"/>
      <c r="K28" s="2"/>
    </row>
    <row r="29" spans="1:12" x14ac:dyDescent="0.35">
      <c r="D29" s="2"/>
      <c r="E29" s="2"/>
      <c r="F29" s="2"/>
      <c r="G29" s="2"/>
      <c r="H29" s="2"/>
      <c r="I29" s="2"/>
      <c r="J29" s="2"/>
      <c r="K29" s="2"/>
    </row>
    <row r="30" spans="1:12" x14ac:dyDescent="0.35">
      <c r="D30" s="2"/>
      <c r="E30" s="2"/>
      <c r="F30" s="2"/>
      <c r="G30" s="2"/>
      <c r="H30" s="2"/>
      <c r="I30" s="2"/>
      <c r="J30" s="2"/>
      <c r="K30" s="2"/>
    </row>
    <row r="31" spans="1:12" x14ac:dyDescent="0.35">
      <c r="D31" s="2"/>
      <c r="E31" s="2"/>
      <c r="F31" s="2"/>
      <c r="G31" s="2"/>
      <c r="H31" s="2"/>
      <c r="I31" s="2"/>
      <c r="J31" s="2"/>
      <c r="K3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2024-78A2-4F44-B596-AFDC3C7EEFC4}">
  <sheetPr>
    <pageSetUpPr fitToPage="1"/>
  </sheetPr>
  <dimension ref="B1:N12"/>
  <sheetViews>
    <sheetView workbookViewId="0">
      <selection activeCell="L22" sqref="L22"/>
    </sheetView>
  </sheetViews>
  <sheetFormatPr defaultRowHeight="14.5" x14ac:dyDescent="0.35"/>
  <cols>
    <col min="3" max="3" width="11.1796875" bestFit="1" customWidth="1"/>
    <col min="8" max="8" width="9.54296875" bestFit="1" customWidth="1"/>
  </cols>
  <sheetData>
    <row r="1" spans="2:14" x14ac:dyDescent="0.35">
      <c r="E1" t="s">
        <v>18</v>
      </c>
      <c r="F1" t="s">
        <v>19</v>
      </c>
      <c r="G1" t="s">
        <v>20</v>
      </c>
      <c r="H1" t="s">
        <v>37</v>
      </c>
      <c r="I1" t="s">
        <v>38</v>
      </c>
      <c r="J1" t="s">
        <v>5</v>
      </c>
      <c r="K1" t="s">
        <v>6</v>
      </c>
      <c r="L1" t="s">
        <v>39</v>
      </c>
    </row>
    <row r="4" spans="2:14" x14ac:dyDescent="0.35">
      <c r="B4">
        <v>3</v>
      </c>
      <c r="C4" t="s">
        <v>9</v>
      </c>
      <c r="D4" t="s">
        <v>12</v>
      </c>
      <c r="E4" s="1"/>
      <c r="F4" s="1"/>
      <c r="G4" s="1"/>
      <c r="H4" s="2"/>
      <c r="I4" s="2"/>
      <c r="J4" s="2"/>
      <c r="K4" s="2"/>
      <c r="L4" s="2"/>
      <c r="M4" s="2">
        <v>10.4</v>
      </c>
      <c r="N4" s="2">
        <v>71.099999999999994</v>
      </c>
    </row>
    <row r="5" spans="2:14" x14ac:dyDescent="0.35">
      <c r="B5">
        <v>4</v>
      </c>
      <c r="C5" t="s">
        <v>9</v>
      </c>
      <c r="D5" t="s">
        <v>12</v>
      </c>
      <c r="E5" s="1"/>
      <c r="F5" s="1"/>
      <c r="G5" s="1"/>
      <c r="H5" s="2"/>
      <c r="I5" s="2"/>
      <c r="J5" s="2"/>
      <c r="K5" s="2"/>
      <c r="L5" s="2"/>
      <c r="M5">
        <v>10.4</v>
      </c>
      <c r="N5">
        <v>71.099999999999994</v>
      </c>
    </row>
    <row r="6" spans="2:14" x14ac:dyDescent="0.35">
      <c r="B6">
        <v>5</v>
      </c>
      <c r="C6" t="s">
        <v>9</v>
      </c>
      <c r="D6" t="s">
        <v>12</v>
      </c>
      <c r="E6" s="1"/>
      <c r="F6" s="1"/>
      <c r="G6" s="1"/>
      <c r="H6" s="2"/>
      <c r="I6" s="2"/>
      <c r="J6" s="2"/>
      <c r="K6" s="2"/>
      <c r="L6" s="2"/>
      <c r="M6">
        <v>10.4</v>
      </c>
      <c r="N6">
        <v>71.099999999999994</v>
      </c>
    </row>
    <row r="7" spans="2:14" x14ac:dyDescent="0.35">
      <c r="B7">
        <v>16</v>
      </c>
      <c r="C7" t="s">
        <v>9</v>
      </c>
      <c r="D7" t="s">
        <v>12</v>
      </c>
      <c r="E7" s="1"/>
      <c r="F7" s="1"/>
      <c r="G7" s="1"/>
      <c r="H7" s="2"/>
      <c r="I7" s="2"/>
      <c r="J7" s="2"/>
      <c r="K7" s="2"/>
      <c r="L7" s="2"/>
      <c r="M7">
        <v>10.4</v>
      </c>
      <c r="N7">
        <v>71.099999999999994</v>
      </c>
    </row>
    <row r="8" spans="2:14" x14ac:dyDescent="0.35">
      <c r="B8">
        <v>17</v>
      </c>
      <c r="C8" t="s">
        <v>9</v>
      </c>
      <c r="D8" t="s">
        <v>12</v>
      </c>
      <c r="E8" s="1"/>
      <c r="F8" s="1"/>
      <c r="G8" s="1"/>
      <c r="H8" s="2"/>
      <c r="I8" s="2"/>
      <c r="J8" s="2"/>
      <c r="K8" s="2"/>
      <c r="L8" s="2"/>
      <c r="M8">
        <v>10.4</v>
      </c>
      <c r="N8">
        <v>71.099999999999994</v>
      </c>
    </row>
    <row r="9" spans="2:14" x14ac:dyDescent="0.35">
      <c r="B9">
        <v>18</v>
      </c>
      <c r="C9" t="s">
        <v>9</v>
      </c>
      <c r="D9" t="s">
        <v>12</v>
      </c>
      <c r="E9" s="1"/>
      <c r="F9" s="1"/>
      <c r="G9" s="1"/>
      <c r="H9" s="2"/>
      <c r="I9" s="2"/>
      <c r="J9" s="2"/>
      <c r="K9" s="2"/>
      <c r="L9" s="2"/>
      <c r="M9">
        <v>10.4</v>
      </c>
      <c r="N9">
        <v>71.099999999999994</v>
      </c>
    </row>
    <row r="10" spans="2:14" x14ac:dyDescent="0.35">
      <c r="I10" t="s">
        <v>15</v>
      </c>
      <c r="J10" s="2" t="e">
        <f>AVERAGE(J4:J9)</f>
        <v>#DIV/0!</v>
      </c>
      <c r="K10" s="2" t="e">
        <f>AVERAGE(K4:K9)</f>
        <v>#DIV/0!</v>
      </c>
    </row>
    <row r="11" spans="2:14" x14ac:dyDescent="0.35">
      <c r="I11" t="s">
        <v>16</v>
      </c>
      <c r="J11" s="2" t="e">
        <f>STDEV(J4:J9)</f>
        <v>#DIV/0!</v>
      </c>
      <c r="K11" s="2" t="e">
        <f>STDEV(K4:K9)</f>
        <v>#DIV/0!</v>
      </c>
    </row>
    <row r="12" spans="2:14" x14ac:dyDescent="0.35">
      <c r="I12" t="s">
        <v>17</v>
      </c>
      <c r="J12" s="2" t="e">
        <f>J11/J10</f>
        <v>#DIV/0!</v>
      </c>
      <c r="K12" s="2" t="e">
        <f>K11/K10</f>
        <v>#DIV/0!</v>
      </c>
    </row>
  </sheetData>
  <pageMargins left="0.7" right="0.7" top="0.75" bottom="0.75" header="0.3" footer="0.3"/>
  <pageSetup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 Sheet</vt:lpstr>
      <vt:lpstr>Final Results</vt:lpstr>
      <vt:lpstr>Calibration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Rugh, William</dc:creator>
  <cp:lastModifiedBy>Wang, Lena</cp:lastModifiedBy>
  <cp:lastPrinted>2024-05-08T20:57:20Z</cp:lastPrinted>
  <dcterms:created xsi:type="dcterms:W3CDTF">2024-03-04T18:42:49Z</dcterms:created>
  <dcterms:modified xsi:type="dcterms:W3CDTF">2024-05-13T23:15:57Z</dcterms:modified>
</cp:coreProperties>
</file>