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PRIV\CPHEA\PESD\COR\CORFILES\Projects\ISIRF\Processed Isocube files\EA FY25 (Oct24-Sep25)\"/>
    </mc:Choice>
  </mc:AlternateContent>
  <xr:revisionPtr revIDLastSave="0" documentId="13_ncr:1_{9A6FCFF3-CBB8-46F7-8DB1-B3BB3DB86A6A}" xr6:coauthVersionLast="47" xr6:coauthVersionMax="47" xr10:uidLastSave="{00000000-0000-0000-0000-000000000000}"/>
  <bookViews>
    <workbookView xWindow="-120" yWindow="-120" windowWidth="29040" windowHeight="15720" tabRatio="679" activeTab="1" xr2:uid="{00000000-000D-0000-FFFF-FFFF00000000}"/>
  </bookViews>
  <sheets>
    <sheet name="COVER" sheetId="6394" r:id="rId1"/>
    <sheet name="Investigator Data" sheetId="6399" r:id="rId2"/>
    <sheet name="Weigh Sheet" sheetId="6393" r:id="rId3"/>
    <sheet name="ISIRF RAW" sheetId="6397" r:id="rId4"/>
    <sheet name="Investigator QA Data" sheetId="6395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6395" l="1"/>
  <c r="O9" i="6395"/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l="1"/>
  <c r="A50" i="6395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l="1"/>
  <c r="H31" i="6398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<sst xmlns="http://schemas.openxmlformats.org/spreadsheetml/2006/main" count="621" uniqueCount="463">
  <si>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</si>
  <si>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</si>
  <si>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</si>
  <si>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</si>
  <si>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</si>
  <si>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</si>
  <si>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</si>
  <si>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</si>
  <si>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</si>
  <si>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</si>
  <si>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</si>
  <si>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</si>
  <si>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</si>
  <si>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</si>
  <si>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</si>
  <si>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</si>
  <si>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</si>
  <si>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</si>
  <si>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</si>
  <si>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</si>
  <si>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</si>
  <si>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</si>
  <si>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</si>
  <si>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</si>
  <si>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</si>
  <si>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</si>
  <si>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</si>
  <si>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</si>
  <si>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</si>
  <si>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</si>
  <si>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</si>
  <si>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</si>
  <si>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</si>
  <si>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</si>
  <si>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</si>
  <si>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</si>
  <si>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</si>
  <si>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</si>
  <si>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</si>
  <si>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</si>
  <si>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</si>
  <si>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</si>
  <si>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</si>
  <si>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</si>
  <si>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</si>
  <si>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</si>
  <si>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</si>
  <si>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</si>
  <si>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</si>
  <si>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</si>
  <si>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</si>
  <si>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</si>
  <si>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</si>
  <si>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</si>
  <si>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</si>
  <si>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</si>
  <si>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</si>
  <si>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</si>
  <si>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</si>
  <si>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</si>
  <si>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</si>
  <si>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</si>
  <si>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</si>
  <si>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</si>
  <si>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</si>
  <si>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</si>
  <si>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</si>
  <si>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</si>
  <si>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</si>
  <si>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</si>
  <si>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</si>
  <si>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</si>
  <si>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</si>
  <si>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</si>
  <si>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</si>
  <si>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</si>
  <si>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</si>
  <si>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</si>
  <si>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</si>
  <si>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</si>
  <si>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</si>
  <si>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</si>
  <si>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</si>
  <si>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</si>
  <si>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</si>
  <si>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</si>
  <si>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</si>
  <si>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</si>
  <si>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</si>
  <si>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</si>
  <si>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</si>
  <si>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</si>
  <si>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</si>
  <si>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</si>
  <si>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</si>
  <si>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</si>
  <si>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</si>
  <si>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</si>
  <si>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</si>
  <si>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</si>
  <si>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</si>
  <si>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</si>
  <si>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</si>
  <si>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</si>
  <si>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</si>
  <si>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</si>
  <si>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</si>
  <si>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</si>
  <si>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</si>
  <si>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</si>
  <si>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</si>
  <si>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</si>
  <si>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</si>
  <si>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</si>
  <si>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</si>
  <si>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</si>
  <si>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</si>
  <si>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</si>
  <si>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</si>
  <si>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</si>
  <si>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</si>
  <si>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</si>
  <si>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</si>
  <si>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</si>
  <si>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</si>
  <si>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</si>
  <si>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</si>
  <si>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</si>
  <si>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</si>
  <si>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</si>
  <si>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</si>
  <si>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</si>
  <si>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</si>
  <si>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</si>
  <si>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</si>
  <si>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</si>
  <si>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</si>
  <si>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</si>
  <si>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</si>
  <si>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</si>
  <si>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</si>
  <si>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</si>
  <si>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</si>
  <si>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</si>
  <si>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</si>
  <si>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</si>
  <si>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</si>
  <si>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</si>
  <si>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</si>
  <si>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</si>
  <si>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</si>
  <si>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</si>
  <si>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</si>
  <si>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</si>
  <si>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</si>
  <si>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</si>
  <si>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</si>
  <si>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</si>
  <si>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</si>
  <si>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</si>
  <si>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</si>
  <si>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</si>
  <si>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</si>
  <si>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</si>
  <si>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</si>
  <si>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</si>
  <si>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</si>
  <si>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</si>
  <si>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</si>
  <si>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</si>
  <si>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</si>
  <si>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</si>
  <si>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</si>
  <si>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</si>
  <si>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</si>
  <si>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</si>
  <si>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</si>
  <si>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</si>
  <si>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</si>
  <si>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</si>
  <si>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</si>
  <si>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</si>
  <si>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</si>
  <si>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</si>
  <si>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</si>
  <si>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</si>
  <si>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</si>
  <si>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</si>
  <si>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</si>
  <si>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</si>
  <si>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</si>
  <si>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</si>
  <si>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</si>
  <si>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</si>
  <si>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</si>
  <si>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</si>
  <si>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</si>
  <si>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</si>
  <si>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</si>
  <si>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</si>
  <si>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</si>
  <si>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</si>
  <si>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</si>
  <si>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</si>
  <si>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</si>
  <si>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</si>
  <si>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</si>
  <si>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</si>
  <si>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</si>
  <si>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</si>
  <si>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</si>
  <si>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</si>
  <si>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</si>
  <si>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</si>
  <si>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</si>
  <si>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</si>
  <si>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</si>
  <si>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</si>
  <si>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</si>
  <si>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</si>
  <si>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</si>
  <si>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</si>
  <si>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</si>
  <si>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</si>
  <si>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</si>
  <si>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</si>
  <si>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</si>
  <si>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</si>
  <si>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</si>
  <si>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</si>
  <si>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</si>
  <si>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</si>
  <si>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</si>
  <si>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</si>
  <si>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</si>
  <si>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</si>
  <si>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</si>
  <si>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</si>
  <si>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</si>
  <si>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</si>
  <si>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</si>
  <si>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</si>
  <si>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</si>
  <si>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</si>
  <si>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</si>
  <si>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</si>
  <si>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</si>
  <si>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</si>
  <si>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</si>
  <si>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</si>
  <si>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</si>
  <si>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</si>
  <si>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</si>
  <si>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</si>
  <si>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</si>
  <si>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</si>
  <si>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</si>
  <si>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</si>
  <si>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</si>
  <si>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</si>
  <si>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</si>
  <si>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</si>
  <si>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</si>
  <si>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</si>
  <si>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</si>
  <si>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</si>
  <si>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</si>
  <si>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</si>
  <si>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</si>
  <si>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</si>
  <si>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</si>
  <si>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</si>
  <si>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</si>
  <si>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</si>
  <si>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</si>
  <si>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</si>
  <si>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</si>
  <si>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</si>
  <si>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</si>
  <si>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</si>
  <si>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</si>
  <si>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</si>
  <si>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</si>
  <si>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</si>
  <si>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</si>
  <si>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</si>
  <si>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</si>
  <si>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</si>
  <si>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</si>
  <si>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</si>
  <si>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</si>
  <si>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</si>
  <si>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</si>
  <si>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</si>
  <si>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</si>
  <si>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</si>
  <si>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</si>
  <si>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</si>
  <si>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</si>
  <si>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</si>
  <si>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</si>
  <si>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</si>
  <si>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</si>
  <si>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</si>
  <si>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</si>
  <si>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</si>
  <si>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</si>
  <si>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</si>
  <si>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</si>
  <si>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</si>
  <si>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</si>
  <si>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</si>
  <si>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</si>
  <si>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</si>
  <si>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</si>
  <si>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</si>
  <si>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</si>
  <si>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</si>
  <si>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</si>
  <si>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</si>
  <si>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</si>
  <si>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</si>
  <si>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</si>
  <si>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</si>
  <si>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</si>
  <si>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</si>
  <si>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</si>
  <si>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</si>
  <si>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</si>
  <si>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</si>
  <si>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</si>
  <si>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</si>
  <si>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</si>
  <si>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</si>
  <si>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</si>
  <si>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</si>
  <si>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</si>
  <si>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</si>
  <si>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</si>
  <si>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</si>
  <si>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</si>
  <si>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</si>
  <si>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</si>
  <si>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</si>
  <si>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</si>
  <si>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</si>
  <si>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</si>
  <si>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</si>
  <si>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</si>
  <si>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</si>
  <si>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</si>
  <si>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</si>
  <si>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</si>
  <si>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</si>
  <si>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</si>
  <si>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</si>
  <si>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</si>
  <si>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</si>
  <si>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</si>
  <si>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</si>
  <si>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</si>
  <si>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</si>
  <si>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</si>
  <si>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</si>
  <si>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and Oregon PINE</t>
  </si>
  <si>
    <t>The Kansas ROAR projects investigates soil health practices influences over nitrate leaching (Soil Samples collected from 0-8 inches in Kansas farmlands)</t>
  </si>
  <si>
    <t>Soil</t>
  </si>
  <si>
    <t>241218</t>
  </si>
  <si>
    <t>KansasROARCarbon-3</t>
  </si>
  <si>
    <t xml:space="preserve">20231120_W1_H </t>
  </si>
  <si>
    <t xml:space="preserve">20240407_E1_A </t>
  </si>
  <si>
    <t xml:space="preserve">20240407_E1_B </t>
  </si>
  <si>
    <t xml:space="preserve">20240407_E1_C </t>
  </si>
  <si>
    <t xml:space="preserve">20240407_E1_D </t>
  </si>
  <si>
    <t xml:space="preserve">20240407_E1_E </t>
  </si>
  <si>
    <t xml:space="preserve">20240407_E1_F </t>
  </si>
  <si>
    <t xml:space="preserve">20240407_E1_G </t>
  </si>
  <si>
    <t xml:space="preserve">20240407_E1_H </t>
  </si>
  <si>
    <t xml:space="preserve">20240407_E1_I </t>
  </si>
  <si>
    <t>20240407_E2_A</t>
  </si>
  <si>
    <t xml:space="preserve">20240407_E2_B </t>
  </si>
  <si>
    <t xml:space="preserve">20240407_E2_C </t>
  </si>
  <si>
    <t xml:space="preserve">20240407_E2_D </t>
  </si>
  <si>
    <t xml:space="preserve">20240407_E2_E </t>
  </si>
  <si>
    <t xml:space="preserve">20240407_E2_F </t>
  </si>
  <si>
    <t xml:space="preserve">20240407_E2_G </t>
  </si>
  <si>
    <t xml:space="preserve">20240407_E3_A </t>
  </si>
  <si>
    <t>20240407_E3_A_Dup</t>
  </si>
  <si>
    <t xml:space="preserve">20240407_E3_B </t>
  </si>
  <si>
    <t xml:space="preserve">20240407_E3_C </t>
  </si>
  <si>
    <t xml:space="preserve">20240407_E3_D </t>
  </si>
  <si>
    <t xml:space="preserve">20240407_E3_E </t>
  </si>
  <si>
    <t xml:space="preserve">20240407_E3_F </t>
  </si>
  <si>
    <t xml:space="preserve">20240407_E3_G </t>
  </si>
  <si>
    <t xml:space="preserve">20240407_E3_H </t>
  </si>
  <si>
    <t xml:space="preserve">20240407_E3_I </t>
  </si>
  <si>
    <t xml:space="preserve">20240407_S2_A </t>
  </si>
  <si>
    <t xml:space="preserve">20240407_S2_B </t>
  </si>
  <si>
    <t xml:space="preserve">20240407_S2_C </t>
  </si>
  <si>
    <t xml:space="preserve">20240407_S2_D </t>
  </si>
  <si>
    <t xml:space="preserve">20240407_S2_E </t>
  </si>
  <si>
    <t xml:space="preserve">20240407_S2_F </t>
  </si>
  <si>
    <t xml:space="preserve">20240407_S2_G </t>
  </si>
  <si>
    <t>20240407_S2_H</t>
  </si>
  <si>
    <t xml:space="preserve">20240407_S2_I </t>
  </si>
  <si>
    <t>IC15N-241218-10KansasRoarCarbon-3_1.raw</t>
  </si>
  <si>
    <t>IC15N-241218-10KansasRoarCarbon-3_2.raw</t>
  </si>
  <si>
    <t>IC15N-241218-10KansasRoarCarbon-3_3.raw</t>
  </si>
  <si>
    <t>IC15N-241218-10KansasRoarCarbon-3_4.raw</t>
  </si>
  <si>
    <t>IC15N-241218-10KansasRoarCarbon-3_5.raw</t>
  </si>
  <si>
    <t>IC15N-241218-10KansasRoarCarbon-3_6.raw</t>
  </si>
  <si>
    <t>IC15N-241218-10KansasRoarCarbon-3_7.raw</t>
  </si>
  <si>
    <t>IC15N-241218-10KansasRoarCarbon-3_8.raw</t>
  </si>
  <si>
    <t>IC15N-241218-10KansasRoarCarbon-3_9.raw</t>
  </si>
  <si>
    <t>IC15N-241218-10KansasRoarCarbon-3_10.raw</t>
  </si>
  <si>
    <t>IC15N-241218-10KansasRoarCarbon-3_11.raw</t>
  </si>
  <si>
    <t>IC15N-241218-10KansasRoarCarbon-3_12.raw</t>
  </si>
  <si>
    <t>IC15N-241218-10KansasRoarCarbon-3_13.raw</t>
  </si>
  <si>
    <t>IC15N-241218-10KansasRoarCarbon-3_14.raw</t>
  </si>
  <si>
    <t>IC15N-241218-10KansasRoarCarbon-3_15.raw</t>
  </si>
  <si>
    <t>IC15N-241218-10KansasRoarCarbon-3_16.raw</t>
  </si>
  <si>
    <t>IC15N-241218-10KansasRoarCarbon-3_17.raw</t>
  </si>
  <si>
    <t>IC15N-241218-10KansasRoarCarbon-3_18.raw</t>
  </si>
  <si>
    <t>IC15N-241218-10KansasRoarCarbon-3_19.raw</t>
  </si>
  <si>
    <t>IC15N-241218-10KansasRoarCarbon-3_20.raw</t>
  </si>
  <si>
    <t>IC15N-241218-10KansasRoarCarbon-3_21.raw</t>
  </si>
  <si>
    <t>IC15N-241218-10KansasRoarCarbon-3_22.raw</t>
  </si>
  <si>
    <t>IC15N-241218-10KansasRoarCarbon-3_23.raw</t>
  </si>
  <si>
    <t>IC15N-241218-10KansasRoarCarbon-3_24.raw</t>
  </si>
  <si>
    <t>IC15N-241218-10KansasRoarCarbon-3_25.raw</t>
  </si>
  <si>
    <t>IC15N-241218-10KansasRoarCarbon-3_26.raw</t>
  </si>
  <si>
    <t>IC15N-241218-10KansasRoarCarbon-3_27.raw</t>
  </si>
  <si>
    <t>IC15N-241218-10KansasRoarCarbon-3_28.raw</t>
  </si>
  <si>
    <t>IC15N-241218-10KansasRoarCarbon-3_29.raw</t>
  </si>
  <si>
    <t>IC15N-241218-10KansasRoarCarbon-3_30.raw</t>
  </si>
  <si>
    <t>IC15N-241218-10KansasRoarCarbon-3_31.raw</t>
  </si>
  <si>
    <t>IC15N-241218-10KansasRoarCarbon-3_32.raw</t>
  </si>
  <si>
    <t>IC15N-241218-10KansasRoarCarbon-3_33.raw</t>
  </si>
  <si>
    <t>IC15N-241218-10KansasRoarCarbon-3_34.raw</t>
  </si>
  <si>
    <t>IC15N-241218-10KansasRoarCarbon-3_35.raw</t>
  </si>
  <si>
    <t>IC15N-241218-10KansasRoarCarbon-3_36.raw</t>
  </si>
  <si>
    <t>IC15N-241218-10KansasRoarCarbon-3_37.raw</t>
  </si>
  <si>
    <t>IC15N-241218-10KansasRoarCarbon-3_38.raw</t>
  </si>
  <si>
    <t>IC15N-241218-10KansasRoarCarbon-3_39.raw</t>
  </si>
  <si>
    <t>IC15N-241218-10KansasRoarCarbon-3_40.raw</t>
  </si>
  <si>
    <t>IC15N-241218-10KansasRoarCarbon-3_41.raw</t>
  </si>
  <si>
    <t>IC15N-241218-10KansasRoarCarbon-3_42.raw</t>
  </si>
  <si>
    <t>IC15N-241218-10KansasRoarCarbon-3_43.raw</t>
  </si>
  <si>
    <t>IC15N-241218-10KansasRoarCarbon-3_44.raw</t>
  </si>
  <si>
    <t>IC15N-241218-10KansasRoarCarbon-3_45.raw</t>
  </si>
  <si>
    <t>IC15N-241218-10KansasRoarCarbon-3_46.raw</t>
  </si>
  <si>
    <t>IC15N-241218-10KansasRoarCarbon-3_47.raw</t>
  </si>
  <si>
    <t>IC15N-241218-10KansasRoarCarbon-3_48.raw</t>
  </si>
  <si>
    <t>IC15N-241218-10KansasRoarCarbon-3_49.raw</t>
  </si>
  <si>
    <t>IC15N-241218-10KansasRoarCarbon-3_50.raw</t>
  </si>
  <si>
    <t>IC15N-241218-10KansasRoarCarbon-3_51.raw</t>
  </si>
  <si>
    <t>IC15N-241218-10KansasRoarCarbon-3_52.raw</t>
  </si>
  <si>
    <t>IC15N-241218-10KansasRoarCarbon-3_53.raw</t>
  </si>
  <si>
    <t>IC15N-241218-10KansasRoarCarbon-3_54.raw</t>
  </si>
  <si>
    <t>IC15N-241218-10KansasRoarCarbon-3_55.raw</t>
  </si>
  <si>
    <t>IC15N-241218-10KansasRoarCarbon-3_56.raw</t>
  </si>
  <si>
    <t>Isotope QC</t>
  </si>
  <si>
    <t>LSDT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</si>
</sst>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20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2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7" fillId="18" borderId="12" xfId="0" applyFont="1" applyFill="1" applyBorder="1" applyAlignment="1" applyProtection="1">
      <alignment horizontal="center" wrapText="1"/>
      <protection locked="0"/>
    </xf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9" borderId="49" xfId="0" applyFont="1" applyFill="1" applyBorder="1" applyAlignment="1">
      <alignment horizontal="center"/>
    </xf>
    <xf numFmtId="2" fontId="7" fillId="19" borderId="49" xfId="0" applyNumberFormat="1" applyFont="1" applyFill="1" applyBorder="1" applyAlignment="1">
      <alignment horizontal="center"/>
    </xf>
    <xf numFmtId="2" fontId="7" fillId="19" borderId="151" xfId="0" applyNumberFormat="1" applyFont="1" applyFill="1" applyBorder="1" applyAlignment="1">
      <alignment horizontal="center"/>
    </xf>
    <xf numFmtId="2" fontId="7" fillId="19" borderId="148" xfId="0" applyNumberFormat="1" applyFont="1" applyFill="1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25"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24" dataDxfId="22" headerRowBorderDxfId="23" tableBorderDxfId="21" totalsRowBorderDxfId="20" headerRowCellStyle="Accent3">
  <autoFilter ref="E1:K16" xr:uid="{B118AAE5-6314-4991-BDCF-17CA9FBC3FF9}"/>
  <tableColumns count="7">
    <tableColumn id="1" xr3:uid="{5D36B30D-77B8-4D5D-9895-480D061267C8}" name="Last Name" dataDxfId="19"/>
    <tableColumn id="2" xr3:uid="{A6E9D35F-FE71-4119-B014-9E48C54984B4}" name="First Name" dataDxfId="18"/>
    <tableColumn id="3" xr3:uid="{3999A4BB-7307-470B-A6E4-445EE30963B1}" name="Branch" dataDxfId="17"/>
    <tableColumn id="4" xr3:uid="{7CB69ADB-FD93-4D3B-B155-F71BE7E3770F}" name="ID Number" dataDxfId="16"/>
    <tableColumn id="5" xr3:uid="{940639FA-9D60-4218-AF21-AAC1E4B69678}" name="Address" dataDxfId="15"/>
    <tableColumn id="6" xr3:uid="{6B88A187-DB08-469F-9EAA-D4B0D564CB1A}" name="email Address" dataDxfId="14"/>
    <tableColumn id="7" xr3:uid="{2758765F-F6B7-49E9-A496-3CB036C89C91}" name="Phone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topLeftCell="A4" workbookViewId="0">
      <selection activeCell="C8" sqref="C8"/>
    </sheetView>
  </sheetViews>
  <sheetFormatPr defaultColWidth="9.140625" defaultRowHeight="12.75"/>
  <cols>
    <col min="1" max="1" width="2.7109375" style="14" customWidth="1"/>
    <col min="2" max="2" width="36.5703125" style="14" customWidth="1"/>
    <col min="3" max="3" width="69.28515625" style="14" customWidth="1"/>
    <col min="4" max="16384" width="9.140625" style="14"/>
  </cols>
  <sheetData>
    <row r="1" spans="2:16" s="5" customFormat="1" ht="13.5" thickBot="1"/>
    <row r="2" spans="2:16" s="23" customFormat="1" ht="15.75" thickBot="1">
      <c r="B2" s="16" t="s">
        <v>10</v>
      </c>
      <c r="C2" s="626" t="str">
        <f>"IC"&amp;C15&amp;"-"&amp;C23&amp;"-"&amp;C22&amp;C8</f>
        <v>IC13C-241218-10KansasROARCarbon-3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>
      <c r="B4" s="28" t="s">
        <v>363</v>
      </c>
      <c r="D4" s="29"/>
      <c r="E4" s="29"/>
      <c r="F4" s="29"/>
      <c r="G4" s="29"/>
      <c r="H4" s="29"/>
    </row>
    <row r="5" spans="2:16" ht="13.5" thickBot="1"/>
    <row r="6" spans="2:16" ht="13.5" thickTop="1">
      <c r="B6" s="36" t="s">
        <v>361</v>
      </c>
      <c r="C6" s="619" t="s">
        <v>364</v>
      </c>
      <c r="D6" s="15"/>
      <c r="E6" s="13"/>
      <c r="F6" s="15"/>
      <c r="G6" s="15"/>
      <c r="H6" s="15"/>
      <c r="I6" s="15"/>
    </row>
    <row r="7" spans="2:16" ht="25.5">
      <c r="B7" s="37" t="s">
        <v>20</v>
      </c>
      <c r="C7" s="648" t="s">
        <v>365</v>
      </c>
      <c r="D7" s="13"/>
      <c r="E7" s="15"/>
      <c r="F7" s="15"/>
      <c r="G7" s="15"/>
      <c r="H7" s="15"/>
      <c r="I7" s="15"/>
    </row>
    <row r="8" spans="2:16">
      <c r="B8" s="37" t="s">
        <v>150</v>
      </c>
      <c r="C8" s="618" t="s">
        <v>368</v>
      </c>
      <c r="D8" s="13"/>
      <c r="E8" s="15"/>
      <c r="F8" s="15"/>
      <c r="G8" s="15"/>
      <c r="H8" s="15"/>
      <c r="I8" s="15"/>
    </row>
    <row r="9" spans="2:16">
      <c r="B9" s="37" t="s">
        <v>23</v>
      </c>
      <c r="C9" s="618" t="s">
        <v>273</v>
      </c>
      <c r="D9" s="15"/>
      <c r="E9" s="15"/>
      <c r="F9" s="15"/>
      <c r="G9" s="15"/>
      <c r="H9" s="15"/>
      <c r="I9" s="15"/>
    </row>
    <row r="10" spans="2:16" ht="15">
      <c r="B10" s="37" t="s">
        <v>16</v>
      </c>
      <c r="C10" s="623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5">
      <c r="B11" s="37" t="s">
        <v>19</v>
      </c>
      <c r="C11" s="623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5">
      <c r="B12" s="37" t="s">
        <v>17</v>
      </c>
      <c r="C12" s="623" t="str">
        <f>VLOOKUP($C$9,Table1[],6)</f>
        <v>compton.jana@epa.gov</v>
      </c>
      <c r="D12" s="15"/>
      <c r="E12" s="15"/>
      <c r="F12" s="15"/>
      <c r="G12" s="15"/>
      <c r="H12" s="15"/>
      <c r="I12" s="15"/>
      <c r="J12" s="576"/>
    </row>
    <row r="13" spans="2:16" ht="15">
      <c r="B13" s="37" t="s">
        <v>18</v>
      </c>
      <c r="C13" s="623">
        <f>VLOOKUP($C$9,Table1[],7)</f>
        <v>4620</v>
      </c>
      <c r="D13" s="15"/>
      <c r="E13" s="15"/>
      <c r="F13" s="15"/>
      <c r="G13" s="15"/>
      <c r="H13" s="15"/>
      <c r="I13" s="15"/>
    </row>
    <row r="14" spans="2:16">
      <c r="B14" s="37" t="s">
        <v>29</v>
      </c>
      <c r="C14" s="624" t="s">
        <v>326</v>
      </c>
      <c r="D14" s="15"/>
      <c r="E14" s="15"/>
      <c r="F14" s="15"/>
      <c r="G14" s="15"/>
      <c r="H14" s="15"/>
      <c r="I14" s="15"/>
    </row>
    <row r="15" spans="2:16">
      <c r="B15" s="37" t="s">
        <v>178</v>
      </c>
      <c r="C15" s="618" t="s">
        <v>322</v>
      </c>
      <c r="D15" s="15"/>
      <c r="E15" s="15"/>
      <c r="F15" s="15"/>
      <c r="G15" s="15"/>
      <c r="H15" s="15"/>
      <c r="I15" s="15"/>
    </row>
    <row r="16" spans="2:16">
      <c r="B16" s="37" t="s">
        <v>333</v>
      </c>
      <c r="C16" s="618"/>
      <c r="D16" s="15"/>
      <c r="E16" s="15"/>
      <c r="F16" s="15"/>
      <c r="G16" s="15"/>
      <c r="H16" s="15"/>
      <c r="I16" s="15"/>
    </row>
    <row r="17" spans="2:9">
      <c r="B17" s="37" t="s">
        <v>332</v>
      </c>
      <c r="C17" s="618"/>
      <c r="D17" s="15"/>
      <c r="E17" s="15"/>
      <c r="F17" s="15"/>
      <c r="G17" s="15"/>
      <c r="H17" s="15"/>
      <c r="I17" s="15"/>
    </row>
    <row r="18" spans="2:9">
      <c r="B18" s="37" t="s">
        <v>334</v>
      </c>
      <c r="C18" s="618"/>
      <c r="D18" s="15"/>
      <c r="E18" s="15"/>
      <c r="F18" s="15"/>
      <c r="G18" s="15"/>
      <c r="H18" s="15"/>
      <c r="I18" s="15"/>
    </row>
    <row r="19" spans="2:9">
      <c r="B19" s="37" t="s">
        <v>153</v>
      </c>
      <c r="C19" s="618" t="s">
        <v>366</v>
      </c>
      <c r="D19" s="15"/>
      <c r="E19" s="15"/>
      <c r="F19" s="15"/>
      <c r="G19" s="15"/>
      <c r="H19" s="15"/>
      <c r="I19" s="15"/>
    </row>
    <row r="20" spans="2:9">
      <c r="B20" s="37" t="s">
        <v>71</v>
      </c>
      <c r="C20" s="618" t="s">
        <v>319</v>
      </c>
      <c r="D20" s="15"/>
      <c r="E20" s="15"/>
      <c r="F20" s="15"/>
      <c r="G20" s="15"/>
      <c r="H20" s="15"/>
      <c r="I20" s="15"/>
    </row>
    <row r="21" spans="2:9">
      <c r="B21" s="37" t="s">
        <v>72</v>
      </c>
      <c r="C21" s="618" t="s">
        <v>319</v>
      </c>
      <c r="D21" s="15"/>
      <c r="E21" s="15"/>
      <c r="F21" s="15"/>
      <c r="G21" s="15"/>
      <c r="H21" s="15"/>
      <c r="I21" s="15"/>
    </row>
    <row r="22" spans="2:9" ht="15">
      <c r="B22" s="37" t="s">
        <v>151</v>
      </c>
      <c r="C22" s="623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5" t="s">
        <v>367</v>
      </c>
      <c r="D23" s="15"/>
      <c r="E23" s="15"/>
      <c r="F23" s="15"/>
      <c r="G23" s="15"/>
      <c r="H23" s="15"/>
      <c r="I23" s="15"/>
    </row>
    <row r="24" spans="2:9" ht="13.5" thickTop="1">
      <c r="C24" s="5"/>
    </row>
    <row r="26" spans="2:9">
      <c r="B26" s="13" t="s">
        <v>27</v>
      </c>
    </row>
    <row r="27" spans="2:9">
      <c r="B27" s="15" t="s">
        <v>73</v>
      </c>
      <c r="C27" s="13"/>
    </row>
    <row r="28" spans="2:9">
      <c r="B28" s="15" t="s">
        <v>163</v>
      </c>
      <c r="C28" s="15"/>
    </row>
    <row r="29" spans="2:9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.5" thickBot="1">
      <c r="C33" s="15"/>
    </row>
    <row r="34" spans="2:4" s="5" customFormat="1" ht="13.5" thickTop="1">
      <c r="B34" s="649" t="s">
        <v>98</v>
      </c>
      <c r="C34" s="650"/>
      <c r="D34" s="651"/>
    </row>
    <row r="35" spans="2:4">
      <c r="B35" s="34" t="s">
        <v>100</v>
      </c>
      <c r="C35" s="654" t="s">
        <v>99</v>
      </c>
      <c r="D35" s="655"/>
    </row>
    <row r="36" spans="2:4">
      <c r="B36" s="35" t="s">
        <v>105</v>
      </c>
      <c r="C36" s="656" t="s">
        <v>104</v>
      </c>
      <c r="D36" s="657"/>
    </row>
    <row r="37" spans="2:4">
      <c r="B37" s="35" t="s">
        <v>120</v>
      </c>
      <c r="C37" s="656" t="s">
        <v>122</v>
      </c>
      <c r="D37" s="657"/>
    </row>
    <row r="38" spans="2:4">
      <c r="B38" s="47" t="s">
        <v>121</v>
      </c>
      <c r="C38" s="656" t="s">
        <v>106</v>
      </c>
      <c r="D38" s="657"/>
    </row>
    <row r="39" spans="2:4">
      <c r="B39" s="641" t="s">
        <v>146</v>
      </c>
      <c r="C39" s="658" t="s">
        <v>108</v>
      </c>
      <c r="D39" s="659"/>
    </row>
    <row r="40" spans="2:4">
      <c r="B40" s="642" t="s">
        <v>101</v>
      </c>
      <c r="C40" s="662" t="s">
        <v>107</v>
      </c>
      <c r="D40" s="663"/>
    </row>
    <row r="41" spans="2:4" ht="14.25">
      <c r="B41" s="434" t="s">
        <v>102</v>
      </c>
      <c r="C41" s="664" t="s">
        <v>147</v>
      </c>
      <c r="D41" s="665"/>
    </row>
    <row r="42" spans="2:4" ht="14.25">
      <c r="B42" s="434" t="s">
        <v>103</v>
      </c>
      <c r="C42" s="664" t="s">
        <v>148</v>
      </c>
      <c r="D42" s="665"/>
    </row>
    <row r="43" spans="2:4" ht="14.25">
      <c r="B43" s="434" t="s">
        <v>179</v>
      </c>
      <c r="C43" s="666" t="s">
        <v>180</v>
      </c>
      <c r="D43" s="667"/>
    </row>
    <row r="44" spans="2:4">
      <c r="B44" s="643" t="s">
        <v>340</v>
      </c>
      <c r="C44" s="652" t="s">
        <v>342</v>
      </c>
      <c r="D44" s="653"/>
    </row>
    <row r="45" spans="2:4" ht="13.5" thickBot="1">
      <c r="B45" s="644" t="s">
        <v>341</v>
      </c>
      <c r="C45" s="660" t="s">
        <v>343</v>
      </c>
      <c r="D45" s="661"/>
    </row>
    <row r="46" spans="2:4" ht="13.5" thickTop="1">
      <c r="B46" s="46"/>
      <c r="C46" s="29"/>
    </row>
  </sheetData>
  <protectedRanges>
    <protectedRange password="94AB" sqref="C6:C23" name="Cover data_1_1_1"/>
  </protectedRanges>
  <mergeCells count="12">
    <mergeCell ref="C45:D45"/>
    <mergeCell ref="C40:D40"/>
    <mergeCell ref="C41:D41"/>
    <mergeCell ref="C42:D42"/>
    <mergeCell ref="C43:D43"/>
    <mergeCell ref="B34:D34"/>
    <mergeCell ref="C44:D44"/>
    <mergeCell ref="C35:D35"/>
    <mergeCell ref="C36:D36"/>
    <mergeCell ref="C37:D37"/>
    <mergeCell ref="C38:D38"/>
    <mergeCell ref="C39:D39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tabSelected="1" workbookViewId="0">
      <selection activeCell="E33" sqref="E33"/>
    </sheetView>
  </sheetViews>
  <sheetFormatPr defaultColWidth="11.42578125" defaultRowHeight="12.75"/>
  <cols>
    <col min="1" max="1" width="8.28515625" style="15" customWidth="1"/>
    <col min="2" max="2" width="26" style="410" customWidth="1"/>
    <col min="3" max="3" width="19.140625" style="410" customWidth="1"/>
    <col min="4" max="4" width="17.140625" style="410" customWidth="1"/>
    <col min="5" max="6" width="10.85546875" style="410" customWidth="1"/>
    <col min="7" max="8" width="12.7109375" style="410" customWidth="1"/>
    <col min="9" max="9" width="29.7109375" style="411" bestFit="1" customWidth="1"/>
    <col min="10" max="11" width="11.42578125" style="15" customWidth="1"/>
    <col min="12" max="12" width="9.5703125" style="15" customWidth="1"/>
    <col min="13" max="13" width="13" style="15" customWidth="1"/>
    <col min="14" max="14" width="9.28515625" style="15" customWidth="1"/>
    <col min="15" max="15" width="12.42578125" style="15" customWidth="1"/>
    <col min="16" max="16" width="11.140625" style="15" customWidth="1"/>
    <col min="17" max="17" width="7.7109375" style="15" customWidth="1"/>
    <col min="18" max="18" width="7.42578125" style="15" customWidth="1"/>
    <col min="19" max="19" width="6.85546875" style="15" customWidth="1"/>
    <col min="20" max="16384" width="11.42578125" style="15"/>
  </cols>
  <sheetData>
    <row r="1" spans="1:17" ht="13.5" thickBot="1"/>
    <row r="2" spans="1:17" s="23" customFormat="1" ht="13.5" thickTop="1">
      <c r="A2" s="407"/>
      <c r="B2" s="437" t="s">
        <v>10</v>
      </c>
      <c r="C2" s="668" t="str">
        <f>COVER!C2</f>
        <v>IC13C-241218-10KansasROARCarbon-3</v>
      </c>
      <c r="D2" s="669"/>
      <c r="E2" s="575"/>
      <c r="F2" s="408"/>
      <c r="G2" s="408"/>
      <c r="H2" s="427"/>
      <c r="I2" s="412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4.25">
      <c r="A3" s="413" t="s">
        <v>66</v>
      </c>
      <c r="B3" s="435" t="s">
        <v>21</v>
      </c>
      <c r="C3" s="435" t="s">
        <v>161</v>
      </c>
      <c r="D3" s="436" t="s">
        <v>67</v>
      </c>
      <c r="E3" s="436" t="s">
        <v>182</v>
      </c>
      <c r="F3" s="678" t="s">
        <v>68</v>
      </c>
      <c r="G3" s="678" t="s">
        <v>183</v>
      </c>
      <c r="H3" s="678" t="s">
        <v>253</v>
      </c>
      <c r="I3" s="593"/>
      <c r="J3" s="23"/>
    </row>
    <row r="4" spans="1:17" s="22" customFormat="1">
      <c r="A4" s="416" t="s">
        <v>74</v>
      </c>
      <c r="B4" s="571" t="s">
        <v>369</v>
      </c>
      <c r="C4" s="571">
        <v>25</v>
      </c>
      <c r="D4" s="414">
        <f>IF(COUNT('ISIRF RAW'!M12,'ISIRF RAW'!M56)=0,"",AVERAGE('ISIRF RAW'!M12,'ISIRF RAW'!M56))</f>
        <v>1.4473969760999998</v>
      </c>
      <c r="E4" s="414">
        <f>IF(COUNT('ISIRF RAW'!O12,'ISIRF RAW'!O56)=0,"",AVERAGE('ISIRF RAW'!O12,'ISIRF RAW'!O56))</f>
        <v>-17.516796774932899</v>
      </c>
      <c r="F4" s="679">
        <f>IF(COUNT('ISIRF RAW'!J12,'ISIRF RAW'!J56)=0,"",AVERAGE('ISIRF RAW'!J12,'ISIRF RAW'!J56))</f>
        <v>0.23881289370154954</v>
      </c>
      <c r="G4" s="679">
        <f>IF(COUNT('ISIRF RAW'!L12,'ISIRF RAW'!L56)=0,"", AVERAGE('ISIRF RAW'!L12,'ISIRF RAW'!L56))</f>
        <v>6.0309836046623042</v>
      </c>
      <c r="H4" s="680">
        <f t="shared" ref="H4" si="0">D4/F4</f>
        <v>6.0607991204564025</v>
      </c>
      <c r="I4" s="591"/>
    </row>
    <row r="5" spans="1:17" s="22" customFormat="1">
      <c r="A5" s="415">
        <v>2</v>
      </c>
      <c r="B5" s="571" t="s">
        <v>370</v>
      </c>
      <c r="C5" s="571">
        <v>25</v>
      </c>
      <c r="D5" s="414">
        <f>IF(COUNT('ISIRF RAW'!M13)=0,"",'ISIRF RAW'!M13)</f>
        <v>1.4578362515999999</v>
      </c>
      <c r="E5" s="414">
        <f>IF(COUNT('ISIRF RAW'!O13)=0,"",'ISIRF RAW'!O13)</f>
        <v>-18.63486521192263</v>
      </c>
      <c r="F5" s="679">
        <f>IF(COUNT('ISIRF RAW'!J13)=0,"",'ISIRF RAW'!J13)</f>
        <v>0.24384169063036545</v>
      </c>
      <c r="G5" s="679">
        <f>IF(COUNT('ISIRF RAW'!L13)=0,"",'ISIRF RAW'!L13)</f>
        <v>5.7231283657029657</v>
      </c>
      <c r="H5" s="680">
        <f t="shared" ref="H5:H39" si="1">D5/F5</f>
        <v>5.978617716401514</v>
      </c>
      <c r="I5" s="591"/>
    </row>
    <row r="6" spans="1:17" s="22" customFormat="1">
      <c r="A6" s="415">
        <v>3</v>
      </c>
      <c r="B6" s="571" t="s">
        <v>371</v>
      </c>
      <c r="C6" s="571">
        <v>25</v>
      </c>
      <c r="D6" s="414">
        <f>IF(COUNT('ISIRF RAW'!M14)=0,"",'ISIRF RAW'!M14)</f>
        <v>1.1877115418999999</v>
      </c>
      <c r="E6" s="414">
        <f>IF(COUNT('ISIRF RAW'!O14)=0,"",'ISIRF RAW'!O14)</f>
        <v>-18.9805464970629</v>
      </c>
      <c r="F6" s="679">
        <f>IF(COUNT('ISIRF RAW'!J14)=0,"",'ISIRF RAW'!J14)</f>
        <v>0.22203126173300564</v>
      </c>
      <c r="G6" s="679">
        <f>IF(COUNT('ISIRF RAW'!L14)=0,"",'ISIRF RAW'!L14)</f>
        <v>6.1203509402293594</v>
      </c>
      <c r="H6" s="680">
        <f t="shared" si="1"/>
        <v>5.3492987096935591</v>
      </c>
      <c r="I6" s="591"/>
    </row>
    <row r="7" spans="1:17" s="22" customFormat="1">
      <c r="A7" s="415">
        <v>4</v>
      </c>
      <c r="B7" s="571" t="s">
        <v>372</v>
      </c>
      <c r="C7" s="571">
        <v>25</v>
      </c>
      <c r="D7" s="414">
        <f>IF(COUNT('ISIRF RAW'!M15)=0,"",'ISIRF RAW'!M15)</f>
        <v>1.0882062026999999</v>
      </c>
      <c r="E7" s="414">
        <f>IF(COUNT('ISIRF RAW'!O15)=0,"",'ISIRF RAW'!O15)</f>
        <v>-17.928808553405016</v>
      </c>
      <c r="F7" s="679">
        <f>IF(COUNT('ISIRF RAW'!J15)=0,"",'ISIRF RAW'!J15)</f>
        <v>0.20219819563668845</v>
      </c>
      <c r="G7" s="679">
        <f>IF(COUNT('ISIRF RAW'!L15)=0,"",'ISIRF RAW'!L15)</f>
        <v>7.0235016731414586</v>
      </c>
      <c r="H7" s="680">
        <f t="shared" si="1"/>
        <v>5.3818788999249954</v>
      </c>
      <c r="I7" s="591"/>
    </row>
    <row r="8" spans="1:17" s="22" customFormat="1">
      <c r="A8" s="415">
        <v>5</v>
      </c>
      <c r="B8" s="571" t="s">
        <v>373</v>
      </c>
      <c r="C8" s="571">
        <v>25</v>
      </c>
      <c r="D8" s="414">
        <f>IF(COUNT('ISIRF RAW'!M16)=0,"",'ISIRF RAW'!M16)</f>
        <v>0.87695937749999997</v>
      </c>
      <c r="E8" s="414">
        <f>IF(COUNT('ISIRF RAW'!O16)=0,"",'ISIRF RAW'!O16)</f>
        <v>-19.366853738854676</v>
      </c>
      <c r="F8" s="679">
        <f>IF(COUNT('ISIRF RAW'!J16)=0,"",'ISIRF RAW'!J16)</f>
        <v>0.19269479914327781</v>
      </c>
      <c r="G8" s="679">
        <f>IF(COUNT('ISIRF RAW'!L16)=0,"",'ISIRF RAW'!L16)</f>
        <v>5.1773367750601729</v>
      </c>
      <c r="H8" s="680">
        <f t="shared" si="1"/>
        <v>4.5510277464621067</v>
      </c>
      <c r="I8" s="591"/>
    </row>
    <row r="9" spans="1:17" s="22" customFormat="1">
      <c r="A9" s="415">
        <v>6</v>
      </c>
      <c r="B9" s="571" t="s">
        <v>374</v>
      </c>
      <c r="C9" s="571">
        <v>25</v>
      </c>
      <c r="D9" s="414">
        <f>IF(COUNT('ISIRF RAW'!M17)=0,"",'ISIRF RAW'!M17)</f>
        <v>1.2789840782999999</v>
      </c>
      <c r="E9" s="414">
        <f>IF(COUNT('ISIRF RAW'!O17)=0,"",'ISIRF RAW'!O17)</f>
        <v>-18.186247138590318</v>
      </c>
      <c r="F9" s="679">
        <f>IF(COUNT('ISIRF RAW'!J17)=0,"",'ISIRF RAW'!J17)</f>
        <v>0.21679652439392028</v>
      </c>
      <c r="G9" s="679">
        <f>IF(COUNT('ISIRF RAW'!L17)=0,"",'ISIRF RAW'!L17)</f>
        <v>6.6652953753013158</v>
      </c>
      <c r="H9" s="680">
        <f t="shared" si="1"/>
        <v>5.8994676315754955</v>
      </c>
      <c r="I9" s="591"/>
    </row>
    <row r="10" spans="1:17" s="22" customFormat="1">
      <c r="A10" s="415">
        <v>7</v>
      </c>
      <c r="B10" s="571" t="s">
        <v>375</v>
      </c>
      <c r="C10" s="571">
        <v>25</v>
      </c>
      <c r="D10" s="414">
        <f>IF(COUNT('ISIRF RAW'!M18)=0,"",'ISIRF RAW'!M18)</f>
        <v>1.0395340652999998</v>
      </c>
      <c r="E10" s="414">
        <f>IF(COUNT('ISIRF RAW'!O18)=0,"",'ISIRF RAW'!O18)</f>
        <v>-17.687158932107756</v>
      </c>
      <c r="F10" s="679">
        <f>IF(COUNT('ISIRF RAW'!J18)=0,"",'ISIRF RAW'!J18)</f>
        <v>0.20904362138780008</v>
      </c>
      <c r="G10" s="679">
        <f>IF(COUNT('ISIRF RAW'!L18)=0,"",'ISIRF RAW'!L18)</f>
        <v>5.9113498485706888</v>
      </c>
      <c r="H10" s="680">
        <f t="shared" si="1"/>
        <v>4.9728093036215819</v>
      </c>
      <c r="I10" s="591"/>
    </row>
    <row r="11" spans="1:17" s="22" customFormat="1">
      <c r="A11" s="415">
        <v>8</v>
      </c>
      <c r="B11" s="571" t="s">
        <v>376</v>
      </c>
      <c r="C11" s="571">
        <v>25</v>
      </c>
      <c r="D11" s="414">
        <f>IF(COUNT('ISIRF RAW'!M19)=0,"",'ISIRF RAW'!M19)</f>
        <v>0.92634414719999991</v>
      </c>
      <c r="E11" s="414">
        <f>IF(COUNT('ISIRF RAW'!O19)=0,"",'ISIRF RAW'!O19)</f>
        <v>-18.820987136645432</v>
      </c>
      <c r="F11" s="679">
        <f>IF(COUNT('ISIRF RAW'!J19)=0,"",'ISIRF RAW'!J19)</f>
        <v>0.19180322785491605</v>
      </c>
      <c r="G11" s="679">
        <f>IF(COUNT('ISIRF RAW'!L19)=0,"",'ISIRF RAW'!L19)</f>
        <v>6.3929006240650885</v>
      </c>
      <c r="H11" s="680">
        <f t="shared" si="1"/>
        <v>4.8296587995938518</v>
      </c>
      <c r="I11" s="591"/>
    </row>
    <row r="12" spans="1:17" s="22" customFormat="1">
      <c r="A12" s="415">
        <v>9</v>
      </c>
      <c r="B12" s="571" t="s">
        <v>377</v>
      </c>
      <c r="C12" s="571">
        <v>25</v>
      </c>
      <c r="D12" s="414">
        <f>IF(COUNT('ISIRF RAW'!M20)=0,"",'ISIRF RAW'!M20)</f>
        <v>0.97958491559999983</v>
      </c>
      <c r="E12" s="414">
        <f>IF(COUNT('ISIRF RAW'!O20)=0,"",'ISIRF RAW'!O20)</f>
        <v>-19.931260297493424</v>
      </c>
      <c r="F12" s="679">
        <f>IF(COUNT('ISIRF RAW'!J20)=0,"",'ISIRF RAW'!J20)</f>
        <v>0.19174211545674666</v>
      </c>
      <c r="G12" s="679">
        <f>IF(COUNT('ISIRF RAW'!L20)=0,"",'ISIRF RAW'!L20)</f>
        <v>5.6871040651779321</v>
      </c>
      <c r="H12" s="680">
        <f t="shared" si="1"/>
        <v>5.1088667362751368</v>
      </c>
      <c r="I12" s="591"/>
    </row>
    <row r="13" spans="1:17" s="22" customFormat="1">
      <c r="A13" s="415">
        <v>10</v>
      </c>
      <c r="B13" s="571" t="s">
        <v>378</v>
      </c>
      <c r="C13" s="571">
        <v>25</v>
      </c>
      <c r="D13" s="414">
        <f>IF(COUNT('ISIRF RAW'!M22)=0,"",'ISIRF RAW'!M22)</f>
        <v>1.0576649508</v>
      </c>
      <c r="E13" s="414">
        <f>IF(COUNT('ISIRF RAW'!O22)=0,"",'ISIRF RAW'!O22)</f>
        <v>-16.912023972055284</v>
      </c>
      <c r="F13" s="679">
        <f>IF(COUNT('ISIRF RAW'!J22)=0,"",'ISIRF RAW'!J22)</f>
        <v>0.21000635094800291</v>
      </c>
      <c r="G13" s="679">
        <f>IF(COUNT('ISIRF RAW'!L22)=0,"",'ISIRF RAW'!L22)</f>
        <v>5.8139296773580185</v>
      </c>
      <c r="H13" s="680">
        <f t="shared" si="1"/>
        <v>5.0363474534247556</v>
      </c>
      <c r="I13" s="591"/>
    </row>
    <row r="14" spans="1:17" s="22" customFormat="1">
      <c r="A14" s="415">
        <v>11</v>
      </c>
      <c r="B14" s="571" t="s">
        <v>379</v>
      </c>
      <c r="C14" s="571">
        <v>25</v>
      </c>
      <c r="D14" s="414">
        <f>IF(COUNT('ISIRF RAW'!M23)=0,"",'ISIRF RAW'!M23)</f>
        <v>0.97146887700000006</v>
      </c>
      <c r="E14" s="414">
        <f>IF(COUNT('ISIRF RAW'!O23)=0,"",'ISIRF RAW'!O23)</f>
        <v>-15.263653697180345</v>
      </c>
      <c r="F14" s="679">
        <f>IF(COUNT('ISIRF RAW'!J23)=0,"",'ISIRF RAW'!J23)</f>
        <v>0.21043162626677075</v>
      </c>
      <c r="G14" s="679">
        <f>IF(COUNT('ISIRF RAW'!L23)=0,"",'ISIRF RAW'!L23)</f>
        <v>6.3412138794979676</v>
      </c>
      <c r="H14" s="680">
        <f t="shared" si="1"/>
        <v>4.6165535772101034</v>
      </c>
      <c r="I14" s="591"/>
    </row>
    <row r="15" spans="1:17" s="22" customFormat="1">
      <c r="A15" s="415">
        <v>12</v>
      </c>
      <c r="B15" s="571" t="s">
        <v>380</v>
      </c>
      <c r="C15" s="571">
        <v>25</v>
      </c>
      <c r="D15" s="414">
        <f>IF(COUNT('ISIRF RAW'!M24)=0,"",'ISIRF RAW'!M24)</f>
        <v>0.6967449551999999</v>
      </c>
      <c r="E15" s="414">
        <f>IF(COUNT('ISIRF RAW'!O24)=0,"",'ISIRF RAW'!O24)</f>
        <v>-10.01605329639454</v>
      </c>
      <c r="F15" s="679">
        <f>IF(COUNT('ISIRF RAW'!J24)=0,"",'ISIRF RAW'!J24)</f>
        <v>0.15152513452444846</v>
      </c>
      <c r="G15" s="679">
        <f>IF(COUNT('ISIRF RAW'!L24)=0,"",'ISIRF RAW'!L24)</f>
        <v>5.3711216600833431</v>
      </c>
      <c r="H15" s="680">
        <f t="shared" si="1"/>
        <v>4.5982137378507373</v>
      </c>
      <c r="I15" s="591"/>
    </row>
    <row r="16" spans="1:17" s="22" customFormat="1">
      <c r="A16" s="415">
        <v>13</v>
      </c>
      <c r="B16" s="571" t="s">
        <v>381</v>
      </c>
      <c r="C16" s="571">
        <v>25</v>
      </c>
      <c r="D16" s="414">
        <f>IF(COUNT('ISIRF RAW'!M25)=0,"",'ISIRF RAW'!M25)</f>
        <v>2.3777769017999999</v>
      </c>
      <c r="E16" s="414">
        <f>IF(COUNT('ISIRF RAW'!O25)=0,"",'ISIRF RAW'!O25)</f>
        <v>-16.092748178688097</v>
      </c>
      <c r="F16" s="679">
        <f>IF(COUNT('ISIRF RAW'!J25)=0,"",'ISIRF RAW'!J25)</f>
        <v>0.30895485798950828</v>
      </c>
      <c r="G16" s="679">
        <f>IF(COUNT('ISIRF RAW'!L25)=0,"",'ISIRF RAW'!L25)</f>
        <v>6.6512727930684736</v>
      </c>
      <c r="H16" s="680">
        <f t="shared" si="1"/>
        <v>7.6961952217652012</v>
      </c>
      <c r="I16" s="591"/>
    </row>
    <row r="17" spans="1:9" s="22" customFormat="1">
      <c r="A17" s="416" t="s">
        <v>162</v>
      </c>
      <c r="B17" s="571" t="s">
        <v>382</v>
      </c>
      <c r="C17" s="571">
        <v>25</v>
      </c>
      <c r="D17" s="414">
        <f>IF(COUNT('ISIRF RAW'!M26,'ISIRF RAW'!M27)=0,"",AVERAGE('ISIRF RAW'!M26,'ISIRF RAW'!M27))</f>
        <v>2.6758165955999997</v>
      </c>
      <c r="E17" s="414">
        <f>IF(COUNT('ISIRF RAW'!O26,'ISIRF RAW'!O27)=0,"",AVERAGE('ISIRF RAW'!O26,'ISIRF RAW'!O27))</f>
        <v>-16.917573414540861</v>
      </c>
      <c r="F17" s="679">
        <f>IF(COUNT('ISIRF RAW'!J26,'ISIRF RAW'!J27)=0,"",AVERAGE('ISIRF RAW'!J26,'ISIRF RAW'!J27))</f>
        <v>0.3326313079213829</v>
      </c>
      <c r="G17" s="679">
        <f>IF(COUNT('ISIRF RAW'!L26,'ISIRF RAW'!L27)=0,"", AVERAGE('ISIRF RAW'!L26,'ISIRF RAW'!L27))</f>
        <v>7.3373171423750678</v>
      </c>
      <c r="H17" s="680">
        <f t="shared" si="1"/>
        <v>8.0443918893901181</v>
      </c>
      <c r="I17" s="591"/>
    </row>
    <row r="18" spans="1:9" s="22" customFormat="1">
      <c r="A18" s="415">
        <v>15</v>
      </c>
      <c r="B18" s="571" t="s">
        <v>383</v>
      </c>
      <c r="C18" s="571">
        <v>25</v>
      </c>
      <c r="D18" s="414">
        <f>IF(COUNT('ISIRF RAW'!M28)=0,"",'ISIRF RAW'!M28)</f>
        <v>1.9886620586999997</v>
      </c>
      <c r="E18" s="414">
        <f>IF(COUNT('ISIRF RAW'!O28)=0,"",'ISIRF RAW'!O28)</f>
        <v>-16.924723208263117</v>
      </c>
      <c r="F18" s="679">
        <f>IF(COUNT('ISIRF RAW'!J28)=0,"",'ISIRF RAW'!J28)</f>
        <v>0.28429223812553023</v>
      </c>
      <c r="G18" s="679">
        <f>IF(COUNT('ISIRF RAW'!L28)=0,"",'ISIRF RAW'!L28)</f>
        <v>7.4901935996122866</v>
      </c>
      <c r="H18" s="680">
        <f t="shared" si="1"/>
        <v>6.9951331482426866</v>
      </c>
      <c r="I18" s="591"/>
    </row>
    <row r="19" spans="1:9" s="22" customFormat="1">
      <c r="A19" s="415">
        <v>16</v>
      </c>
      <c r="B19" s="571" t="s">
        <v>384</v>
      </c>
      <c r="C19" s="571">
        <v>25</v>
      </c>
      <c r="D19" s="414">
        <f>IF(COUNT('ISIRF RAW'!M29)=0,"",'ISIRF RAW'!M29)</f>
        <v>2.1084519342000001</v>
      </c>
      <c r="E19" s="414">
        <f>IF(COUNT('ISIRF RAW'!O29)=0,"",'ISIRF RAW'!O29)</f>
        <v>-17.681290170718373</v>
      </c>
      <c r="F19" s="679">
        <f>IF(COUNT('ISIRF RAW'!J29)=0,"",'ISIRF RAW'!J29)</f>
        <v>0.30106466137654175</v>
      </c>
      <c r="G19" s="679">
        <f>IF(COUNT('ISIRF RAW'!L29)=0,"",'ISIRF RAW'!L29)</f>
        <v>7.2876062338711591</v>
      </c>
      <c r="H19" s="680">
        <f t="shared" ref="H19" si="2">D19/F19</f>
        <v>7.0033192356739535</v>
      </c>
      <c r="I19" s="591"/>
    </row>
    <row r="20" spans="1:9" s="22" customFormat="1">
      <c r="A20" s="415">
        <v>17</v>
      </c>
      <c r="B20" s="571" t="s">
        <v>385</v>
      </c>
      <c r="C20" s="571">
        <v>25</v>
      </c>
      <c r="D20" s="414">
        <f>IF(COUNT('ISIRF RAW'!M30)=0,"",'ISIRF RAW'!M30)</f>
        <v>2.3499684881999996</v>
      </c>
      <c r="E20" s="414">
        <f>IF(COUNT('ISIRF RAW'!O30)=0,"",'ISIRF RAW'!O30)</f>
        <v>-17.584873812828341</v>
      </c>
      <c r="F20" s="679">
        <f>IF(COUNT('ISIRF RAW'!J30)=0,"",'ISIRF RAW'!J30)</f>
        <v>0.32504081320628825</v>
      </c>
      <c r="G20" s="679">
        <f>IF(COUNT('ISIRF RAW'!L30)=0,"",'ISIRF RAW'!L30)</f>
        <v>7.179240228547398</v>
      </c>
      <c r="H20" s="680">
        <f t="shared" si="1"/>
        <v>7.2297643641095135</v>
      </c>
      <c r="I20" s="591"/>
    </row>
    <row r="21" spans="1:9" s="22" customFormat="1">
      <c r="A21" s="415">
        <v>18</v>
      </c>
      <c r="B21" s="571" t="s">
        <v>386</v>
      </c>
      <c r="C21" s="571">
        <v>25</v>
      </c>
      <c r="D21" s="414">
        <f>IF(COUNT('ISIRF RAW'!M31)=0,"",'ISIRF RAW'!M31)</f>
        <v>2.5227544833</v>
      </c>
      <c r="E21" s="414">
        <f>IF(COUNT('ISIRF RAW'!O31)=0,"",'ISIRF RAW'!O31)</f>
        <v>-18.258097361964104</v>
      </c>
      <c r="F21" s="679">
        <f>IF(COUNT('ISIRF RAW'!J31)=0,"",'ISIRF RAW'!J31)</f>
        <v>0.33302895708755365</v>
      </c>
      <c r="G21" s="679">
        <f>IF(COUNT('ISIRF RAW'!L31)=0,"",'ISIRF RAW'!L31)</f>
        <v>7.2720251274934053</v>
      </c>
      <c r="H21" s="680">
        <f t="shared" si="1"/>
        <v>7.5751805649644011</v>
      </c>
      <c r="I21" s="591"/>
    </row>
    <row r="22" spans="1:9" s="22" customFormat="1">
      <c r="A22" s="415">
        <v>19</v>
      </c>
      <c r="B22" s="571" t="s">
        <v>387</v>
      </c>
      <c r="C22" s="571">
        <v>25</v>
      </c>
      <c r="D22" s="414">
        <f>IF(COUNT('ISIRF RAW'!M37)=0,"",'ISIRF RAW'!M37)</f>
        <v>2.2476811955999998</v>
      </c>
      <c r="E22" s="414">
        <f>IF(COUNT('ISIRF RAW'!O37)=0,"",'ISIRF RAW'!O37)</f>
        <v>-18.071350023233006</v>
      </c>
      <c r="F22" s="679">
        <f>IF(COUNT('ISIRF RAW'!J37)=0,"",'ISIRF RAW'!J37)</f>
        <v>0.30396959317993633</v>
      </c>
      <c r="G22" s="679">
        <f>IF(COUNT('ISIRF RAW'!L37)=0,"",'ISIRF RAW'!L37)</f>
        <v>6.6455027977657863</v>
      </c>
      <c r="H22" s="680">
        <f t="shared" si="1"/>
        <v>7.3944277520859583</v>
      </c>
      <c r="I22" s="591"/>
    </row>
    <row r="23" spans="1:9" s="22" customFormat="1">
      <c r="A23" s="415">
        <v>20</v>
      </c>
      <c r="B23" s="571" t="s">
        <v>388</v>
      </c>
      <c r="C23" s="571">
        <v>25</v>
      </c>
      <c r="D23" s="414">
        <f>IF(COUNT('ISIRF RAW'!M38)=0,"",'ISIRF RAW'!M38)</f>
        <v>2.0430232074000001</v>
      </c>
      <c r="E23" s="414">
        <f>IF(COUNT('ISIRF RAW'!O38)=0,"",'ISIRF RAW'!O38)</f>
        <v>-17.436017110623741</v>
      </c>
      <c r="F23" s="679">
        <f>IF(COUNT('ISIRF RAW'!J38)=0,"",'ISIRF RAW'!J38)</f>
        <v>0.28838760595901902</v>
      </c>
      <c r="G23" s="679">
        <f>IF(COUNT('ISIRF RAW'!L38)=0,"",'ISIRF RAW'!L38)</f>
        <v>7.3234342388669678</v>
      </c>
      <c r="H23" s="680">
        <f t="shared" si="1"/>
        <v>7.0842961527629642</v>
      </c>
      <c r="I23" s="591"/>
    </row>
    <row r="24" spans="1:9" s="22" customFormat="1">
      <c r="A24" s="415">
        <v>21</v>
      </c>
      <c r="B24" s="571" t="s">
        <v>389</v>
      </c>
      <c r="C24" s="571">
        <v>25</v>
      </c>
      <c r="D24" s="414">
        <f>IF(COUNT('ISIRF RAW'!M39)=0,"",'ISIRF RAW'!M39)</f>
        <v>2.0760192875999999</v>
      </c>
      <c r="E24" s="414">
        <f>IF(COUNT('ISIRF RAW'!O39)=0,"",'ISIRF RAW'!O39)</f>
        <v>-17.862555495912499</v>
      </c>
      <c r="F24" s="679">
        <f>IF(COUNT('ISIRF RAW'!J39)=0,"",'ISIRF RAW'!J39)</f>
        <v>0.28732609197437803</v>
      </c>
      <c r="G24" s="679">
        <f>IF(COUNT('ISIRF RAW'!L39)=0,"",'ISIRF RAW'!L39)</f>
        <v>7.213228660244857</v>
      </c>
      <c r="H24" s="680">
        <f t="shared" si="1"/>
        <v>7.2253072226560144</v>
      </c>
      <c r="I24" s="591"/>
    </row>
    <row r="25" spans="1:9" s="22" customFormat="1">
      <c r="A25" s="415">
        <v>22</v>
      </c>
      <c r="B25" s="571" t="s">
        <v>390</v>
      </c>
      <c r="C25" s="571">
        <v>25</v>
      </c>
      <c r="D25" s="414">
        <f>IF(COUNT('ISIRF RAW'!M40)=0,"",'ISIRF RAW'!M40)</f>
        <v>2.0353621784999998</v>
      </c>
      <c r="E25" s="414">
        <f>IF(COUNT('ISIRF RAW'!O40)=0,"",'ISIRF RAW'!O40)</f>
        <v>-17.030796761641646</v>
      </c>
      <c r="F25" s="679">
        <f>IF(COUNT('ISIRF RAW'!J40)=0,"",'ISIRF RAW'!J40)</f>
        <v>0.28640103444044407</v>
      </c>
      <c r="G25" s="679">
        <f>IF(COUNT('ISIRF RAW'!L40)=0,"",'ISIRF RAW'!L40)</f>
        <v>6.8575659283432664</v>
      </c>
      <c r="H25" s="680">
        <f t="shared" si="1"/>
        <v>7.1066858486617832</v>
      </c>
      <c r="I25" s="591"/>
    </row>
    <row r="26" spans="1:9" s="22" customFormat="1">
      <c r="A26" s="415">
        <v>23</v>
      </c>
      <c r="B26" s="571" t="s">
        <v>391</v>
      </c>
      <c r="C26" s="571">
        <v>25</v>
      </c>
      <c r="D26" s="414">
        <f>IF(COUNT('ISIRF RAW'!M41)=0,"",'ISIRF RAW'!M41)</f>
        <v>2.0671266743999999</v>
      </c>
      <c r="E26" s="414">
        <f>IF(COUNT('ISIRF RAW'!O41)=0,"",'ISIRF RAW'!O41)</f>
        <v>-15.722164675052694</v>
      </c>
      <c r="F26" s="679">
        <f>IF(COUNT('ISIRF RAW'!J41)=0,"",'ISIRF RAW'!J41)</f>
        <v>0.28773964710719557</v>
      </c>
      <c r="G26" s="679">
        <f>IF(COUNT('ISIRF RAW'!L41)=0,"",'ISIRF RAW'!L41)</f>
        <v>6.7670226520031651</v>
      </c>
      <c r="H26" s="680">
        <f t="shared" si="1"/>
        <v>7.1840175491349827</v>
      </c>
      <c r="I26" s="591"/>
    </row>
    <row r="27" spans="1:9" s="22" customFormat="1">
      <c r="A27" s="415">
        <v>24</v>
      </c>
      <c r="B27" s="571" t="s">
        <v>392</v>
      </c>
      <c r="C27" s="571">
        <v>25</v>
      </c>
      <c r="D27" s="414">
        <f>IF(COUNT('ISIRF RAW'!M42)=0,"",'ISIRF RAW'!M42)</f>
        <v>1.8415892084999999</v>
      </c>
      <c r="E27" s="414">
        <f>IF(COUNT('ISIRF RAW'!O42)=0,"",'ISIRF RAW'!O42)</f>
        <v>-16.044129901635511</v>
      </c>
      <c r="F27" s="679">
        <f>IF(COUNT('ISIRF RAW'!J42)=0,"",'ISIRF RAW'!J42)</f>
        <v>0.2748733944021895</v>
      </c>
      <c r="G27" s="679">
        <f>IF(COUNT('ISIRF RAW'!L42)=0,"",'ISIRF RAW'!L42)</f>
        <v>6.4527601956039682</v>
      </c>
      <c r="H27" s="680">
        <f t="shared" si="1"/>
        <v>6.6997724989178895</v>
      </c>
      <c r="I27" s="591"/>
    </row>
    <row r="28" spans="1:9" s="22" customFormat="1">
      <c r="A28" s="415">
        <v>25</v>
      </c>
      <c r="B28" s="571" t="s">
        <v>393</v>
      </c>
      <c r="C28" s="571">
        <v>25</v>
      </c>
      <c r="D28" s="414">
        <f>IF(COUNT('ISIRF RAW'!M43)=0,"",'ISIRF RAW'!M43)</f>
        <v>2.2665793886999999</v>
      </c>
      <c r="E28" s="414">
        <f>IF(COUNT('ISIRF RAW'!O43)=0,"",'ISIRF RAW'!O43)</f>
        <v>-15.622529978585769</v>
      </c>
      <c r="F28" s="679">
        <f>IF(COUNT('ISIRF RAW'!J43)=0,"",'ISIRF RAW'!J43)</f>
        <v>0.30661751804856374</v>
      </c>
      <c r="G28" s="679">
        <f>IF(COUNT('ISIRF RAW'!L43)=0,"",'ISIRF RAW'!L43)</f>
        <v>6.4486370101881452</v>
      </c>
      <c r="H28" s="680">
        <f t="shared" si="1"/>
        <v>7.3922044739172623</v>
      </c>
      <c r="I28" s="591"/>
    </row>
    <row r="29" spans="1:9" s="22" customFormat="1">
      <c r="A29" s="415">
        <v>26</v>
      </c>
      <c r="B29" s="571" t="s">
        <v>394</v>
      </c>
      <c r="C29" s="571">
        <v>25</v>
      </c>
      <c r="D29" s="414">
        <f>IF(COUNT('ISIRF RAW'!M44)=0,"",'ISIRF RAW'!M44)</f>
        <v>2.4184877595000001</v>
      </c>
      <c r="E29" s="414">
        <f>IF(COUNT('ISIRF RAW'!O44)=0,"",'ISIRF RAW'!O44)</f>
        <v>-15.5683591624825</v>
      </c>
      <c r="F29" s="679">
        <f>IF(COUNT('ISIRF RAW'!J44)=0,"",'ISIRF RAW'!J44)</f>
        <v>0.31635029532414444</v>
      </c>
      <c r="G29" s="679">
        <f>IF(COUNT('ISIRF RAW'!L44)=0,"",'ISIRF RAW'!L44)</f>
        <v>6.9817263826184437</v>
      </c>
      <c r="H29" s="680">
        <f t="shared" si="1"/>
        <v>7.644967604730466</v>
      </c>
      <c r="I29" s="591"/>
    </row>
    <row r="30" spans="1:9" s="22" customFormat="1">
      <c r="A30" s="415">
        <v>27</v>
      </c>
      <c r="B30" s="571" t="s">
        <v>395</v>
      </c>
      <c r="C30" s="571">
        <v>25</v>
      </c>
      <c r="D30" s="414">
        <f>IF(COUNT('ISIRF RAW'!M45)=0,"",'ISIRF RAW'!M45)</f>
        <v>1.8484477151999998</v>
      </c>
      <c r="E30" s="414">
        <f>IF(COUNT('ISIRF RAW'!O45)=0,"",'ISIRF RAW'!O45)</f>
        <v>-15.76706879354624</v>
      </c>
      <c r="F30" s="679">
        <f>IF(COUNT('ISIRF RAW'!J45)=0,"",'ISIRF RAW'!J45)</f>
        <v>0.28821850041887909</v>
      </c>
      <c r="G30" s="679">
        <f>IF(COUNT('ISIRF RAW'!L45)=0,"",'ISIRF RAW'!L45)</f>
        <v>6.3962872438622895</v>
      </c>
      <c r="H30" s="680">
        <f t="shared" si="1"/>
        <v>6.4133555358645591</v>
      </c>
      <c r="I30" s="591"/>
    </row>
    <row r="31" spans="1:9" s="22" customFormat="1">
      <c r="A31" s="416">
        <v>28</v>
      </c>
      <c r="B31" s="571" t="s">
        <v>396</v>
      </c>
      <c r="C31" s="571">
        <v>25</v>
      </c>
      <c r="D31" s="414">
        <f>IF(COUNT('ISIRF RAW'!M47)=0,"",'ISIRF RAW'!M47)</f>
        <v>3.2714808215999995</v>
      </c>
      <c r="E31" s="414">
        <f>IF(COUNT('ISIRF RAW'!O47)=0,"",'ISIRF RAW'!O47)</f>
        <v>-25.484608608845711</v>
      </c>
      <c r="F31" s="679">
        <f>IF(COUNT('ISIRF RAW'!J47)=0,"",'ISIRF RAW'!J47)</f>
        <v>0.39199153829120947</v>
      </c>
      <c r="G31" s="679">
        <f>IF(COUNT('ISIRF RAW'!L47)=0,"",'ISIRF RAW'!L47)</f>
        <v>4.5553425805569017</v>
      </c>
      <c r="H31" s="680">
        <f t="shared" si="1"/>
        <v>8.3457944930679222</v>
      </c>
      <c r="I31" s="591"/>
    </row>
    <row r="32" spans="1:9" s="22" customFormat="1">
      <c r="A32" s="415">
        <v>29</v>
      </c>
      <c r="B32" s="571" t="s">
        <v>397</v>
      </c>
      <c r="C32" s="571">
        <v>25</v>
      </c>
      <c r="D32" s="414">
        <f>IF(COUNT('ISIRF RAW'!M48)=0,"",'ISIRF RAW'!M48)</f>
        <v>12.194634346800001</v>
      </c>
      <c r="E32" s="414">
        <f>IF(COUNT('ISIRF RAW'!O48)=0,"",'ISIRF RAW'!O48)</f>
        <v>-25.50994728892897</v>
      </c>
      <c r="F32" s="679">
        <f>IF(COUNT('ISIRF RAW'!J48)=0,"",'ISIRF RAW'!J48)</f>
        <v>1.0857378079979105</v>
      </c>
      <c r="G32" s="679">
        <f>IF(COUNT('ISIRF RAW'!L48)=0,"",'ISIRF RAW'!L48)</f>
        <v>7.3198599084141165</v>
      </c>
      <c r="H32" s="680">
        <f t="shared" si="1"/>
        <v>11.231656719486248</v>
      </c>
      <c r="I32" s="591"/>
    </row>
    <row r="33" spans="1:9" s="22" customFormat="1">
      <c r="A33" s="415">
        <v>30</v>
      </c>
      <c r="B33" s="571" t="s">
        <v>398</v>
      </c>
      <c r="C33" s="571">
        <v>25</v>
      </c>
      <c r="D33" s="414">
        <f>IF(COUNT('ISIRF RAW'!M49)=0,"",'ISIRF RAW'!M49)</f>
        <v>0.81545151839999996</v>
      </c>
      <c r="E33" s="414">
        <f>IF(COUNT('ISIRF RAW'!O49)=0,"",'ISIRF RAW'!O49)</f>
        <v>-11.457435063432806</v>
      </c>
      <c r="F33" s="679">
        <f>IF(COUNT('ISIRF RAW'!J49)=0,"",'ISIRF RAW'!J49)</f>
        <v>0.16302347409782722</v>
      </c>
      <c r="G33" s="679">
        <f>IF(COUNT('ISIRF RAW'!L49)=0,"",'ISIRF RAW'!L49)</f>
        <v>5.7371640816595715</v>
      </c>
      <c r="H33" s="680">
        <f t="shared" si="1"/>
        <v>5.0020496920011857</v>
      </c>
      <c r="I33" s="591"/>
    </row>
    <row r="34" spans="1:9" s="22" customFormat="1">
      <c r="A34" s="415">
        <v>31</v>
      </c>
      <c r="B34" s="571" t="s">
        <v>399</v>
      </c>
      <c r="C34" s="571">
        <v>25</v>
      </c>
      <c r="D34" s="414">
        <f>IF(COUNT('ISIRF RAW'!M50)=0,"",'ISIRF RAW'!M50)</f>
        <v>2.8678130816999996</v>
      </c>
      <c r="E34" s="414">
        <f>IF(COUNT('ISIRF RAW'!O50)=0,"",'ISIRF RAW'!O50)</f>
        <v>-25.755183441366587</v>
      </c>
      <c r="F34" s="679">
        <f>IF(COUNT('ISIRF RAW'!J50)=0,"",'ISIRF RAW'!J50)</f>
        <v>0.3350239001675217</v>
      </c>
      <c r="G34" s="679">
        <f>IF(COUNT('ISIRF RAW'!L50)=0,"",'ISIRF RAW'!L50)</f>
        <v>4.4930012336878242</v>
      </c>
      <c r="H34" s="680">
        <f t="shared" si="1"/>
        <v>8.560025360178809</v>
      </c>
      <c r="I34" s="591"/>
    </row>
    <row r="35" spans="1:9" s="22" customFormat="1">
      <c r="A35" s="415">
        <v>32</v>
      </c>
      <c r="B35" s="571" t="s">
        <v>400</v>
      </c>
      <c r="C35" s="571">
        <v>25</v>
      </c>
      <c r="D35" s="414">
        <f>IF(COUNT('ISIRF RAW'!M51)=0,"",'ISIRF RAW'!M51)</f>
        <v>1.8198608735999999</v>
      </c>
      <c r="E35" s="414">
        <f>IF(COUNT('ISIRF RAW'!O51)=0,"",'ISIRF RAW'!O51)</f>
        <v>-18.987913506537403</v>
      </c>
      <c r="F35" s="679">
        <f>IF(COUNT('ISIRF RAW'!J51)=0,"",'ISIRF RAW'!J51)</f>
        <v>0.25721107417509487</v>
      </c>
      <c r="G35" s="679">
        <f>IF(COUNT('ISIRF RAW'!L51)=0,"",'ISIRF RAW'!L51)</f>
        <v>5.2744406426976695</v>
      </c>
      <c r="H35" s="680">
        <f t="shared" si="1"/>
        <v>7.0753597193919449</v>
      </c>
      <c r="I35" s="591"/>
    </row>
    <row r="36" spans="1:9" s="22" customFormat="1">
      <c r="A36" s="415">
        <v>33</v>
      </c>
      <c r="B36" s="571" t="s">
        <v>401</v>
      </c>
      <c r="C36" s="571">
        <v>25</v>
      </c>
      <c r="D36" s="414">
        <f>IF(COUNT('ISIRF RAW'!M52)=0,"",'ISIRF RAW'!M52)</f>
        <v>0.63177772499999996</v>
      </c>
      <c r="E36" s="414">
        <f>IF(COUNT('ISIRF RAW'!O52)=0,"",'ISIRF RAW'!O52)</f>
        <v>-11.19380829405662</v>
      </c>
      <c r="F36" s="679">
        <f>IF(COUNT('ISIRF RAW'!J52)=0,"",'ISIRF RAW'!J52)</f>
        <v>0.150604262771211</v>
      </c>
      <c r="G36" s="679">
        <f>IF(COUNT('ISIRF RAW'!L52)=0,"",'ISIRF RAW'!L52)</f>
        <v>6.0700864824230116</v>
      </c>
      <c r="H36" s="680">
        <f t="shared" si="1"/>
        <v>4.1949524759452457</v>
      </c>
      <c r="I36" s="591"/>
    </row>
    <row r="37" spans="1:9" s="22" customFormat="1">
      <c r="A37" s="416">
        <v>34</v>
      </c>
      <c r="B37" s="571" t="s">
        <v>402</v>
      </c>
      <c r="C37" s="571">
        <v>25</v>
      </c>
      <c r="D37" s="414">
        <f>IF(COUNT('ISIRF RAW'!M53)=0,"",'ISIRF RAW'!M53)</f>
        <v>1.7304287634</v>
      </c>
      <c r="E37" s="414">
        <f>IF(COUNT('ISIRF RAW'!O53)=0,"",'ISIRF RAW'!O53)</f>
        <v>-17.154230088401842</v>
      </c>
      <c r="F37" s="679">
        <f>IF(COUNT('ISIRF RAW'!J53)=0,"",'ISIRF RAW'!J53)</f>
        <v>0.23399589727597828</v>
      </c>
      <c r="G37" s="679">
        <f>IF(COUNT('ISIRF RAW'!L53)=0,"",'ISIRF RAW'!L53)</f>
        <v>6.036966575829398</v>
      </c>
      <c r="H37" s="680">
        <f t="shared" si="1"/>
        <v>7.3951243741641601</v>
      </c>
      <c r="I37" s="591"/>
    </row>
    <row r="38" spans="1:9" s="22" customFormat="1">
      <c r="A38" s="416">
        <v>35</v>
      </c>
      <c r="B38" s="460" t="s">
        <v>403</v>
      </c>
      <c r="C38" s="571">
        <v>25</v>
      </c>
      <c r="D38" s="414">
        <f>IF(COUNT('ISIRF RAW'!M54)=0,"",'ISIRF RAW'!M54)</f>
        <v>1.6784547939000001</v>
      </c>
      <c r="E38" s="414">
        <f>IF(COUNT('ISIRF RAW'!O54)=0,"",'ISIRF RAW'!O54)</f>
        <v>-16.656556275200852</v>
      </c>
      <c r="F38" s="679">
        <f>IF(COUNT('ISIRF RAW'!J54)=0,"",'ISIRF RAW'!J54)</f>
        <v>0.24608526908370762</v>
      </c>
      <c r="G38" s="679">
        <f>IF(COUNT('ISIRF RAW'!L54)=0,"",'ISIRF RAW'!L54)</f>
        <v>5.5216338272004304</v>
      </c>
      <c r="H38" s="679">
        <f t="shared" si="1"/>
        <v>6.8206227871732619</v>
      </c>
      <c r="I38" s="591"/>
    </row>
    <row r="39" spans="1:9" s="22" customFormat="1" ht="13.5" thickBot="1">
      <c r="A39" s="417">
        <v>36</v>
      </c>
      <c r="B39" s="431" t="s">
        <v>404</v>
      </c>
      <c r="C39" s="431">
        <v>25</v>
      </c>
      <c r="D39" s="418">
        <f>IF(COUNT('ISIRF RAW'!M55)=0,"",'ISIRF RAW'!M55)</f>
        <v>1.4758364723999999</v>
      </c>
      <c r="E39" s="418">
        <f>IF(COUNT('ISIRF RAW'!O55)=0,"",'ISIRF RAW'!O55)</f>
        <v>-17.140011078481493</v>
      </c>
      <c r="F39" s="681">
        <f>IF(COUNT('ISIRF RAW'!J55)=0,"",'ISIRF RAW'!J55)</f>
        <v>0.22915797194692436</v>
      </c>
      <c r="G39" s="681">
        <f>IF(COUNT('ISIRF RAW'!L55)=0,"",'ISIRF RAW'!L55)</f>
        <v>5.4253729343090242</v>
      </c>
      <c r="H39" s="681">
        <f t="shared" si="1"/>
        <v>6.4402580449691742</v>
      </c>
      <c r="I39" s="592"/>
    </row>
    <row r="40" spans="1:9" s="22" customFormat="1" ht="13.5" thickTop="1">
      <c r="B40" s="432"/>
      <c r="C40" s="432"/>
      <c r="D40" s="419"/>
      <c r="E40" s="419"/>
      <c r="F40" s="419"/>
      <c r="G40" s="419"/>
      <c r="H40" s="419"/>
      <c r="I40" s="420"/>
    </row>
    <row r="41" spans="1:9" s="22" customFormat="1">
      <c r="B41" s="432"/>
      <c r="C41" s="432"/>
      <c r="D41" s="419"/>
      <c r="E41" s="419"/>
      <c r="F41" s="419"/>
      <c r="G41" s="419"/>
      <c r="H41" s="419"/>
      <c r="I41" s="420"/>
    </row>
    <row r="42" spans="1:9" s="22" customFormat="1">
      <c r="B42" s="432"/>
      <c r="C42" s="432"/>
      <c r="D42" s="419"/>
      <c r="E42" s="419"/>
      <c r="F42" s="419"/>
      <c r="G42" s="419"/>
      <c r="H42" s="419"/>
      <c r="I42" s="420"/>
    </row>
    <row r="43" spans="1:9" s="22" customFormat="1">
      <c r="B43" s="432"/>
      <c r="C43" s="432"/>
      <c r="D43" s="419"/>
      <c r="E43" s="419"/>
      <c r="F43" s="419"/>
      <c r="G43" s="419"/>
      <c r="H43" s="419"/>
      <c r="I43" s="420"/>
    </row>
    <row r="44" spans="1:9" s="22" customFormat="1">
      <c r="B44" s="432"/>
      <c r="C44" s="432"/>
      <c r="D44" s="419"/>
      <c r="E44" s="419"/>
      <c r="F44" s="419"/>
      <c r="G44" s="419"/>
      <c r="H44" s="419"/>
      <c r="I44" s="420"/>
    </row>
    <row r="45" spans="1:9" s="22" customFormat="1">
      <c r="B45" s="432"/>
      <c r="C45" s="432"/>
      <c r="D45" s="419"/>
      <c r="E45" s="419"/>
      <c r="F45" s="419"/>
      <c r="G45" s="419"/>
      <c r="H45" s="419"/>
      <c r="I45" s="420"/>
    </row>
    <row r="46" spans="1:9" s="22" customFormat="1">
      <c r="B46" s="419"/>
      <c r="C46" s="419"/>
      <c r="D46" s="419"/>
      <c r="E46" s="419"/>
      <c r="F46" s="419"/>
      <c r="G46" s="419"/>
      <c r="H46" s="419"/>
      <c r="I46" s="420"/>
    </row>
    <row r="47" spans="1:9" s="22" customFormat="1">
      <c r="B47" s="419"/>
      <c r="C47" s="419"/>
      <c r="D47" s="419"/>
      <c r="E47" s="419"/>
      <c r="F47" s="419"/>
      <c r="G47" s="419"/>
      <c r="H47" s="419"/>
      <c r="I47" s="420"/>
    </row>
    <row r="48" spans="1:9" s="22" customFormat="1">
      <c r="B48" s="419"/>
      <c r="C48" s="419"/>
      <c r="D48" s="419"/>
      <c r="E48" s="419"/>
      <c r="F48" s="419"/>
      <c r="G48" s="419"/>
      <c r="H48" s="419"/>
      <c r="I48" s="420"/>
    </row>
    <row r="49" spans="2:11" s="22" customFormat="1">
      <c r="B49" s="419"/>
      <c r="C49" s="419"/>
      <c r="D49" s="419"/>
      <c r="E49" s="419"/>
      <c r="F49" s="419"/>
      <c r="G49" s="419"/>
      <c r="H49" s="419"/>
      <c r="I49" s="420"/>
    </row>
    <row r="50" spans="2:11" s="22" customFormat="1">
      <c r="B50" s="419"/>
      <c r="C50" s="419"/>
      <c r="D50" s="419"/>
      <c r="E50" s="419"/>
      <c r="F50" s="419"/>
      <c r="G50" s="419"/>
      <c r="H50" s="419"/>
      <c r="I50" s="420"/>
    </row>
    <row r="51" spans="2:11" s="22" customFormat="1">
      <c r="B51" s="419"/>
      <c r="C51" s="419"/>
      <c r="D51" s="419"/>
      <c r="E51" s="419"/>
      <c r="F51" s="419"/>
      <c r="G51" s="419"/>
      <c r="H51" s="419"/>
      <c r="I51" s="420"/>
    </row>
    <row r="52" spans="2:11" s="22" customFormat="1">
      <c r="B52" s="419"/>
      <c r="C52" s="419"/>
      <c r="D52" s="419"/>
      <c r="E52" s="419"/>
      <c r="F52" s="419"/>
      <c r="G52" s="419"/>
      <c r="H52" s="419"/>
      <c r="I52" s="420"/>
    </row>
    <row r="53" spans="2:11" s="22" customFormat="1">
      <c r="B53" s="419"/>
      <c r="C53" s="419"/>
      <c r="D53" s="419"/>
      <c r="E53" s="419"/>
      <c r="F53" s="419"/>
      <c r="G53" s="419"/>
      <c r="H53" s="419"/>
      <c r="I53" s="420"/>
    </row>
    <row r="54" spans="2:11" s="22" customFormat="1">
      <c r="B54" s="419"/>
      <c r="C54" s="419"/>
      <c r="D54" s="419"/>
      <c r="E54" s="419"/>
      <c r="F54" s="419"/>
      <c r="G54" s="419"/>
      <c r="H54" s="419"/>
      <c r="I54" s="420"/>
    </row>
    <row r="55" spans="2:11" s="22" customFormat="1">
      <c r="B55" s="419"/>
      <c r="C55" s="419"/>
      <c r="D55" s="419"/>
      <c r="E55" s="419"/>
      <c r="F55" s="419"/>
      <c r="G55" s="419"/>
      <c r="H55" s="419"/>
      <c r="I55" s="420"/>
    </row>
    <row r="56" spans="2:11" s="22" customFormat="1">
      <c r="B56" s="419"/>
      <c r="C56" s="419"/>
      <c r="D56" s="419"/>
      <c r="E56" s="419"/>
      <c r="F56" s="419"/>
      <c r="G56" s="419"/>
      <c r="H56" s="419"/>
      <c r="I56" s="420"/>
    </row>
    <row r="57" spans="2:11" s="22" customFormat="1">
      <c r="B57" s="419"/>
      <c r="C57" s="419"/>
      <c r="D57" s="419"/>
      <c r="E57" s="419"/>
      <c r="F57" s="419"/>
      <c r="G57" s="419"/>
      <c r="H57" s="419"/>
      <c r="I57" s="420"/>
    </row>
    <row r="58" spans="2:11" s="22" customFormat="1">
      <c r="B58" s="419"/>
      <c r="C58" s="419"/>
      <c r="D58" s="419"/>
      <c r="E58" s="419"/>
      <c r="F58" s="419"/>
      <c r="G58" s="419"/>
      <c r="H58" s="419"/>
      <c r="I58" s="420"/>
    </row>
    <row r="59" spans="2:11" s="22" customFormat="1">
      <c r="B59" s="419"/>
      <c r="C59" s="419"/>
      <c r="D59" s="419"/>
      <c r="E59" s="419"/>
      <c r="F59" s="419"/>
      <c r="G59" s="419"/>
      <c r="H59" s="419"/>
      <c r="I59" s="420"/>
    </row>
    <row r="60" spans="2:11" s="22" customFormat="1">
      <c r="B60" s="419"/>
      <c r="C60" s="419"/>
      <c r="D60" s="419"/>
      <c r="E60" s="419"/>
      <c r="F60" s="419"/>
      <c r="G60" s="419"/>
      <c r="H60" s="419"/>
      <c r="I60" s="420"/>
    </row>
    <row r="61" spans="2:11" s="22" customFormat="1">
      <c r="B61" s="419"/>
      <c r="C61" s="419"/>
      <c r="D61" s="419"/>
      <c r="E61" s="419"/>
      <c r="F61" s="419"/>
      <c r="G61" s="419"/>
      <c r="H61" s="419"/>
      <c r="I61" s="420"/>
    </row>
    <row r="62" spans="2:11" s="22" customFormat="1">
      <c r="B62" s="419"/>
      <c r="C62" s="419"/>
      <c r="D62" s="419"/>
      <c r="E62" s="419"/>
      <c r="F62" s="419"/>
      <c r="G62" s="419"/>
      <c r="H62" s="419"/>
      <c r="I62" s="420"/>
    </row>
    <row r="63" spans="2:11" s="22" customFormat="1">
      <c r="B63" s="419"/>
      <c r="C63" s="419"/>
      <c r="D63" s="419"/>
      <c r="E63" s="419"/>
      <c r="F63" s="419"/>
      <c r="G63" s="419"/>
      <c r="H63" s="419"/>
      <c r="I63" s="420"/>
      <c r="K63" s="15"/>
    </row>
    <row r="64" spans="2:11" s="22" customFormat="1">
      <c r="B64" s="419"/>
      <c r="C64" s="419"/>
      <c r="D64" s="419"/>
      <c r="E64" s="419"/>
      <c r="F64" s="419"/>
      <c r="G64" s="419"/>
      <c r="H64" s="419"/>
      <c r="I64" s="420"/>
      <c r="K64" s="15"/>
    </row>
    <row r="65" spans="2:11" s="22" customFormat="1">
      <c r="B65" s="419"/>
      <c r="C65" s="419"/>
      <c r="D65" s="419"/>
      <c r="E65" s="419"/>
      <c r="F65" s="419"/>
      <c r="G65" s="419"/>
      <c r="H65" s="419"/>
      <c r="I65" s="420"/>
      <c r="K65" s="15"/>
    </row>
    <row r="66" spans="2:11" s="22" customFormat="1">
      <c r="B66" s="419"/>
      <c r="C66" s="419"/>
      <c r="D66" s="419"/>
      <c r="E66" s="419"/>
      <c r="F66" s="419"/>
      <c r="G66" s="419"/>
      <c r="H66" s="419"/>
      <c r="I66" s="420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workbookViewId="0">
      <selection activeCell="C17" sqref="C17:C72"/>
    </sheetView>
  </sheetViews>
  <sheetFormatPr defaultColWidth="9.140625" defaultRowHeight="12.75"/>
  <cols>
    <col min="1" max="1" width="22.5703125" style="2" customWidth="1"/>
    <col min="2" max="2" width="7.85546875" style="2" customWidth="1"/>
    <col min="3" max="3" width="28.42578125" style="2" customWidth="1"/>
    <col min="4" max="4" width="8.28515625" style="2" customWidth="1"/>
    <col min="5" max="5" width="12.140625" style="2" customWidth="1"/>
    <col min="6" max="6" width="11.28515625" style="2" customWidth="1"/>
    <col min="7" max="7" width="11.140625" style="2" customWidth="1"/>
    <col min="8" max="8" width="7.7109375" customWidth="1"/>
    <col min="9" max="9" width="22.28515625" style="2" bestFit="1" customWidth="1"/>
    <col min="10" max="10" width="6.85546875" style="2" bestFit="1" customWidth="1"/>
    <col min="11" max="11" width="9.140625" style="2"/>
    <col min="12" max="12" width="10.140625" style="2" customWidth="1"/>
    <col min="13" max="18" width="9.140625" style="2"/>
    <col min="19" max="19" width="9.85546875" style="2" customWidth="1"/>
    <col min="20" max="20" width="11.42578125" style="9" customWidth="1"/>
    <col min="21" max="26" width="9.140625" style="2"/>
    <col min="27" max="27" width="12" style="2" bestFit="1" customWidth="1"/>
    <col min="28" max="33" width="9.140625" style="2"/>
    <col min="34" max="34" width="9.7109375" style="2" customWidth="1"/>
    <col min="35" max="16384" width="9.140625" style="2"/>
  </cols>
  <sheetData>
    <row r="1" spans="1:50" ht="14.25" thickTop="1" thickBot="1">
      <c r="A1" s="152" t="str">
        <f>COVER!B4</f>
        <v>ISIRF Isotope Cube INLET SUBMISSION FORM -- AS OF 4/29/2024</v>
      </c>
      <c r="B1" s="9"/>
      <c r="C1" s="9"/>
      <c r="D1" s="9"/>
      <c r="E1" s="275"/>
      <c r="F1" s="465" t="s">
        <v>32</v>
      </c>
      <c r="G1" s="158">
        <f>COUNTA('Investigator Data'!B4:B39)</f>
        <v>36</v>
      </c>
    </row>
    <row r="2" spans="1:50" ht="14.25" thickTop="1" thickBot="1">
      <c r="A2" s="9"/>
      <c r="B2" s="153" t="s">
        <v>10</v>
      </c>
      <c r="C2" s="374" t="str">
        <f>COVER!C2</f>
        <v>IC13C-241218-10KansasROARCarbon-3</v>
      </c>
      <c r="D2" s="301"/>
      <c r="E2" s="280" t="s">
        <v>152</v>
      </c>
      <c r="F2" s="9"/>
      <c r="G2" s="9"/>
    </row>
    <row r="3" spans="1:50" ht="13.5" thickTop="1">
      <c r="A3" s="154" t="s">
        <v>28</v>
      </c>
      <c r="B3" s="155"/>
      <c r="C3" s="421"/>
      <c r="D3" s="300" t="s">
        <v>78</v>
      </c>
      <c r="E3" s="274" t="s">
        <v>149</v>
      </c>
      <c r="F3" s="274"/>
      <c r="G3" s="627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>
      <c r="A4" s="156" t="s">
        <v>31</v>
      </c>
      <c r="B4" s="157"/>
      <c r="C4" s="422" t="str">
        <f>COVER!C19</f>
        <v>Soil</v>
      </c>
      <c r="D4" s="346"/>
      <c r="E4" s="428" t="s">
        <v>9</v>
      </c>
      <c r="F4" s="429" t="s">
        <v>175</v>
      </c>
      <c r="G4" s="430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>
      <c r="A5" s="156" t="s">
        <v>155</v>
      </c>
      <c r="B5" s="157"/>
      <c r="C5" s="422">
        <f>COVER!C16</f>
        <v>0</v>
      </c>
      <c r="D5" s="346"/>
      <c r="E5" s="279"/>
      <c r="F5" s="279"/>
      <c r="G5" s="628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>
      <c r="A6" s="156" t="s">
        <v>127</v>
      </c>
      <c r="B6" s="159"/>
      <c r="C6" s="422" t="str">
        <f>COVER!C15</f>
        <v>13C</v>
      </c>
      <c r="D6" s="346"/>
      <c r="E6" s="277"/>
      <c r="F6" s="277"/>
      <c r="G6" s="629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>
      <c r="A7" s="160" t="s">
        <v>29</v>
      </c>
      <c r="B7" s="159"/>
      <c r="C7" s="633" t="str">
        <f>COVER!C14</f>
        <v>Janice Chatfield</v>
      </c>
      <c r="D7" s="347"/>
      <c r="E7" s="278"/>
      <c r="F7" s="278"/>
      <c r="G7" s="276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>
      <c r="A8" s="160" t="s">
        <v>156</v>
      </c>
      <c r="B8" s="159"/>
      <c r="C8" s="422"/>
      <c r="D8" s="347"/>
      <c r="E8" s="282"/>
      <c r="F8" s="282"/>
      <c r="G8" s="283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.75" thickBot="1">
      <c r="A9" s="156" t="s">
        <v>164</v>
      </c>
      <c r="B9" s="161"/>
      <c r="C9" s="633" t="s">
        <v>249</v>
      </c>
      <c r="D9" s="639">
        <f>VLOOKUP(C9,Tables!A2:C17,3,FALSE)</f>
        <v>1.2</v>
      </c>
      <c r="E9" s="299"/>
      <c r="F9" s="284"/>
      <c r="G9" s="285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.75" thickTop="1">
      <c r="A10" s="156" t="s">
        <v>125</v>
      </c>
      <c r="B10" s="161"/>
      <c r="C10" s="633" t="s">
        <v>255</v>
      </c>
      <c r="D10" s="639">
        <f>VLOOKUP(C10,Tables!A2:C17,3,FALSE)</f>
        <v>1</v>
      </c>
      <c r="E10" s="670" t="s">
        <v>35</v>
      </c>
      <c r="F10" s="671"/>
      <c r="G10" s="672"/>
      <c r="T10" s="2"/>
    </row>
    <row r="11" spans="1:50" ht="15">
      <c r="A11" s="168" t="s">
        <v>126</v>
      </c>
      <c r="B11" s="161"/>
      <c r="C11" s="633" t="s">
        <v>254</v>
      </c>
      <c r="D11" s="639">
        <f>VLOOKUP(C11,Tables!A2:C17,3,FALSE)</f>
        <v>1.5</v>
      </c>
      <c r="E11" s="164" t="s">
        <v>24</v>
      </c>
      <c r="F11" s="165"/>
      <c r="G11" s="630" t="str">
        <f>IF(COUNTA(COVER!C23)=0,"",COVER!C23)</f>
        <v>241218</v>
      </c>
      <c r="T11" s="2"/>
    </row>
    <row r="12" spans="1:50" ht="15">
      <c r="A12" s="168" t="s">
        <v>181</v>
      </c>
      <c r="B12" s="161"/>
      <c r="C12" s="633" t="s">
        <v>357</v>
      </c>
      <c r="D12" s="639">
        <f>VLOOKUP(C12,Tables!A2:C17,3,FALSE)</f>
        <v>6.5</v>
      </c>
      <c r="E12" s="166" t="s">
        <v>8</v>
      </c>
      <c r="F12" s="167"/>
      <c r="G12" s="631">
        <f>IF(COUNTA('ISIRF RAW'!B2)=0,"",'ISIRF RAW'!B2)</f>
        <v>44278</v>
      </c>
      <c r="T12" s="2"/>
    </row>
    <row r="13" spans="1:50">
      <c r="A13" s="160" t="s">
        <v>166</v>
      </c>
      <c r="B13" s="161"/>
      <c r="C13" s="633" t="s">
        <v>176</v>
      </c>
      <c r="D13" s="433" t="s">
        <v>177</v>
      </c>
      <c r="E13" s="166" t="s">
        <v>30</v>
      </c>
      <c r="F13" s="169"/>
      <c r="G13" s="631" t="str">
        <f>IF(COUNTA('ISIRF RAW'!B3)=0,"",'ISIRF RAW'!B3)</f>
        <v>LSDT</v>
      </c>
      <c r="T13" s="2"/>
    </row>
    <row r="14" spans="1:50" ht="13.5" thickBot="1">
      <c r="A14" s="172" t="s">
        <v>252</v>
      </c>
      <c r="B14" s="173"/>
      <c r="C14" s="634"/>
      <c r="D14" s="348">
        <v>5</v>
      </c>
      <c r="E14" s="170" t="s">
        <v>235</v>
      </c>
      <c r="F14" s="171"/>
      <c r="G14" s="632" t="str">
        <f>COVER!C15</f>
        <v>13C</v>
      </c>
      <c r="T14" s="2"/>
    </row>
    <row r="15" spans="1:50" s="33" customFormat="1" ht="14.25" thickTop="1" thickBot="1">
      <c r="A15" s="162"/>
      <c r="B15" s="174"/>
      <c r="C15" s="175"/>
      <c r="D15" s="175"/>
      <c r="E15" s="175"/>
      <c r="F15" s="175"/>
      <c r="G15" s="175"/>
    </row>
    <row r="16" spans="1:50" s="19" customFormat="1" ht="26.25" thickTop="1">
      <c r="A16" s="341" t="s">
        <v>33</v>
      </c>
      <c r="B16" s="342" t="s">
        <v>36</v>
      </c>
      <c r="C16" s="343" t="s">
        <v>21</v>
      </c>
      <c r="D16" s="345" t="s">
        <v>161</v>
      </c>
      <c r="E16" s="176" t="s">
        <v>22</v>
      </c>
      <c r="F16" s="344" t="s">
        <v>124</v>
      </c>
      <c r="G16" s="340"/>
      <c r="H16" s="572"/>
      <c r="I16" s="573"/>
      <c r="J16" s="574"/>
      <c r="K16" s="572"/>
    </row>
    <row r="17" spans="1:20">
      <c r="A17" s="177" t="str">
        <f>"IC"&amp;COVER!C$15&amp;COVER!C$23&amp;"-"&amp;COVER!C$22&amp;F17</f>
        <v>IC13C241218-101</v>
      </c>
      <c r="B17" s="178" t="s">
        <v>37</v>
      </c>
      <c r="C17" s="179" t="s">
        <v>34</v>
      </c>
      <c r="D17" s="302"/>
      <c r="E17" s="462"/>
      <c r="F17" s="180">
        <v>1</v>
      </c>
      <c r="G17"/>
      <c r="H17" s="33"/>
      <c r="I17" s="33"/>
      <c r="J17" s="349"/>
      <c r="K17" s="33"/>
      <c r="T17" s="2"/>
    </row>
    <row r="18" spans="1:20">
      <c r="A18" s="177" t="str">
        <f>"IC"&amp;COVER!C$15&amp;COVER!C$23&amp;"-"&amp;COVER!C$22&amp;F18</f>
        <v>IC13C241218-102</v>
      </c>
      <c r="B18" s="178" t="s">
        <v>38</v>
      </c>
      <c r="C18" s="179" t="s">
        <v>34</v>
      </c>
      <c r="D18" s="302"/>
      <c r="E18" s="462"/>
      <c r="F18" s="180">
        <f>F17+1</f>
        <v>2</v>
      </c>
      <c r="G18"/>
      <c r="H18" s="33"/>
      <c r="I18" s="33"/>
      <c r="J18" s="349"/>
      <c r="K18" s="33"/>
      <c r="T18" s="2"/>
    </row>
    <row r="19" spans="1:20">
      <c r="A19" s="177" t="str">
        <f>"IC"&amp;COVER!C$15&amp;COVER!C$23&amp;"-"&amp;COVER!C$22&amp;F19</f>
        <v>IC13C241218-103</v>
      </c>
      <c r="B19" s="178" t="s">
        <v>39</v>
      </c>
      <c r="C19" s="179" t="str">
        <f>$C$9</f>
        <v>ISIRF Ulva</v>
      </c>
      <c r="D19" s="302">
        <f>$D$9</f>
        <v>1.2</v>
      </c>
      <c r="E19" s="461">
        <v>1.2030000000000001</v>
      </c>
      <c r="F19" s="180">
        <f t="shared" ref="F19:F72" si="0">F18+1</f>
        <v>3</v>
      </c>
      <c r="G19"/>
      <c r="H19" s="33"/>
      <c r="I19" s="33"/>
      <c r="J19" s="349"/>
      <c r="K19" s="33"/>
      <c r="T19" s="2"/>
    </row>
    <row r="20" spans="1:20">
      <c r="A20" s="177" t="str">
        <f>"IC"&amp;COVER!C$15&amp;COVER!C$23&amp;"-"&amp;COVER!C$22&amp;F20</f>
        <v>IC13C241218-104</v>
      </c>
      <c r="B20" s="178" t="s">
        <v>40</v>
      </c>
      <c r="C20" s="179" t="str">
        <f>$C$10</f>
        <v>ISIRF Chitin</v>
      </c>
      <c r="D20" s="302">
        <f>$D$10</f>
        <v>1</v>
      </c>
      <c r="E20" s="461">
        <v>0.96299999999999997</v>
      </c>
      <c r="F20" s="180">
        <f t="shared" si="0"/>
        <v>4</v>
      </c>
      <c r="G20"/>
      <c r="H20" s="33"/>
      <c r="I20" s="33"/>
      <c r="J20" s="349"/>
      <c r="K20" s="33"/>
      <c r="T20" s="2"/>
    </row>
    <row r="21" spans="1:20">
      <c r="A21" s="177" t="str">
        <f>"IC"&amp;COVER!C$15&amp;COVER!C$23&amp;"-"&amp;COVER!C$22&amp;F21</f>
        <v>IC13C241218-105</v>
      </c>
      <c r="B21" s="178" t="s">
        <v>41</v>
      </c>
      <c r="C21" s="179" t="str">
        <f>$C$11</f>
        <v>ISIRF Bamboo</v>
      </c>
      <c r="D21" s="302">
        <f>$D$11</f>
        <v>1.5</v>
      </c>
      <c r="E21" s="462">
        <v>1.446</v>
      </c>
      <c r="F21" s="180">
        <f t="shared" si="0"/>
        <v>5</v>
      </c>
      <c r="G21"/>
      <c r="H21" s="33"/>
      <c r="I21" s="33"/>
      <c r="J21" s="349"/>
      <c r="K21" s="33"/>
      <c r="T21" s="2"/>
    </row>
    <row r="22" spans="1:20">
      <c r="A22" s="177" t="str">
        <f>"IC"&amp;COVER!C$15&amp;COVER!C$23&amp;"-"&amp;COVER!C$22&amp;F22</f>
        <v>IC13C241218-106</v>
      </c>
      <c r="B22" s="178" t="s">
        <v>42</v>
      </c>
      <c r="C22" s="179" t="str">
        <f>C12</f>
        <v>NBS 1575 Pine Needles</v>
      </c>
      <c r="D22" s="302">
        <f>D12</f>
        <v>6.5</v>
      </c>
      <c r="E22" s="462">
        <v>6.7919999999999998</v>
      </c>
      <c r="F22" s="180">
        <f t="shared" si="0"/>
        <v>6</v>
      </c>
      <c r="G22"/>
      <c r="H22" s="33"/>
      <c r="I22" s="33"/>
      <c r="J22" s="349"/>
      <c r="K22" s="33"/>
      <c r="T22" s="2"/>
    </row>
    <row r="23" spans="1:20">
      <c r="A23" s="177" t="str">
        <f>"IC"&amp;COVER!C$15&amp;COVER!C$23&amp;"-"&amp;COVER!C$22&amp;F23</f>
        <v>IC13C241218-107</v>
      </c>
      <c r="B23" s="178" t="s">
        <v>43</v>
      </c>
      <c r="C23" s="409" t="str">
        <f>IF('Investigator Data'!B4="","","R1-"&amp;'Investigator Data'!B4)</f>
        <v xml:space="preserve">R1-20231120_W1_H </v>
      </c>
      <c r="D23" s="303">
        <f>IF('Investigator Data'!C4="",$D$8,'Investigator Data'!C4)</f>
        <v>25</v>
      </c>
      <c r="E23" s="462">
        <v>24.273</v>
      </c>
      <c r="F23" s="180">
        <f t="shared" si="0"/>
        <v>7</v>
      </c>
      <c r="G23"/>
      <c r="H23" s="33"/>
      <c r="I23" s="33"/>
      <c r="J23" s="349"/>
      <c r="K23" s="33"/>
      <c r="T23" s="2"/>
    </row>
    <row r="24" spans="1:20">
      <c r="A24" s="177" t="str">
        <f>"IC"&amp;COVER!C$15&amp;COVER!C$23&amp;"-"&amp;COVER!C$22&amp;F24</f>
        <v>IC13C241218-108</v>
      </c>
      <c r="B24" s="178" t="s">
        <v>44</v>
      </c>
      <c r="C24" s="181" t="str">
        <f>IF('Investigator Data'!B5="","",'Investigator Data'!B5)</f>
        <v xml:space="preserve">20240407_E1_A </v>
      </c>
      <c r="D24" s="303">
        <f>IF('Investigator Data'!C5="",$D$8,'Investigator Data'!C5)</f>
        <v>25</v>
      </c>
      <c r="E24" s="462">
        <v>24.242000000000001</v>
      </c>
      <c r="F24" s="180">
        <f t="shared" si="0"/>
        <v>8</v>
      </c>
      <c r="G24"/>
      <c r="H24" s="33"/>
      <c r="I24" s="33"/>
      <c r="J24" s="349"/>
      <c r="K24" s="33"/>
      <c r="T24" s="2"/>
    </row>
    <row r="25" spans="1:20">
      <c r="A25" s="177" t="str">
        <f>"IC"&amp;COVER!C$15&amp;COVER!C$23&amp;"-"&amp;COVER!C$22&amp;F25</f>
        <v>IC13C241218-109</v>
      </c>
      <c r="B25" s="178" t="s">
        <v>187</v>
      </c>
      <c r="C25" s="181" t="str">
        <f>IF('Investigator Data'!B6="","",'Investigator Data'!B6)</f>
        <v xml:space="preserve">20240407_E1_B </v>
      </c>
      <c r="D25" s="303">
        <f>IF('Investigator Data'!C6="",$D$8,'Investigator Data'!C6)</f>
        <v>25</v>
      </c>
      <c r="E25" s="462">
        <v>25.013999999999999</v>
      </c>
      <c r="F25" s="180">
        <f t="shared" si="0"/>
        <v>9</v>
      </c>
      <c r="G25"/>
      <c r="H25" s="33"/>
      <c r="I25" s="33"/>
      <c r="J25" s="349"/>
      <c r="K25" s="33"/>
      <c r="T25" s="2"/>
    </row>
    <row r="26" spans="1:20">
      <c r="A26" s="177" t="str">
        <f>"IC"&amp;COVER!C$15&amp;COVER!C$23&amp;"-"&amp;COVER!C$22&amp;F26</f>
        <v>IC13C241218-1010</v>
      </c>
      <c r="B26" s="178" t="s">
        <v>188</v>
      </c>
      <c r="C26" s="181" t="str">
        <f>IF('Investigator Data'!B7="","",'Investigator Data'!B7)</f>
        <v xml:space="preserve">20240407_E1_C </v>
      </c>
      <c r="D26" s="303">
        <f>IF('Investigator Data'!C7="",$D$8,'Investigator Data'!C7)</f>
        <v>25</v>
      </c>
      <c r="E26" s="462">
        <v>26.885000000000002</v>
      </c>
      <c r="F26" s="180">
        <f t="shared" si="0"/>
        <v>10</v>
      </c>
      <c r="G26"/>
      <c r="H26" s="33"/>
      <c r="I26" s="33"/>
      <c r="J26" s="349"/>
      <c r="K26" s="33"/>
      <c r="T26" s="2"/>
    </row>
    <row r="27" spans="1:20">
      <c r="A27" s="177" t="str">
        <f>"IC"&amp;COVER!C$15&amp;COVER!C$23&amp;"-"&amp;COVER!C$22&amp;F27</f>
        <v>IC13C241218-1011</v>
      </c>
      <c r="B27" s="178" t="s">
        <v>189</v>
      </c>
      <c r="C27" s="181" t="str">
        <f>IF('Investigator Data'!B8="","",'Investigator Data'!B8)</f>
        <v xml:space="preserve">20240407_E1_D </v>
      </c>
      <c r="D27" s="303">
        <f>IF('Investigator Data'!C8="",$D$8,'Investigator Data'!C8)</f>
        <v>25</v>
      </c>
      <c r="E27" s="462">
        <v>26.484000000000002</v>
      </c>
      <c r="F27" s="180">
        <f t="shared" si="0"/>
        <v>11</v>
      </c>
      <c r="G27"/>
      <c r="H27" s="33"/>
      <c r="I27" s="33"/>
      <c r="J27" s="33"/>
      <c r="K27" s="33"/>
      <c r="T27" s="2"/>
    </row>
    <row r="28" spans="1:20">
      <c r="A28" s="177" t="str">
        <f>"IC"&amp;COVER!C$15&amp;COVER!C$23&amp;"-"&amp;COVER!C$22&amp;F28</f>
        <v>IC13C241218-1012</v>
      </c>
      <c r="B28" s="178" t="s">
        <v>190</v>
      </c>
      <c r="C28" s="181" t="str">
        <f>IF('Investigator Data'!B9="","",'Investigator Data'!B9)</f>
        <v xml:space="preserve">20240407_E1_E </v>
      </c>
      <c r="D28" s="303">
        <f>IF('Investigator Data'!C9="",$D$8,'Investigator Data'!C9)</f>
        <v>25</v>
      </c>
      <c r="E28" s="462">
        <v>24.553000000000001</v>
      </c>
      <c r="F28" s="180">
        <f t="shared" si="0"/>
        <v>12</v>
      </c>
      <c r="G28"/>
      <c r="H28" s="33"/>
      <c r="T28" s="2"/>
    </row>
    <row r="29" spans="1:20">
      <c r="A29" s="177" t="str">
        <f>"IC"&amp;COVER!C$15&amp;COVER!C$23&amp;"-"&amp;COVER!C$22&amp;F29</f>
        <v>IC13C241218-1013</v>
      </c>
      <c r="B29" s="178" t="s">
        <v>45</v>
      </c>
      <c r="C29" s="181" t="str">
        <f>IF('Investigator Data'!B10="","",'Investigator Data'!B10)</f>
        <v xml:space="preserve">20240407_E1_F </v>
      </c>
      <c r="D29" s="303">
        <f>IF('Investigator Data'!C10="",$D$8,'Investigator Data'!C10)</f>
        <v>25</v>
      </c>
      <c r="E29" s="462">
        <v>24.684999999999999</v>
      </c>
      <c r="F29" s="180">
        <f t="shared" si="0"/>
        <v>13</v>
      </c>
      <c r="G29"/>
      <c r="H29" s="33"/>
      <c r="T29" s="2"/>
    </row>
    <row r="30" spans="1:20">
      <c r="A30" s="177" t="str">
        <f>"IC"&amp;COVER!C$15&amp;COVER!C$23&amp;"-"&amp;COVER!C$22&amp;F30</f>
        <v>IC13C241218-1014</v>
      </c>
      <c r="B30" s="178" t="s">
        <v>46</v>
      </c>
      <c r="C30" s="181" t="str">
        <f>IF('Investigator Data'!B11="","",'Investigator Data'!B11)</f>
        <v xml:space="preserve">20240407_E1_G </v>
      </c>
      <c r="D30" s="303">
        <f>IF('Investigator Data'!C11="",$D$8,'Investigator Data'!C11)</f>
        <v>25</v>
      </c>
      <c r="E30" s="462">
        <v>24.501000000000001</v>
      </c>
      <c r="F30" s="180">
        <f t="shared" si="0"/>
        <v>14</v>
      </c>
      <c r="G30"/>
      <c r="H30" s="33"/>
      <c r="T30" s="2"/>
    </row>
    <row r="31" spans="1:20">
      <c r="A31" s="177" t="str">
        <f>"IC"&amp;COVER!C$15&amp;COVER!C$23&amp;"-"&amp;COVER!C$22&amp;F31</f>
        <v>IC13C241218-1015</v>
      </c>
      <c r="B31" s="178" t="s">
        <v>47</v>
      </c>
      <c r="C31" s="181" t="str">
        <f>IF('Investigator Data'!B12="","",'Investigator Data'!B12)</f>
        <v xml:space="preserve">20240407_E1_H </v>
      </c>
      <c r="D31" s="303">
        <f>IF('Investigator Data'!C12="",$D$8,'Investigator Data'!C12)</f>
        <v>25</v>
      </c>
      <c r="E31" s="462">
        <v>26.34</v>
      </c>
      <c r="F31" s="180">
        <f t="shared" si="0"/>
        <v>15</v>
      </c>
      <c r="G31"/>
      <c r="H31" s="33"/>
      <c r="T31" s="2"/>
    </row>
    <row r="32" spans="1:20">
      <c r="A32" s="177" t="str">
        <f>"IC"&amp;COVER!C$15&amp;COVER!C$23&amp;"-"&amp;COVER!C$22&amp;F32</f>
        <v>IC13C241218-1016</v>
      </c>
      <c r="B32" s="178" t="s">
        <v>48</v>
      </c>
      <c r="C32" s="179" t="str">
        <f>$C$9</f>
        <v>ISIRF Ulva</v>
      </c>
      <c r="D32" s="302">
        <f>$D$9</f>
        <v>1.2</v>
      </c>
      <c r="E32" s="462">
        <v>1.163</v>
      </c>
      <c r="F32" s="180">
        <f t="shared" si="0"/>
        <v>16</v>
      </c>
      <c r="G32"/>
      <c r="H32" s="33"/>
      <c r="T32" s="2"/>
    </row>
    <row r="33" spans="1:20">
      <c r="A33" s="177" t="str">
        <f>"IC"&amp;COVER!C$15&amp;COVER!C$23&amp;"-"&amp;COVER!C$22&amp;F33</f>
        <v>IC13C241218-1017</v>
      </c>
      <c r="B33" s="178" t="s">
        <v>49</v>
      </c>
      <c r="C33" s="181" t="str">
        <f>IF('Investigator Data'!B13="","",'Investigator Data'!B13)</f>
        <v xml:space="preserve">20240407_E1_I </v>
      </c>
      <c r="D33" s="303">
        <f>IF('Investigator Data'!C13="",$D$8,'Investigator Data'!C13)</f>
        <v>25</v>
      </c>
      <c r="E33" s="462">
        <v>25.861999999999998</v>
      </c>
      <c r="F33" s="180">
        <f t="shared" si="0"/>
        <v>17</v>
      </c>
      <c r="G33"/>
      <c r="H33" s="33"/>
      <c r="T33" s="2"/>
    </row>
    <row r="34" spans="1:20">
      <c r="A34" s="177" t="str">
        <f>"IC"&amp;COVER!C$15&amp;COVER!C$23&amp;"-"&amp;COVER!C$22&amp;F34</f>
        <v>IC13C241218-1018</v>
      </c>
      <c r="B34" s="178" t="s">
        <v>50</v>
      </c>
      <c r="C34" s="181" t="str">
        <f>IF('Investigator Data'!B14="","",'Investigator Data'!B14)</f>
        <v>20240407_E2_A</v>
      </c>
      <c r="D34" s="303">
        <f>IF('Investigator Data'!C14="",$D$8,'Investigator Data'!C14)</f>
        <v>25</v>
      </c>
      <c r="E34" s="462">
        <v>25.869</v>
      </c>
      <c r="F34" s="180">
        <f t="shared" si="0"/>
        <v>18</v>
      </c>
      <c r="G34"/>
      <c r="H34" s="33"/>
      <c r="T34" s="2"/>
    </row>
    <row r="35" spans="1:20">
      <c r="A35" s="177" t="str">
        <f>"IC"&amp;COVER!C$15&amp;COVER!C$23&amp;"-"&amp;COVER!C$22&amp;F35</f>
        <v>IC13C241218-1019</v>
      </c>
      <c r="B35" s="178" t="s">
        <v>51</v>
      </c>
      <c r="C35" s="181" t="str">
        <f>IF('Investigator Data'!B15="","",'Investigator Data'!B15)</f>
        <v xml:space="preserve">20240407_E2_B </v>
      </c>
      <c r="D35" s="303">
        <f>IF('Investigator Data'!C15="",$D$8,'Investigator Data'!C15)</f>
        <v>25</v>
      </c>
      <c r="E35" s="462">
        <v>24.585000000000001</v>
      </c>
      <c r="F35" s="180">
        <f t="shared" si="0"/>
        <v>19</v>
      </c>
      <c r="G35"/>
      <c r="H35" s="33"/>
      <c r="T35" s="2"/>
    </row>
    <row r="36" spans="1:20">
      <c r="A36" s="177" t="str">
        <f>"IC"&amp;COVER!C$15&amp;COVER!C$23&amp;"-"&amp;COVER!C$22&amp;F36</f>
        <v>IC13C241218-1020</v>
      </c>
      <c r="B36" s="178" t="s">
        <v>52</v>
      </c>
      <c r="C36" s="181" t="str">
        <f>IF('Investigator Data'!B16="","",'Investigator Data'!B16)</f>
        <v xml:space="preserve">20240407_E2_C </v>
      </c>
      <c r="D36" s="303">
        <f>IF('Investigator Data'!C16="",$D$8,'Investigator Data'!C16)</f>
        <v>25</v>
      </c>
      <c r="E36" s="462">
        <v>25.414999999999999</v>
      </c>
      <c r="F36" s="180">
        <f t="shared" si="0"/>
        <v>20</v>
      </c>
      <c r="G36"/>
      <c r="H36" s="33"/>
      <c r="T36" s="2"/>
    </row>
    <row r="37" spans="1:20">
      <c r="A37" s="177" t="str">
        <f>"IC"&amp;COVER!C$15&amp;COVER!C$23&amp;"-"&amp;COVER!C$22&amp;F37</f>
        <v>IC13C241218-1021</v>
      </c>
      <c r="B37" s="178" t="s">
        <v>191</v>
      </c>
      <c r="C37" s="409" t="str">
        <f>IF('Investigator Data'!B17="","","R2-"&amp;'Investigator Data'!B17)</f>
        <v xml:space="preserve">R2-20240407_E2_D </v>
      </c>
      <c r="D37" s="303">
        <f>IF('Investigator Data'!C17="",$D$8,'Investigator Data'!C17)</f>
        <v>25</v>
      </c>
      <c r="E37" s="462">
        <v>25.872</v>
      </c>
      <c r="F37" s="180">
        <f t="shared" si="0"/>
        <v>21</v>
      </c>
      <c r="G37"/>
      <c r="H37" s="33"/>
      <c r="T37" s="2"/>
    </row>
    <row r="38" spans="1:20">
      <c r="A38" s="177" t="str">
        <f>"IC"&amp;COVER!C$15&amp;COVER!C$23&amp;"-"&amp;COVER!C$22&amp;F38</f>
        <v>IC13C241218-1022</v>
      </c>
      <c r="B38" s="178" t="s">
        <v>192</v>
      </c>
      <c r="C38" s="409" t="str">
        <f>IF('Investigator Data'!B17="","","R2-"&amp;'Investigator Data'!B17)</f>
        <v xml:space="preserve">R2-20240407_E2_D </v>
      </c>
      <c r="D38" s="303">
        <f>IF('Investigator Data'!C17="",$D$8,'Investigator Data'!C17)</f>
        <v>25</v>
      </c>
      <c r="E38" s="462">
        <v>24.998000000000001</v>
      </c>
      <c r="F38" s="180">
        <f t="shared" si="0"/>
        <v>22</v>
      </c>
      <c r="G38"/>
      <c r="H38" s="33"/>
      <c r="T38" s="2"/>
    </row>
    <row r="39" spans="1:20">
      <c r="A39" s="177" t="str">
        <f>"IC"&amp;COVER!C$15&amp;COVER!C$23&amp;"-"&amp;COVER!C$22&amp;F39</f>
        <v>IC13C241218-1023</v>
      </c>
      <c r="B39" s="178" t="s">
        <v>193</v>
      </c>
      <c r="C39" s="181" t="str">
        <f>IF('Investigator Data'!B18="","",'Investigator Data'!B18)</f>
        <v xml:space="preserve">20240407_E2_E </v>
      </c>
      <c r="D39" s="303">
        <f>IF('Investigator Data'!C18="",$D$8,'Investigator Data'!C18)</f>
        <v>25</v>
      </c>
      <c r="E39" s="462">
        <v>24.524000000000001</v>
      </c>
      <c r="F39" s="180">
        <f t="shared" si="0"/>
        <v>23</v>
      </c>
      <c r="G39"/>
      <c r="H39" s="33"/>
      <c r="T39" s="2"/>
    </row>
    <row r="40" spans="1:20">
      <c r="A40" s="177" t="str">
        <f>"IC"&amp;COVER!C$15&amp;COVER!C$23&amp;"-"&amp;COVER!C$22&amp;F40</f>
        <v>IC13C241218-1024</v>
      </c>
      <c r="B40" s="178" t="s">
        <v>194</v>
      </c>
      <c r="C40" s="181" t="str">
        <f>IF('Investigator Data'!B19="","",'Investigator Data'!B19)</f>
        <v xml:space="preserve">20240407_E2_F </v>
      </c>
      <c r="D40" s="303">
        <f>IF('Investigator Data'!C19="",$D$8,'Investigator Data'!C19)</f>
        <v>25</v>
      </c>
      <c r="E40" s="462">
        <v>25.321999999999999</v>
      </c>
      <c r="F40" s="180">
        <f t="shared" si="0"/>
        <v>24</v>
      </c>
      <c r="G40"/>
      <c r="H40" s="33"/>
      <c r="T40" s="2"/>
    </row>
    <row r="41" spans="1:20">
      <c r="A41" s="177" t="str">
        <f>"IC"&amp;COVER!C$15&amp;COVER!C$23&amp;"-"&amp;COVER!C$22&amp;F41</f>
        <v>IC13C241218-1025</v>
      </c>
      <c r="B41" s="178" t="s">
        <v>174</v>
      </c>
      <c r="C41" s="181" t="str">
        <f>IF('Investigator Data'!B20="","",'Investigator Data'!B20)</f>
        <v xml:space="preserve">20240407_E2_G </v>
      </c>
      <c r="D41" s="303">
        <f>IF('Investigator Data'!C20="",$D$8,'Investigator Data'!C20)</f>
        <v>25</v>
      </c>
      <c r="E41" s="462">
        <v>24.373000000000001</v>
      </c>
      <c r="F41" s="180">
        <f t="shared" si="0"/>
        <v>25</v>
      </c>
      <c r="G41"/>
      <c r="H41" s="33"/>
      <c r="T41" s="2"/>
    </row>
    <row r="42" spans="1:20">
      <c r="A42" s="177" t="str">
        <f>"IC"&amp;COVER!C$15&amp;COVER!C$23&amp;"-"&amp;COVER!C$22&amp;F42</f>
        <v>IC13C241218-1026</v>
      </c>
      <c r="B42" s="178" t="s">
        <v>53</v>
      </c>
      <c r="C42" s="181" t="str">
        <f>IF('Investigator Data'!B21="","",'Investigator Data'!B21)</f>
        <v xml:space="preserve">20240407_E3_A </v>
      </c>
      <c r="D42" s="303">
        <f>IF('Investigator Data'!C21="",$D$8,'Investigator Data'!C21)</f>
        <v>25</v>
      </c>
      <c r="E42" s="462">
        <v>25.94</v>
      </c>
      <c r="F42" s="180">
        <f t="shared" si="0"/>
        <v>26</v>
      </c>
      <c r="G42"/>
      <c r="H42" s="33"/>
      <c r="T42" s="2"/>
    </row>
    <row r="43" spans="1:20">
      <c r="A43" s="177" t="str">
        <f>"IC"&amp;COVER!C$15&amp;COVER!C$23&amp;"-"&amp;COVER!C$22&amp;F43</f>
        <v>IC13C241218-1027</v>
      </c>
      <c r="B43" s="178" t="s">
        <v>54</v>
      </c>
      <c r="C43" s="179" t="s">
        <v>34</v>
      </c>
      <c r="D43" s="302"/>
      <c r="E43" s="462"/>
      <c r="F43" s="180">
        <f>F42+1</f>
        <v>27</v>
      </c>
      <c r="G43"/>
      <c r="H43" s="33"/>
      <c r="T43" s="2"/>
    </row>
    <row r="44" spans="1:20">
      <c r="A44" s="177" t="str">
        <f>"IC"&amp;COVER!C$15&amp;COVER!C$23&amp;"-"&amp;COVER!C$22&amp;F44</f>
        <v>IC13C241218-1028</v>
      </c>
      <c r="B44" s="178" t="s">
        <v>55</v>
      </c>
      <c r="C44" s="179" t="str">
        <f>$C$9</f>
        <v>ISIRF Ulva</v>
      </c>
      <c r="D44" s="302">
        <f>$D$9</f>
        <v>1.2</v>
      </c>
      <c r="E44" s="462">
        <v>1.135</v>
      </c>
      <c r="F44" s="180">
        <f t="shared" si="0"/>
        <v>28</v>
      </c>
      <c r="G44"/>
      <c r="H44" s="33"/>
      <c r="T44" s="2"/>
    </row>
    <row r="45" spans="1:20">
      <c r="A45" s="177" t="str">
        <f>"IC"&amp;COVER!C$15&amp;COVER!C$23&amp;"-"&amp;COVER!C$22&amp;F45</f>
        <v>IC13C241218-1029</v>
      </c>
      <c r="B45" s="178" t="s">
        <v>56</v>
      </c>
      <c r="C45" s="179" t="str">
        <f>C10</f>
        <v>ISIRF Chitin</v>
      </c>
      <c r="D45" s="302">
        <f>$D$10</f>
        <v>1</v>
      </c>
      <c r="E45" s="462">
        <v>0.97899999999999998</v>
      </c>
      <c r="F45" s="180">
        <f t="shared" si="0"/>
        <v>29</v>
      </c>
      <c r="G45"/>
      <c r="H45" s="33"/>
      <c r="T45" s="2"/>
    </row>
    <row r="46" spans="1:20">
      <c r="A46" s="177" t="str">
        <f>"IC"&amp;COVER!C$15&amp;COVER!C$23&amp;"-"&amp;COVER!C$22&amp;F46</f>
        <v>IC13C241218-1030</v>
      </c>
      <c r="B46" s="178" t="s">
        <v>57</v>
      </c>
      <c r="C46" s="179" t="str">
        <f>C11</f>
        <v>ISIRF Bamboo</v>
      </c>
      <c r="D46" s="302">
        <f>$D$11</f>
        <v>1.5</v>
      </c>
      <c r="E46" s="462">
        <v>1.621</v>
      </c>
      <c r="F46" s="180">
        <f t="shared" si="0"/>
        <v>30</v>
      </c>
      <c r="G46"/>
      <c r="H46" s="33"/>
      <c r="T46" s="2"/>
    </row>
    <row r="47" spans="1:20">
      <c r="A47" s="177" t="str">
        <f>"IC"&amp;COVER!C$15&amp;COVER!C$23&amp;"-"&amp;COVER!C$22&amp;F47</f>
        <v>IC13C241218-1031</v>
      </c>
      <c r="B47" s="178" t="s">
        <v>58</v>
      </c>
      <c r="C47" s="179" t="str">
        <f>C12</f>
        <v>NBS 1575 Pine Needles</v>
      </c>
      <c r="D47" s="302">
        <f>$D$12</f>
        <v>6.5</v>
      </c>
      <c r="E47" s="462">
        <v>6.5739999999999998</v>
      </c>
      <c r="F47" s="180">
        <f t="shared" si="0"/>
        <v>31</v>
      </c>
      <c r="G47"/>
      <c r="H47" s="33"/>
      <c r="T47" s="2"/>
    </row>
    <row r="48" spans="1:20">
      <c r="A48" s="177" t="str">
        <f>"IC"&amp;COVER!C$15&amp;COVER!C$23&amp;"-"&amp;COVER!C$22&amp;F48</f>
        <v>IC13C241218-1032</v>
      </c>
      <c r="B48" s="178" t="s">
        <v>59</v>
      </c>
      <c r="C48" s="182" t="str">
        <f>IF('Investigator Data'!B22="","",'Investigator Data'!B22)</f>
        <v>20240407_E3_A_Dup</v>
      </c>
      <c r="D48" s="303">
        <f>IF('Investigator Data'!C22="",$D$8,'Investigator Data'!C22)</f>
        <v>25</v>
      </c>
      <c r="E48" s="462">
        <v>24.885000000000002</v>
      </c>
      <c r="F48" s="180">
        <f t="shared" si="0"/>
        <v>32</v>
      </c>
      <c r="G48"/>
      <c r="H48" s="33"/>
      <c r="T48" s="2"/>
    </row>
    <row r="49" spans="1:20">
      <c r="A49" s="177" t="str">
        <f>"IC"&amp;COVER!C$15&amp;COVER!C$23&amp;"-"&amp;COVER!C$22&amp;F49</f>
        <v>IC13C241218-1033</v>
      </c>
      <c r="B49" s="178" t="s">
        <v>195</v>
      </c>
      <c r="C49" s="182" t="str">
        <f>IF('Investigator Data'!B23="","",'Investigator Data'!B23)</f>
        <v xml:space="preserve">20240407_E3_B </v>
      </c>
      <c r="D49" s="303">
        <f>IF('Investigator Data'!C23="",$D$8,'Investigator Data'!C23)</f>
        <v>25</v>
      </c>
      <c r="E49" s="462">
        <v>24.826000000000001</v>
      </c>
      <c r="F49" s="180">
        <f t="shared" si="0"/>
        <v>33</v>
      </c>
      <c r="G49"/>
      <c r="H49" s="33"/>
      <c r="T49" s="2"/>
    </row>
    <row r="50" spans="1:20">
      <c r="A50" s="177" t="str">
        <f>"IC"&amp;COVER!C$15&amp;COVER!C$23&amp;"-"&amp;COVER!C$22&amp;F50</f>
        <v>IC13C241218-1034</v>
      </c>
      <c r="B50" s="178" t="s">
        <v>196</v>
      </c>
      <c r="C50" s="182" t="str">
        <f>IF('Investigator Data'!B24="","",'Investigator Data'!B24)</f>
        <v xml:space="preserve">20240407_E3_C </v>
      </c>
      <c r="D50" s="303">
        <f>IF('Investigator Data'!C24="",$D$8,'Investigator Data'!C24)</f>
        <v>25</v>
      </c>
      <c r="E50" s="462">
        <v>24.399000000000001</v>
      </c>
      <c r="F50" s="180">
        <f t="shared" si="0"/>
        <v>34</v>
      </c>
      <c r="G50"/>
      <c r="H50" s="33"/>
      <c r="T50" s="2"/>
    </row>
    <row r="51" spans="1:20">
      <c r="A51" s="177" t="str">
        <f>"IC"&amp;COVER!C$15&amp;COVER!C$23&amp;"-"&amp;COVER!C$22&amp;F51</f>
        <v>IC13C241218-1035</v>
      </c>
      <c r="B51" s="178" t="s">
        <v>197</v>
      </c>
      <c r="C51" s="182" t="str">
        <f>IF('Investigator Data'!B25="","",'Investigator Data'!B25)</f>
        <v xml:space="preserve">20240407_E3_D </v>
      </c>
      <c r="D51" s="303">
        <f>IF('Investigator Data'!C25="",$D$8,'Investigator Data'!C25)</f>
        <v>25</v>
      </c>
      <c r="E51" s="462">
        <v>25.355</v>
      </c>
      <c r="F51" s="180">
        <f t="shared" si="0"/>
        <v>35</v>
      </c>
      <c r="G51"/>
      <c r="H51" s="33"/>
      <c r="T51" s="2"/>
    </row>
    <row r="52" spans="1:20">
      <c r="A52" s="177" t="str">
        <f>"IC"&amp;COVER!C$15&amp;COVER!C$23&amp;"-"&amp;COVER!C$22&amp;F52</f>
        <v>IC13C241218-1036</v>
      </c>
      <c r="B52" s="178" t="s">
        <v>198</v>
      </c>
      <c r="C52" s="182" t="str">
        <f>IF('Investigator Data'!B26="","",'Investigator Data'!B26)</f>
        <v xml:space="preserve">20240407_E3_E </v>
      </c>
      <c r="D52" s="303">
        <f>IF('Investigator Data'!C26="",$D$8,'Investigator Data'!C26)</f>
        <v>25</v>
      </c>
      <c r="E52" s="462">
        <v>24.934000000000001</v>
      </c>
      <c r="F52" s="180">
        <f t="shared" si="0"/>
        <v>36</v>
      </c>
      <c r="G52"/>
      <c r="H52" s="33"/>
      <c r="T52" s="2"/>
    </row>
    <row r="53" spans="1:20">
      <c r="A53" s="177" t="str">
        <f>"IC"&amp;COVER!C$15&amp;COVER!C$23&amp;"-"&amp;COVER!C$22&amp;F53</f>
        <v>IC13C241218-1037</v>
      </c>
      <c r="B53" s="178" t="s">
        <v>60</v>
      </c>
      <c r="C53" s="182" t="str">
        <f>IF('Investigator Data'!B27="","",'Investigator Data'!B27)</f>
        <v xml:space="preserve">20240407_E3_F </v>
      </c>
      <c r="D53" s="303">
        <f>IF('Investigator Data'!C27="",$D$8,'Investigator Data'!C27)</f>
        <v>25</v>
      </c>
      <c r="E53" s="462">
        <v>24.824999999999999</v>
      </c>
      <c r="F53" s="180">
        <f t="shared" si="0"/>
        <v>37</v>
      </c>
      <c r="G53"/>
      <c r="H53" s="33"/>
      <c r="T53" s="2"/>
    </row>
    <row r="54" spans="1:20">
      <c r="A54" s="177" t="str">
        <f>"IC"&amp;COVER!C$15&amp;COVER!C$23&amp;"-"&amp;COVER!C$22&amp;F54</f>
        <v>IC13C241218-1038</v>
      </c>
      <c r="B54" s="178" t="s">
        <v>61</v>
      </c>
      <c r="C54" s="182" t="str">
        <f>IF('Investigator Data'!B28="","",'Investigator Data'!B28)</f>
        <v xml:space="preserve">20240407_E3_G </v>
      </c>
      <c r="D54" s="303">
        <f>IF('Investigator Data'!C28="",$D$8,'Investigator Data'!C28)</f>
        <v>25</v>
      </c>
      <c r="E54" s="462">
        <v>24.327999999999999</v>
      </c>
      <c r="F54" s="180">
        <f t="shared" si="0"/>
        <v>38</v>
      </c>
      <c r="G54"/>
      <c r="H54" s="33"/>
      <c r="T54" s="2"/>
    </row>
    <row r="55" spans="1:20">
      <c r="A55" s="177" t="str">
        <f>"IC"&amp;COVER!C$15&amp;COVER!C$23&amp;"-"&amp;COVER!C$22&amp;F55</f>
        <v>IC13C241218-1039</v>
      </c>
      <c r="B55" s="178" t="s">
        <v>62</v>
      </c>
      <c r="C55" s="182" t="str">
        <f>IF('Investigator Data'!B29="","",'Investigator Data'!B29)</f>
        <v xml:space="preserve">20240407_E3_H </v>
      </c>
      <c r="D55" s="303">
        <f>IF('Investigator Data'!C29="",$D$8,'Investigator Data'!C29)</f>
        <v>25</v>
      </c>
      <c r="E55" s="462">
        <v>24.600999999999999</v>
      </c>
      <c r="F55" s="180">
        <f t="shared" si="0"/>
        <v>39</v>
      </c>
      <c r="G55"/>
      <c r="H55" s="33"/>
      <c r="T55" s="2"/>
    </row>
    <row r="56" spans="1:20">
      <c r="A56" s="177" t="str">
        <f>"IC"&amp;COVER!C$15&amp;COVER!C$23&amp;"-"&amp;COVER!C$22&amp;F56</f>
        <v>IC13C241218-1040</v>
      </c>
      <c r="B56" s="178" t="s">
        <v>63</v>
      </c>
      <c r="C56" s="182" t="str">
        <f>IF('Investigator Data'!B30="","",'Investigator Data'!B30)</f>
        <v xml:space="preserve">20240407_E3_I </v>
      </c>
      <c r="D56" s="303">
        <f>IF('Investigator Data'!C30="",$D$8,'Investigator Data'!C30)</f>
        <v>25</v>
      </c>
      <c r="E56" s="462">
        <v>26.584</v>
      </c>
      <c r="F56" s="180">
        <f t="shared" si="0"/>
        <v>40</v>
      </c>
      <c r="G56"/>
      <c r="H56" s="33"/>
      <c r="T56" s="2"/>
    </row>
    <row r="57" spans="1:20">
      <c r="A57" s="177" t="str">
        <f>"IC"&amp;COVER!C$15&amp;COVER!C$23&amp;"-"&amp;COVER!C$22&amp;F57</f>
        <v>IC13C241218-1041</v>
      </c>
      <c r="B57" s="178" t="s">
        <v>64</v>
      </c>
      <c r="C57" s="179" t="str">
        <f>$C$9</f>
        <v>ISIRF Ulva</v>
      </c>
      <c r="D57" s="302">
        <f>$D$9</f>
        <v>1.2</v>
      </c>
      <c r="E57" s="462">
        <v>1.2430000000000001</v>
      </c>
      <c r="F57" s="180">
        <f t="shared" si="0"/>
        <v>41</v>
      </c>
      <c r="G57"/>
      <c r="H57" s="33"/>
      <c r="T57" s="2"/>
    </row>
    <row r="58" spans="1:20">
      <c r="A58" s="177" t="str">
        <f>"IC"&amp;COVER!C$15&amp;COVER!C$23&amp;"-"&amp;COVER!C$22&amp;F58</f>
        <v>IC13C241218-1042</v>
      </c>
      <c r="B58" s="178" t="s">
        <v>65</v>
      </c>
      <c r="C58" s="182" t="str">
        <f>IF('Investigator Data'!B31="","",'Investigator Data'!B31)</f>
        <v xml:space="preserve">20240407_S2_A </v>
      </c>
      <c r="D58" s="303">
        <f>IF('Investigator Data'!C31="",$D$8,'Investigator Data'!C31)</f>
        <v>25</v>
      </c>
      <c r="E58" s="462">
        <v>25.390999999999998</v>
      </c>
      <c r="F58" s="180">
        <f t="shared" si="0"/>
        <v>42</v>
      </c>
      <c r="G58"/>
      <c r="H58" s="33"/>
      <c r="T58" s="2"/>
    </row>
    <row r="59" spans="1:20">
      <c r="A59" s="177" t="str">
        <f>"IC"&amp;COVER!C$15&amp;COVER!C$23&amp;"-"&amp;COVER!C$22&amp;F59</f>
        <v>IC13C241218-1043</v>
      </c>
      <c r="B59" s="178" t="s">
        <v>11</v>
      </c>
      <c r="C59" s="182" t="str">
        <f>IF('Investigator Data'!B32="","",'Investigator Data'!B32)</f>
        <v xml:space="preserve">20240407_S2_B </v>
      </c>
      <c r="D59" s="303">
        <f>IF('Investigator Data'!C32="",$D$8,'Investigator Data'!C32)</f>
        <v>25</v>
      </c>
      <c r="E59" s="462">
        <v>24.393999999999998</v>
      </c>
      <c r="F59" s="180">
        <f t="shared" si="0"/>
        <v>43</v>
      </c>
      <c r="G59"/>
      <c r="H59" s="33"/>
      <c r="T59" s="2"/>
    </row>
    <row r="60" spans="1:20">
      <c r="A60" s="177" t="str">
        <f>"IC"&amp;COVER!C$15&amp;COVER!C$23&amp;"-"&amp;COVER!C$22&amp;F60</f>
        <v>IC13C241218-1044</v>
      </c>
      <c r="B60" s="178" t="s">
        <v>12</v>
      </c>
      <c r="C60" s="182" t="str">
        <f>IF('Investigator Data'!B33="","",'Investigator Data'!B33)</f>
        <v xml:space="preserve">20240407_S2_C </v>
      </c>
      <c r="D60" s="303">
        <f>IF('Investigator Data'!C33="",$D$8,'Investigator Data'!C33)</f>
        <v>25</v>
      </c>
      <c r="E60" s="462">
        <v>24.126000000000001</v>
      </c>
      <c r="F60" s="180">
        <f t="shared" si="0"/>
        <v>44</v>
      </c>
      <c r="G60"/>
      <c r="H60" s="33"/>
      <c r="T60" s="2"/>
    </row>
    <row r="61" spans="1:20">
      <c r="A61" s="177" t="str">
        <f>"IC"&amp;COVER!C$15&amp;COVER!C$23&amp;"-"&amp;COVER!C$22&amp;F61</f>
        <v>IC13C241218-1045</v>
      </c>
      <c r="B61" s="178" t="s">
        <v>199</v>
      </c>
      <c r="C61" s="182" t="str">
        <f>IF('Investigator Data'!B34="","",'Investigator Data'!B34)</f>
        <v xml:space="preserve">20240407_S2_D </v>
      </c>
      <c r="D61" s="303">
        <f>IF('Investigator Data'!C34="",$D$8,'Investigator Data'!C34)</f>
        <v>25</v>
      </c>
      <c r="E61" s="462">
        <v>24.695</v>
      </c>
      <c r="F61" s="180">
        <f t="shared" si="0"/>
        <v>45</v>
      </c>
      <c r="G61"/>
      <c r="H61" s="33"/>
      <c r="T61" s="2"/>
    </row>
    <row r="62" spans="1:20">
      <c r="A62" s="177" t="str">
        <f>"IC"&amp;COVER!C$15&amp;COVER!C$23&amp;"-"&amp;COVER!C$22&amp;F62</f>
        <v>IC13C241218-1046</v>
      </c>
      <c r="B62" s="178" t="s">
        <v>200</v>
      </c>
      <c r="C62" s="182" t="str">
        <f>IF('Investigator Data'!B35="","",'Investigator Data'!B35)</f>
        <v xml:space="preserve">20240407_S2_E </v>
      </c>
      <c r="D62" s="303">
        <f>IF('Investigator Data'!C35="",$D$8,'Investigator Data'!C35)</f>
        <v>25</v>
      </c>
      <c r="E62" s="462">
        <v>25.260999999999999</v>
      </c>
      <c r="F62" s="180">
        <f t="shared" si="0"/>
        <v>46</v>
      </c>
      <c r="G62"/>
      <c r="H62" s="33"/>
      <c r="T62" s="2"/>
    </row>
    <row r="63" spans="1:20">
      <c r="A63" s="177" t="str">
        <f>"IC"&amp;COVER!C$15&amp;COVER!C$23&amp;"-"&amp;COVER!C$22&amp;F63</f>
        <v>IC13C241218-1047</v>
      </c>
      <c r="B63" s="178" t="s">
        <v>201</v>
      </c>
      <c r="C63" s="182" t="str">
        <f>IF('Investigator Data'!B36="","",'Investigator Data'!B36)</f>
        <v xml:space="preserve">20240407_S2_F </v>
      </c>
      <c r="D63" s="303">
        <f>IF('Investigator Data'!C36="",$D$8,'Investigator Data'!C36)</f>
        <v>25</v>
      </c>
      <c r="E63" s="462">
        <v>24.553999999999998</v>
      </c>
      <c r="F63" s="180">
        <f t="shared" si="0"/>
        <v>47</v>
      </c>
      <c r="G63"/>
      <c r="H63" s="33"/>
      <c r="T63" s="2"/>
    </row>
    <row r="64" spans="1:20">
      <c r="A64" s="177" t="str">
        <f>"IC"&amp;COVER!C$15&amp;COVER!C$23&amp;"-"&amp;COVER!C$22&amp;F64</f>
        <v>IC13C241218-1048</v>
      </c>
      <c r="B64" s="178" t="s">
        <v>202</v>
      </c>
      <c r="C64" s="182" t="str">
        <f>IF('Investigator Data'!B37="","",'Investigator Data'!B37)</f>
        <v xml:space="preserve">20240407_S2_G </v>
      </c>
      <c r="D64" s="303">
        <f>IF('Investigator Data'!C37="",$D$8,'Investigator Data'!C37)</f>
        <v>25</v>
      </c>
      <c r="E64" s="462">
        <v>24.314</v>
      </c>
      <c r="F64" s="180">
        <f t="shared" si="0"/>
        <v>48</v>
      </c>
      <c r="G64"/>
      <c r="H64" s="33"/>
      <c r="T64" s="2"/>
    </row>
    <row r="65" spans="1:20">
      <c r="A65" s="177" t="str">
        <f>"IC"&amp;COVER!C$15&amp;COVER!C$23&amp;"-"&amp;COVER!C$22&amp;F65</f>
        <v>IC13C241218-1049</v>
      </c>
      <c r="B65" s="178" t="s">
        <v>13</v>
      </c>
      <c r="C65" s="182" t="str">
        <f>IF('Investigator Data'!B38="","",'Investigator Data'!B38)</f>
        <v>20240407_S2_H</v>
      </c>
      <c r="D65" s="303">
        <f>IF('Investigator Data'!C38="",$D$8,'Investigator Data'!C38)</f>
        <v>25</v>
      </c>
      <c r="E65" s="462">
        <v>24.675000000000001</v>
      </c>
      <c r="F65" s="180">
        <f t="shared" si="0"/>
        <v>49</v>
      </c>
      <c r="G65"/>
      <c r="H65" s="33"/>
      <c r="T65" s="2"/>
    </row>
    <row r="66" spans="1:20">
      <c r="A66" s="177" t="str">
        <f>"IC"&amp;COVER!C$15&amp;COVER!C$23&amp;"-"&amp;COVER!C$22&amp;F66</f>
        <v>IC13C241218-1050</v>
      </c>
      <c r="B66" s="178" t="s">
        <v>167</v>
      </c>
      <c r="C66" s="182" t="str">
        <f>IF('Investigator Data'!B39="","",'Investigator Data'!B39)</f>
        <v xml:space="preserve">20240407_S2_I </v>
      </c>
      <c r="D66" s="303">
        <f>IF('Investigator Data'!C39="",$D$8,'Investigator Data'!C39)</f>
        <v>25</v>
      </c>
      <c r="E66" s="462">
        <v>25.173999999999999</v>
      </c>
      <c r="F66" s="180">
        <f t="shared" si="0"/>
        <v>50</v>
      </c>
      <c r="G66"/>
      <c r="H66" s="33"/>
    </row>
    <row r="67" spans="1:20">
      <c r="A67" s="177" t="str">
        <f>"IC"&amp;COVER!C$15&amp;COVER!C$23&amp;"-"&amp;COVER!C$22&amp;F67</f>
        <v>IC13C241218-1051</v>
      </c>
      <c r="B67" s="178" t="s">
        <v>168</v>
      </c>
      <c r="C67" s="409" t="str">
        <f>IF('Investigator Data'!B4="","","R1-"&amp;'Investigator Data'!B4)</f>
        <v xml:space="preserve">R1-20231120_W1_H </v>
      </c>
      <c r="D67" s="303">
        <f>IF('Investigator Data'!C4="",$D$8,'Investigator Data'!C4)</f>
        <v>25</v>
      </c>
      <c r="E67" s="462">
        <v>24.794</v>
      </c>
      <c r="F67" s="180">
        <f t="shared" si="0"/>
        <v>51</v>
      </c>
      <c r="G67"/>
      <c r="H67" s="33"/>
    </row>
    <row r="68" spans="1:20">
      <c r="A68" s="177" t="str">
        <f>"IC"&amp;COVER!C$15&amp;COVER!C$23&amp;"-"&amp;COVER!C$22&amp;F68</f>
        <v>IC13C241218-1052</v>
      </c>
      <c r="B68" s="178" t="s">
        <v>169</v>
      </c>
      <c r="C68" s="179" t="s">
        <v>34</v>
      </c>
      <c r="D68" s="302"/>
      <c r="E68" s="462"/>
      <c r="F68" s="180">
        <f t="shared" si="0"/>
        <v>52</v>
      </c>
      <c r="G68"/>
      <c r="H68" s="33"/>
    </row>
    <row r="69" spans="1:20">
      <c r="A69" s="177" t="str">
        <f>"IC"&amp;COVER!C$15&amp;COVER!C$23&amp;"-"&amp;COVER!C$22&amp;F69</f>
        <v>IC13C241218-1053</v>
      </c>
      <c r="B69" s="178" t="s">
        <v>170</v>
      </c>
      <c r="C69" s="179" t="str">
        <f>$C$9</f>
        <v>ISIRF Ulva</v>
      </c>
      <c r="D69" s="302">
        <f>$D$9</f>
        <v>1.2</v>
      </c>
      <c r="E69" s="463">
        <v>1.284</v>
      </c>
      <c r="F69" s="180">
        <f t="shared" si="0"/>
        <v>53</v>
      </c>
      <c r="G69"/>
      <c r="H69" s="33"/>
    </row>
    <row r="70" spans="1:20">
      <c r="A70" s="177" t="str">
        <f>"IC"&amp;COVER!C$15&amp;COVER!C$23&amp;"-"&amp;COVER!C$22&amp;F70</f>
        <v>IC13C241218-1054</v>
      </c>
      <c r="B70" s="178" t="s">
        <v>171</v>
      </c>
      <c r="C70" s="179" t="str">
        <f>$C$10</f>
        <v>ISIRF Chitin</v>
      </c>
      <c r="D70" s="302">
        <f>$D$10</f>
        <v>1</v>
      </c>
      <c r="E70" s="463">
        <v>1.079</v>
      </c>
      <c r="F70" s="180">
        <f t="shared" si="0"/>
        <v>54</v>
      </c>
      <c r="G70"/>
      <c r="H70" s="33"/>
    </row>
    <row r="71" spans="1:20">
      <c r="A71" s="177" t="str">
        <f>"IC"&amp;COVER!C$15&amp;COVER!C$23&amp;"-"&amp;COVER!C$22&amp;F71</f>
        <v>IC13C241218-1055</v>
      </c>
      <c r="B71" s="178" t="s">
        <v>172</v>
      </c>
      <c r="C71" s="179" t="str">
        <f>$C$11</f>
        <v>ISIRF Bamboo</v>
      </c>
      <c r="D71" s="302">
        <f>$D$11</f>
        <v>1.5</v>
      </c>
      <c r="E71" s="462">
        <v>1.581</v>
      </c>
      <c r="F71" s="180">
        <f t="shared" si="0"/>
        <v>55</v>
      </c>
      <c r="G71"/>
      <c r="H71" s="33"/>
    </row>
    <row r="72" spans="1:20">
      <c r="A72" s="439" t="str">
        <f>"IC"&amp;COVER!C$15&amp;COVER!C$23&amp;"-"&amp;COVER!C$22&amp;F72</f>
        <v>IC13C241218-1056</v>
      </c>
      <c r="B72" s="440" t="s">
        <v>173</v>
      </c>
      <c r="C72" s="441" t="str">
        <f>C12</f>
        <v>NBS 1575 Pine Needles</v>
      </c>
      <c r="D72" s="442">
        <f>$D$12</f>
        <v>6.5</v>
      </c>
      <c r="E72" s="464">
        <v>6.8730000000000002</v>
      </c>
      <c r="F72" s="443">
        <f t="shared" si="0"/>
        <v>56</v>
      </c>
      <c r="G72"/>
      <c r="H72" s="33"/>
    </row>
    <row r="73" spans="1:20">
      <c r="B73" s="438"/>
    </row>
    <row r="74" spans="1:20">
      <c r="B74" s="438"/>
    </row>
    <row r="75" spans="1:20">
      <c r="B75" s="438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17:E18">
    <cfRule type="expression" dxfId="12" priority="3" stopIfTrue="1">
      <formula>C17=""</formula>
    </cfRule>
  </conditionalFormatting>
  <conditionalFormatting sqref="E23:E72">
    <cfRule type="expression" dxfId="11" priority="1" stopIfTrue="1">
      <formula>C23=""</formula>
    </cfRule>
  </conditionalFormatting>
  <pageMargins left="0.44" right="0.46" top="0.64" bottom="0.46" header="0.34" footer="0.45"/>
  <pageSetup scale="75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M4" sqref="M4"/>
    </sheetView>
  </sheetViews>
  <sheetFormatPr defaultColWidth="9.140625" defaultRowHeight="12.75"/>
  <cols>
    <col min="1" max="1" width="28.28515625" style="39" customWidth="1"/>
    <col min="2" max="2" width="14" style="2" customWidth="1"/>
    <col min="3" max="3" width="8.28515625" style="291" customWidth="1"/>
    <col min="4" max="4" width="7.85546875" style="2" customWidth="1"/>
    <col min="5" max="5" width="12.28515625" style="291" customWidth="1"/>
    <col min="6" max="6" width="7.5703125" style="2" customWidth="1"/>
    <col min="7" max="7" width="10.5703125" style="291" customWidth="1"/>
    <col min="8" max="9" width="7.5703125" style="291" customWidth="1"/>
    <col min="10" max="10" width="6.28515625" style="42" customWidth="1"/>
    <col min="11" max="11" width="6.5703125" style="42" bestFit="1" customWidth="1"/>
    <col min="12" max="12" width="9.7109375" style="42" customWidth="1"/>
    <col min="13" max="13" width="6.7109375" style="296" customWidth="1"/>
    <col min="14" max="14" width="7.85546875" style="297" customWidth="1"/>
    <col min="15" max="15" width="10.5703125" style="183" bestFit="1" customWidth="1"/>
    <col min="16" max="16" width="6.7109375" style="296" customWidth="1"/>
    <col min="17" max="17" width="7.85546875" style="297" customWidth="1"/>
    <col min="18" max="18" width="10.5703125" style="183" bestFit="1" customWidth="1"/>
    <col min="19" max="19" width="12.28515625" style="2" bestFit="1" customWidth="1"/>
    <col min="20" max="20" width="40.42578125" customWidth="1"/>
    <col min="21" max="16384" width="9.140625" style="2"/>
  </cols>
  <sheetData>
    <row r="1" spans="1:21" ht="13.5" thickTop="1">
      <c r="A1" s="163" t="s">
        <v>35</v>
      </c>
      <c r="B1" s="281"/>
    </row>
    <row r="2" spans="1:21" ht="13.5" thickBot="1">
      <c r="A2" s="166" t="s">
        <v>8</v>
      </c>
      <c r="B2" s="577">
        <v>44278</v>
      </c>
    </row>
    <row r="3" spans="1:21" ht="13.5" thickBot="1">
      <c r="A3" s="166" t="s">
        <v>30</v>
      </c>
      <c r="B3" s="578" t="s">
        <v>462</v>
      </c>
      <c r="C3" s="369"/>
      <c r="D3" s="292" t="s">
        <v>10</v>
      </c>
      <c r="E3" s="20" t="str">
        <f>COVER!C2</f>
        <v>IC13C-241218-10KansasROARCarbon-3</v>
      </c>
      <c r="F3" s="295"/>
      <c r="G3" s="21"/>
      <c r="H3" s="444"/>
      <c r="I3" s="444"/>
      <c r="J3" s="291"/>
      <c r="M3" s="42"/>
      <c r="N3" s="296"/>
      <c r="O3" s="297"/>
      <c r="P3" s="42"/>
      <c r="Q3" s="296"/>
      <c r="R3" s="297"/>
      <c r="S3" s="183"/>
      <c r="T3" s="2"/>
      <c r="U3"/>
    </row>
    <row r="4" spans="1:21" ht="15.75" thickBot="1">
      <c r="A4" s="170" t="s">
        <v>7</v>
      </c>
      <c r="B4" s="579" t="s">
        <v>322</v>
      </c>
    </row>
    <row r="5" spans="1:21" s="484" customFormat="1" ht="44.25" customHeight="1" thickTop="1">
      <c r="A5" s="479" t="s">
        <v>128</v>
      </c>
      <c r="B5" s="480" t="s">
        <v>118</v>
      </c>
      <c r="C5" s="481" t="s">
        <v>109</v>
      </c>
      <c r="D5" s="482" t="s">
        <v>185</v>
      </c>
      <c r="E5" s="481" t="s">
        <v>110</v>
      </c>
      <c r="F5" s="482" t="s">
        <v>186</v>
      </c>
      <c r="G5" s="481" t="s">
        <v>111</v>
      </c>
      <c r="H5" s="481" t="s">
        <v>203</v>
      </c>
      <c r="I5" s="481" t="s">
        <v>204</v>
      </c>
      <c r="J5" s="298" t="s">
        <v>115</v>
      </c>
      <c r="K5" s="298" t="s">
        <v>116</v>
      </c>
      <c r="L5" s="43" t="s">
        <v>117</v>
      </c>
      <c r="M5" s="298" t="s">
        <v>112</v>
      </c>
      <c r="N5" s="298" t="s">
        <v>113</v>
      </c>
      <c r="O5" s="40" t="s">
        <v>114</v>
      </c>
      <c r="P5" s="298" t="s">
        <v>205</v>
      </c>
      <c r="Q5" s="298" t="s">
        <v>206</v>
      </c>
      <c r="R5" s="40" t="s">
        <v>207</v>
      </c>
      <c r="S5" s="483" t="s">
        <v>9</v>
      </c>
      <c r="T5" s="477" t="s">
        <v>212</v>
      </c>
    </row>
    <row r="6" spans="1:21">
      <c r="A6" s="286" t="str">
        <f>'Weigh Sheet'!C17</f>
        <v>blank</v>
      </c>
      <c r="B6" s="287">
        <v>7</v>
      </c>
      <c r="C6" s="293">
        <v>37.5</v>
      </c>
      <c r="D6" s="293">
        <v>7.3872257812499995E-2</v>
      </c>
      <c r="E6" s="466">
        <v>1698372</v>
      </c>
      <c r="F6" s="293">
        <v>0</v>
      </c>
      <c r="G6" s="466">
        <v>0</v>
      </c>
      <c r="H6" s="293"/>
      <c r="I6" s="293"/>
      <c r="J6" s="288">
        <v>9.9202038661634767E-2</v>
      </c>
      <c r="K6" s="288">
        <v>-1.3950238583730437</v>
      </c>
      <c r="L6" s="289">
        <v>-1.671632952838199</v>
      </c>
      <c r="M6" s="288">
        <v>0</v>
      </c>
      <c r="N6" s="288">
        <v>0.14078431014224918</v>
      </c>
      <c r="O6" s="289">
        <v>-0.31926822054419579</v>
      </c>
      <c r="P6" s="288"/>
      <c r="Q6" s="288"/>
      <c r="R6" s="289"/>
      <c r="S6" s="504">
        <v>45740.687256944446</v>
      </c>
      <c r="T6" s="478" t="s">
        <v>405</v>
      </c>
    </row>
    <row r="7" spans="1:21">
      <c r="A7" s="286" t="str">
        <f>'Weigh Sheet'!C18</f>
        <v>blank</v>
      </c>
      <c r="B7" s="287">
        <v>8</v>
      </c>
      <c r="C7" s="293">
        <v>37.5</v>
      </c>
      <c r="D7" s="294">
        <v>1.5689168945312498E-2</v>
      </c>
      <c r="E7" s="466">
        <v>368016</v>
      </c>
      <c r="F7" s="293">
        <v>0</v>
      </c>
      <c r="G7" s="466">
        <v>0</v>
      </c>
      <c r="H7" s="293"/>
      <c r="I7" s="293"/>
      <c r="J7" s="288">
        <v>9.4538241809556639E-2</v>
      </c>
      <c r="K7" s="288">
        <v>-14.308157176418293</v>
      </c>
      <c r="L7" s="289">
        <v>-14.166269783502702</v>
      </c>
      <c r="M7" s="288">
        <v>0</v>
      </c>
      <c r="N7" s="288">
        <v>0.1187204298755492</v>
      </c>
      <c r="O7" s="289">
        <v>-0.34156758259328435</v>
      </c>
      <c r="P7" s="288"/>
      <c r="Q7" s="288"/>
      <c r="R7" s="289"/>
      <c r="S7" s="504">
        <v>45740.695185185185</v>
      </c>
      <c r="T7" s="478" t="s">
        <v>406</v>
      </c>
    </row>
    <row r="8" spans="1:21">
      <c r="A8" s="286" t="str">
        <f>'Weigh Sheet'!C19</f>
        <v>ISIRF Ulva</v>
      </c>
      <c r="B8" s="287">
        <v>9</v>
      </c>
      <c r="C8" s="293">
        <v>1.2030000000000001</v>
      </c>
      <c r="D8" s="294">
        <v>4.4609385000000001</v>
      </c>
      <c r="E8" s="466">
        <v>71002552</v>
      </c>
      <c r="F8" s="293">
        <v>5.5944675000000004</v>
      </c>
      <c r="G8" s="466">
        <v>56886720</v>
      </c>
      <c r="H8" s="293"/>
      <c r="I8" s="293"/>
      <c r="J8" s="288">
        <v>4.1283298926278027</v>
      </c>
      <c r="K8" s="288">
        <v>8.0850502154859836</v>
      </c>
      <c r="L8" s="289">
        <v>7.5012052548445585</v>
      </c>
      <c r="M8" s="288">
        <v>32.893523237700002</v>
      </c>
      <c r="N8" s="288">
        <v>-12.198083914820161</v>
      </c>
      <c r="O8" s="289">
        <v>-12.789825824126789</v>
      </c>
      <c r="P8" s="288"/>
      <c r="Q8" s="288"/>
      <c r="R8" s="289"/>
      <c r="S8" s="504">
        <v>45740.703055555554</v>
      </c>
      <c r="T8" s="478" t="s">
        <v>407</v>
      </c>
    </row>
    <row r="9" spans="1:21">
      <c r="A9" s="286" t="str">
        <f>'Weigh Sheet'!C20</f>
        <v>ISIRF Chitin</v>
      </c>
      <c r="B9" s="287">
        <v>10</v>
      </c>
      <c r="C9" s="293">
        <v>0.96299999999999997</v>
      </c>
      <c r="D9" s="294">
        <v>5.6857765000000002</v>
      </c>
      <c r="E9" s="466">
        <v>89403248</v>
      </c>
      <c r="F9" s="293">
        <v>6.1318929999999998</v>
      </c>
      <c r="G9" s="466">
        <v>62863428</v>
      </c>
      <c r="H9" s="293"/>
      <c r="I9" s="293"/>
      <c r="J9" s="290">
        <v>6.4136891345705234</v>
      </c>
      <c r="K9" s="290">
        <v>-4.7520801028565165</v>
      </c>
      <c r="L9" s="289">
        <v>-4.9198917264326614</v>
      </c>
      <c r="M9" s="288">
        <v>45.407267656199998</v>
      </c>
      <c r="N9" s="290">
        <v>-20.645406555787673</v>
      </c>
      <c r="O9" s="289">
        <v>-21.327304438017549</v>
      </c>
      <c r="P9" s="288"/>
      <c r="Q9" s="290"/>
      <c r="R9" s="289"/>
      <c r="S9" s="504">
        <v>45740.710995370369</v>
      </c>
      <c r="T9" s="478" t="s">
        <v>408</v>
      </c>
    </row>
    <row r="10" spans="1:21">
      <c r="A10" s="286" t="str">
        <f>'Weigh Sheet'!C21</f>
        <v>ISIRF Bamboo</v>
      </c>
      <c r="B10" s="287">
        <v>11</v>
      </c>
      <c r="C10" s="294">
        <v>1.446</v>
      </c>
      <c r="D10" s="294">
        <v>3.8349592499999998</v>
      </c>
      <c r="E10" s="466">
        <v>61901156</v>
      </c>
      <c r="F10" s="293">
        <v>8.7918950000000002</v>
      </c>
      <c r="G10" s="466">
        <v>92055536</v>
      </c>
      <c r="H10" s="293"/>
      <c r="I10" s="293"/>
      <c r="J10" s="290">
        <v>3.0516231983706525</v>
      </c>
      <c r="K10" s="290">
        <v>2.3249376478111228</v>
      </c>
      <c r="L10" s="289">
        <v>1.9277698333833886</v>
      </c>
      <c r="M10" s="288">
        <v>44.225858600999999</v>
      </c>
      <c r="N10" s="290">
        <v>-29.626780762237033</v>
      </c>
      <c r="O10" s="289">
        <v>-30.40453440423666</v>
      </c>
      <c r="P10" s="288"/>
      <c r="Q10" s="290"/>
      <c r="R10" s="289"/>
      <c r="S10" s="504">
        <v>45740.718888888892</v>
      </c>
      <c r="T10" s="478" t="s">
        <v>409</v>
      </c>
    </row>
    <row r="11" spans="1:21">
      <c r="A11" s="286" t="str">
        <f>'Weigh Sheet'!C22</f>
        <v>NBS 1575 Pine Needles</v>
      </c>
      <c r="B11" s="287">
        <v>12</v>
      </c>
      <c r="C11" s="294">
        <v>6.7919999999999998</v>
      </c>
      <c r="D11" s="294">
        <v>6.4396345000000004</v>
      </c>
      <c r="E11" s="466">
        <v>112044144</v>
      </c>
      <c r="F11" s="293">
        <v>34.312516000000002</v>
      </c>
      <c r="G11" s="466">
        <v>500603232</v>
      </c>
      <c r="H11" s="293"/>
      <c r="I11" s="293"/>
      <c r="J11" s="290">
        <v>1.2213562654094712</v>
      </c>
      <c r="K11" s="290">
        <v>0.95404777602731028</v>
      </c>
      <c r="L11" s="289">
        <v>0.60130857406698113</v>
      </c>
      <c r="M11" s="288">
        <v>51.5452910538</v>
      </c>
      <c r="N11" s="290">
        <v>-25.088586987567044</v>
      </c>
      <c r="O11" s="289">
        <v>-25.817905723921502</v>
      </c>
      <c r="P11" s="288"/>
      <c r="Q11" s="290"/>
      <c r="R11" s="289"/>
      <c r="S11" s="504">
        <v>45740.726782407408</v>
      </c>
      <c r="T11" s="478" t="s">
        <v>410</v>
      </c>
    </row>
    <row r="12" spans="1:21">
      <c r="A12" s="286" t="str">
        <f>'Weigh Sheet'!C23</f>
        <v xml:space="preserve">R1-20231120_W1_H </v>
      </c>
      <c r="B12" s="287">
        <v>13</v>
      </c>
      <c r="C12" s="294">
        <v>24.273</v>
      </c>
      <c r="D12" s="294">
        <v>2.58732425</v>
      </c>
      <c r="E12" s="466">
        <v>49507624</v>
      </c>
      <c r="F12" s="293">
        <v>4.526065</v>
      </c>
      <c r="G12" s="466">
        <v>47949100</v>
      </c>
      <c r="H12" s="293"/>
      <c r="I12" s="293"/>
      <c r="J12" s="290">
        <v>0.23819339815846252</v>
      </c>
      <c r="K12" s="290">
        <v>6.401908507116941</v>
      </c>
      <c r="L12" s="289">
        <v>5.8726118017569924</v>
      </c>
      <c r="M12" s="288">
        <v>1.3821211547999999</v>
      </c>
      <c r="N12" s="290">
        <v>-16.785134992095237</v>
      </c>
      <c r="O12" s="289">
        <v>-17.425833247725699</v>
      </c>
      <c r="P12" s="288"/>
      <c r="Q12" s="290"/>
      <c r="R12" s="289"/>
      <c r="S12" s="504">
        <v>45740.734699074077</v>
      </c>
      <c r="T12" s="478" t="s">
        <v>411</v>
      </c>
    </row>
    <row r="13" spans="1:21">
      <c r="A13" s="286" t="str">
        <f>'Weigh Sheet'!C24</f>
        <v xml:space="preserve">20240407_E1_A </v>
      </c>
      <c r="B13" s="287">
        <v>14</v>
      </c>
      <c r="C13" s="294">
        <v>24.242000000000001</v>
      </c>
      <c r="D13" s="294">
        <v>2.64964025</v>
      </c>
      <c r="E13" s="466">
        <v>49481328</v>
      </c>
      <c r="F13" s="293">
        <v>4.8292000000000002</v>
      </c>
      <c r="G13" s="466">
        <v>50602072</v>
      </c>
      <c r="H13" s="293"/>
      <c r="I13" s="293"/>
      <c r="J13" s="290">
        <v>0.24384169063036545</v>
      </c>
      <c r="K13" s="290">
        <v>6.2474182594398115</v>
      </c>
      <c r="L13" s="289">
        <v>5.7231283657029657</v>
      </c>
      <c r="M13" s="288">
        <v>1.4578362515999999</v>
      </c>
      <c r="N13" s="290">
        <v>-17.981399550602845</v>
      </c>
      <c r="O13" s="289">
        <v>-18.63486521192263</v>
      </c>
      <c r="P13" s="288"/>
      <c r="Q13" s="290"/>
      <c r="R13" s="289"/>
      <c r="S13" s="504">
        <v>45740.742592592593</v>
      </c>
      <c r="T13" s="478" t="s">
        <v>412</v>
      </c>
    </row>
    <row r="14" spans="1:21">
      <c r="A14" s="286" t="str">
        <f>'Weigh Sheet'!C25</f>
        <v xml:space="preserve">20240407_E1_B </v>
      </c>
      <c r="B14" s="287">
        <v>15</v>
      </c>
      <c r="C14" s="294">
        <v>25.013999999999999</v>
      </c>
      <c r="D14" s="294">
        <v>2.2771167499999998</v>
      </c>
      <c r="E14" s="466">
        <v>43382128</v>
      </c>
      <c r="F14" s="293">
        <v>4.0157154999999998</v>
      </c>
      <c r="G14" s="466">
        <v>42491452</v>
      </c>
      <c r="H14" s="293"/>
      <c r="I14" s="293"/>
      <c r="J14" s="290">
        <v>0.22203126173300564</v>
      </c>
      <c r="K14" s="290">
        <v>6.6579454425275095</v>
      </c>
      <c r="L14" s="289">
        <v>6.1203509402293594</v>
      </c>
      <c r="M14" s="288">
        <v>1.1877115418999999</v>
      </c>
      <c r="N14" s="290">
        <v>-18.323430433324248</v>
      </c>
      <c r="O14" s="289">
        <v>-18.9805464970629</v>
      </c>
      <c r="P14" s="288"/>
      <c r="Q14" s="290"/>
      <c r="R14" s="289"/>
      <c r="S14" s="504">
        <v>45740.750451388885</v>
      </c>
      <c r="T14" s="478" t="s">
        <v>413</v>
      </c>
    </row>
    <row r="15" spans="1:21">
      <c r="A15" s="286" t="str">
        <f>'Weigh Sheet'!C26</f>
        <v xml:space="preserve">20240407_E1_C </v>
      </c>
      <c r="B15" s="287">
        <v>16</v>
      </c>
      <c r="C15" s="294">
        <v>26.885000000000002</v>
      </c>
      <c r="D15" s="294">
        <v>2.1384979999999998</v>
      </c>
      <c r="E15" s="466">
        <v>40126776</v>
      </c>
      <c r="F15" s="293">
        <v>3.9645937500000001</v>
      </c>
      <c r="G15" s="466">
        <v>41831892</v>
      </c>
      <c r="H15" s="293"/>
      <c r="I15" s="293"/>
      <c r="J15" s="290">
        <v>0.20219819563668845</v>
      </c>
      <c r="K15" s="290">
        <v>7.5913463871441564</v>
      </c>
      <c r="L15" s="289">
        <v>7.0235016731414586</v>
      </c>
      <c r="M15" s="288">
        <v>1.0882062026999999</v>
      </c>
      <c r="N15" s="290">
        <v>-17.282798866836842</v>
      </c>
      <c r="O15" s="289">
        <v>-17.928808553405016</v>
      </c>
      <c r="P15" s="288"/>
      <c r="Q15" s="290"/>
      <c r="R15" s="289"/>
      <c r="S15" s="504">
        <v>45740.758321759262</v>
      </c>
      <c r="T15" s="478" t="s">
        <v>414</v>
      </c>
    </row>
    <row r="16" spans="1:21">
      <c r="A16" s="286" t="str">
        <f>'Weigh Sheet'!C27</f>
        <v xml:space="preserve">20240407_E1_D </v>
      </c>
      <c r="B16" s="287">
        <v>17</v>
      </c>
      <c r="C16" s="294">
        <v>26.484000000000002</v>
      </c>
      <c r="D16" s="294">
        <v>1.8330493750000001</v>
      </c>
      <c r="E16" s="466">
        <v>35081264</v>
      </c>
      <c r="F16" s="293">
        <v>3.1928679999999998</v>
      </c>
      <c r="G16" s="466">
        <v>33109652</v>
      </c>
      <c r="H16" s="293"/>
      <c r="I16" s="293"/>
      <c r="J16" s="290">
        <v>0.19269479914327781</v>
      </c>
      <c r="K16" s="290">
        <v>5.6833458762760731</v>
      </c>
      <c r="L16" s="289">
        <v>5.1773367750601729</v>
      </c>
      <c r="M16" s="288">
        <v>0.87695937749999997</v>
      </c>
      <c r="N16" s="290">
        <v>-18.705658261649106</v>
      </c>
      <c r="O16" s="289">
        <v>-19.366853738854676</v>
      </c>
      <c r="P16" s="288"/>
      <c r="Q16" s="290"/>
      <c r="R16" s="289"/>
      <c r="S16" s="504">
        <v>45740.766192129631</v>
      </c>
      <c r="T16" s="478" t="s">
        <v>415</v>
      </c>
    </row>
    <row r="17" spans="1:20">
      <c r="A17" s="286" t="str">
        <f>'Weigh Sheet'!C28</f>
        <v xml:space="preserve">20240407_E1_E </v>
      </c>
      <c r="B17" s="287">
        <v>18</v>
      </c>
      <c r="C17" s="294">
        <v>24.553000000000001</v>
      </c>
      <c r="D17" s="294">
        <v>2.2640015</v>
      </c>
      <c r="E17" s="466">
        <v>42677968</v>
      </c>
      <c r="F17" s="293">
        <v>4.3259935</v>
      </c>
      <c r="G17" s="466">
        <v>44885780</v>
      </c>
      <c r="H17" s="293"/>
      <c r="I17" s="293"/>
      <c r="J17" s="290">
        <v>0.21679652439392028</v>
      </c>
      <c r="K17" s="290">
        <v>7.2211422954156923</v>
      </c>
      <c r="L17" s="289">
        <v>6.6652953753013158</v>
      </c>
      <c r="M17" s="288">
        <v>1.2789840782999999</v>
      </c>
      <c r="N17" s="290">
        <v>-17.537518894569175</v>
      </c>
      <c r="O17" s="289">
        <v>-18.186247138590318</v>
      </c>
      <c r="P17" s="288"/>
      <c r="Q17" s="290"/>
      <c r="R17" s="289"/>
      <c r="S17" s="504">
        <v>45740.774062500001</v>
      </c>
      <c r="T17" s="478" t="s">
        <v>416</v>
      </c>
    </row>
    <row r="18" spans="1:20">
      <c r="A18" s="286" t="str">
        <f>'Weigh Sheet'!C29</f>
        <v xml:space="preserve">20240407_E1_F </v>
      </c>
      <c r="B18" s="287">
        <v>19</v>
      </c>
      <c r="C18" s="294">
        <v>24.684999999999999</v>
      </c>
      <c r="D18" s="294">
        <v>2.0620158750000002</v>
      </c>
      <c r="E18" s="466">
        <v>39229976</v>
      </c>
      <c r="F18" s="293">
        <v>3.6014442500000001</v>
      </c>
      <c r="G18" s="466">
        <v>36535620</v>
      </c>
      <c r="H18" s="293"/>
      <c r="I18" s="293"/>
      <c r="J18" s="290">
        <v>0.20904362138780008</v>
      </c>
      <c r="K18" s="290">
        <v>6.4419440495472964</v>
      </c>
      <c r="L18" s="289">
        <v>5.9113498485706888</v>
      </c>
      <c r="M18" s="288">
        <v>1.0395340652999998</v>
      </c>
      <c r="N18" s="290">
        <v>-17.043701071166314</v>
      </c>
      <c r="O18" s="289">
        <v>-17.687158932107756</v>
      </c>
      <c r="P18" s="288"/>
      <c r="Q18" s="290"/>
      <c r="R18" s="289"/>
      <c r="S18" s="504">
        <v>45740.782094907408</v>
      </c>
      <c r="T18" s="478" t="s">
        <v>417</v>
      </c>
    </row>
    <row r="19" spans="1:20">
      <c r="A19" s="286" t="str">
        <f>'Weigh Sheet'!C30</f>
        <v xml:space="preserve">20240407_E1_G </v>
      </c>
      <c r="B19" s="287">
        <v>20</v>
      </c>
      <c r="C19" s="294">
        <v>24.501000000000001</v>
      </c>
      <c r="D19" s="294">
        <v>1.7126749999999999</v>
      </c>
      <c r="E19" s="466">
        <v>33161104</v>
      </c>
      <c r="F19" s="293">
        <v>3.2056752500000001</v>
      </c>
      <c r="G19" s="466">
        <v>32311924</v>
      </c>
      <c r="H19" s="293"/>
      <c r="I19" s="293"/>
      <c r="J19" s="290">
        <v>0.19180322785491605</v>
      </c>
      <c r="K19" s="290">
        <v>6.9396239299345481</v>
      </c>
      <c r="L19" s="289">
        <v>6.3929006240650885</v>
      </c>
      <c r="M19" s="288">
        <v>0.92634414719999991</v>
      </c>
      <c r="N19" s="290">
        <v>-18.165556023467477</v>
      </c>
      <c r="O19" s="289">
        <v>-18.820987136645432</v>
      </c>
      <c r="P19" s="288"/>
      <c r="Q19" s="290"/>
      <c r="R19" s="289"/>
      <c r="S19" s="504">
        <v>45740.789965277778</v>
      </c>
      <c r="T19" s="478" t="s">
        <v>418</v>
      </c>
    </row>
    <row r="20" spans="1:20">
      <c r="A20" s="286" t="str">
        <f>'Weigh Sheet'!C31</f>
        <v xml:space="preserve">20240407_E1_H </v>
      </c>
      <c r="B20" s="287">
        <v>21</v>
      </c>
      <c r="C20" s="294">
        <v>26.34</v>
      </c>
      <c r="D20" s="294">
        <v>1.9701850000000001</v>
      </c>
      <c r="E20" s="466">
        <v>35647696</v>
      </c>
      <c r="F20" s="293">
        <v>3.5933285000000001</v>
      </c>
      <c r="G20" s="466">
        <v>36713016</v>
      </c>
      <c r="H20" s="293"/>
      <c r="I20" s="293"/>
      <c r="J20" s="290">
        <v>0.19174211545674666</v>
      </c>
      <c r="K20" s="290">
        <v>6.2101873577598665</v>
      </c>
      <c r="L20" s="289">
        <v>5.6871040651779321</v>
      </c>
      <c r="M20" s="288">
        <v>0.97958491559999983</v>
      </c>
      <c r="N20" s="290">
        <v>-19.26410467388871</v>
      </c>
      <c r="O20" s="289">
        <v>-19.931260297493424</v>
      </c>
      <c r="P20" s="288"/>
      <c r="Q20" s="290"/>
      <c r="R20" s="289"/>
      <c r="S20" s="504">
        <v>45740.797812500001</v>
      </c>
      <c r="T20" s="478" t="s">
        <v>419</v>
      </c>
    </row>
    <row r="21" spans="1:20">
      <c r="A21" s="286" t="str">
        <f>'Weigh Sheet'!C32</f>
        <v>ISIRF Ulva</v>
      </c>
      <c r="B21" s="287">
        <v>22</v>
      </c>
      <c r="C21" s="293">
        <v>1.163</v>
      </c>
      <c r="D21" s="294">
        <v>4.3527874999999998</v>
      </c>
      <c r="E21" s="466">
        <v>68136512</v>
      </c>
      <c r="F21" s="293">
        <v>5.2944794999999996</v>
      </c>
      <c r="G21" s="466">
        <v>54060448</v>
      </c>
      <c r="H21" s="293"/>
      <c r="I21" s="293"/>
      <c r="J21" s="290">
        <v>4.0754844113340614</v>
      </c>
      <c r="K21" s="290">
        <v>8.2474600126982587</v>
      </c>
      <c r="L21" s="289">
        <v>7.6583515789728391</v>
      </c>
      <c r="M21" s="288">
        <v>32.6716221426</v>
      </c>
      <c r="N21" s="290">
        <v>-12.336533107161454</v>
      </c>
      <c r="O21" s="289">
        <v>-12.929752646974988</v>
      </c>
      <c r="P21" s="288"/>
      <c r="Q21" s="290"/>
      <c r="R21" s="289"/>
      <c r="S21" s="504">
        <v>45740.805625000001</v>
      </c>
      <c r="T21" s="478" t="s">
        <v>420</v>
      </c>
    </row>
    <row r="22" spans="1:20">
      <c r="A22" s="286" t="str">
        <f>'Weigh Sheet'!C33</f>
        <v xml:space="preserve">20240407_E1_I </v>
      </c>
      <c r="B22" s="287">
        <v>23</v>
      </c>
      <c r="C22" s="294">
        <v>25.861999999999998</v>
      </c>
      <c r="D22" s="294">
        <v>2.2893802499999998</v>
      </c>
      <c r="E22" s="466">
        <v>42152320</v>
      </c>
      <c r="F22" s="293">
        <v>3.7967517499999999</v>
      </c>
      <c r="G22" s="466">
        <v>38944652</v>
      </c>
      <c r="H22" s="293"/>
      <c r="I22" s="293"/>
      <c r="J22" s="290">
        <v>0.21000635094800291</v>
      </c>
      <c r="K22" s="290">
        <v>6.3412608783767173</v>
      </c>
      <c r="L22" s="289">
        <v>5.8139296773580185</v>
      </c>
      <c r="M22" s="288">
        <v>1.0576649508</v>
      </c>
      <c r="N22" s="290">
        <v>-16.276751554337867</v>
      </c>
      <c r="O22" s="289">
        <v>-16.912023972055284</v>
      </c>
      <c r="P22" s="288"/>
      <c r="Q22" s="290"/>
      <c r="R22" s="289"/>
      <c r="S22" s="504">
        <v>45740.813460648147</v>
      </c>
      <c r="T22" s="478" t="s">
        <v>421</v>
      </c>
    </row>
    <row r="23" spans="1:20">
      <c r="A23" s="286" t="str">
        <f>'Weigh Sheet'!C34</f>
        <v>20240407_E2_A</v>
      </c>
      <c r="B23" s="287">
        <v>24</v>
      </c>
      <c r="C23" s="294">
        <v>25.869</v>
      </c>
      <c r="D23" s="294">
        <v>2.2955760000000001</v>
      </c>
      <c r="E23" s="466">
        <v>42816560</v>
      </c>
      <c r="F23" s="293">
        <v>3.5455087500000002</v>
      </c>
      <c r="G23" s="466">
        <v>35701812</v>
      </c>
      <c r="H23" s="293"/>
      <c r="I23" s="293"/>
      <c r="J23" s="290">
        <v>0.21043162626677075</v>
      </c>
      <c r="K23" s="290">
        <v>6.8862059849060895</v>
      </c>
      <c r="L23" s="289">
        <v>6.3412138794979676</v>
      </c>
      <c r="M23" s="288">
        <v>0.97146887700000006</v>
      </c>
      <c r="N23" s="290">
        <v>-14.645788107941224</v>
      </c>
      <c r="O23" s="289">
        <v>-15.263653697180345</v>
      </c>
      <c r="P23" s="288"/>
      <c r="Q23" s="290"/>
      <c r="R23" s="289"/>
      <c r="S23" s="504">
        <v>45740.821284722224</v>
      </c>
      <c r="T23" s="478" t="s">
        <v>422</v>
      </c>
    </row>
    <row r="24" spans="1:20">
      <c r="A24" s="286" t="str">
        <f>'Weigh Sheet'!C35</f>
        <v xml:space="preserve">20240407_E2_B </v>
      </c>
      <c r="B24" s="287">
        <v>25</v>
      </c>
      <c r="C24" s="294">
        <v>24.585000000000001</v>
      </c>
      <c r="D24" s="294">
        <v>0.90863143749999997</v>
      </c>
      <c r="E24" s="466">
        <v>18608472</v>
      </c>
      <c r="F24" s="293">
        <v>2.45550625</v>
      </c>
      <c r="G24" s="466">
        <v>24223492</v>
      </c>
      <c r="H24" s="293"/>
      <c r="I24" s="293"/>
      <c r="J24" s="290">
        <v>0.15152513452444846</v>
      </c>
      <c r="K24" s="290">
        <v>5.8836214096301038</v>
      </c>
      <c r="L24" s="289">
        <v>5.3711216600833431</v>
      </c>
      <c r="M24" s="288">
        <v>0.6967449551999999</v>
      </c>
      <c r="N24" s="290">
        <v>-9.4536024895568076</v>
      </c>
      <c r="O24" s="289">
        <v>-10.01605329639454</v>
      </c>
      <c r="P24" s="288"/>
      <c r="Q24" s="290"/>
      <c r="R24" s="289"/>
      <c r="S24" s="504">
        <v>45740.829108796293</v>
      </c>
      <c r="T24" s="478" t="s">
        <v>423</v>
      </c>
    </row>
    <row r="25" spans="1:20">
      <c r="A25" s="286" t="str">
        <f>'Weigh Sheet'!C36</f>
        <v xml:space="preserve">20240407_E2_C </v>
      </c>
      <c r="B25" s="287">
        <v>26</v>
      </c>
      <c r="C25" s="294">
        <v>25.414999999999999</v>
      </c>
      <c r="D25" s="294">
        <v>4.2348084999999998</v>
      </c>
      <c r="E25" s="466">
        <v>77953920</v>
      </c>
      <c r="F25" s="293">
        <v>7.8467019999999996</v>
      </c>
      <c r="G25" s="466">
        <v>85908832</v>
      </c>
      <c r="H25" s="293"/>
      <c r="I25" s="293"/>
      <c r="J25" s="290">
        <v>0.30895485798950828</v>
      </c>
      <c r="K25" s="290">
        <v>7.2066500395550381</v>
      </c>
      <c r="L25" s="289">
        <v>6.6512727930684736</v>
      </c>
      <c r="M25" s="288">
        <v>2.3777769017999999</v>
      </c>
      <c r="N25" s="290">
        <v>-15.46612733242215</v>
      </c>
      <c r="O25" s="289">
        <v>-16.092748178688097</v>
      </c>
      <c r="P25" s="288"/>
      <c r="Q25" s="290"/>
      <c r="R25" s="289"/>
      <c r="S25" s="504">
        <v>45740.836967592593</v>
      </c>
      <c r="T25" s="478" t="s">
        <v>424</v>
      </c>
    </row>
    <row r="26" spans="1:20">
      <c r="A26" s="286" t="str">
        <f>'Weigh Sheet'!C37</f>
        <v xml:space="preserve">R2-20240407_E2_D </v>
      </c>
      <c r="B26" s="287">
        <v>27</v>
      </c>
      <c r="C26" s="294">
        <v>25.872</v>
      </c>
      <c r="D26" s="294">
        <v>5.0344094999999998</v>
      </c>
      <c r="E26" s="466">
        <v>89538640</v>
      </c>
      <c r="F26" s="293">
        <v>9.3432750000000002</v>
      </c>
      <c r="G26" s="466">
        <v>103975560</v>
      </c>
      <c r="H26" s="293"/>
      <c r="I26" s="293"/>
      <c r="J26" s="290">
        <v>0.3406320091447379</v>
      </c>
      <c r="K26" s="290">
        <v>7.8042355058420236</v>
      </c>
      <c r="L26" s="289">
        <v>7.2294913549495856</v>
      </c>
      <c r="M26" s="288">
        <v>2.8175340465000001</v>
      </c>
      <c r="N26" s="290">
        <v>-16.340737171374474</v>
      </c>
      <c r="O26" s="289">
        <v>-16.976692490148498</v>
      </c>
      <c r="P26" s="288"/>
      <c r="Q26" s="290"/>
      <c r="R26" s="289"/>
      <c r="S26" s="504">
        <v>45740.844849537039</v>
      </c>
      <c r="T26" s="478" t="s">
        <v>425</v>
      </c>
    </row>
    <row r="27" spans="1:20">
      <c r="A27" s="286" t="str">
        <f>'Weigh Sheet'!C38</f>
        <v xml:space="preserve">R2-20240407_E2_D </v>
      </c>
      <c r="B27" s="287">
        <v>28</v>
      </c>
      <c r="C27" s="294">
        <v>24.998000000000001</v>
      </c>
      <c r="D27" s="294">
        <v>4.1856524999999998</v>
      </c>
      <c r="E27" s="466">
        <v>78640416</v>
      </c>
      <c r="F27" s="293">
        <v>8.2111204999999998</v>
      </c>
      <c r="G27" s="466">
        <v>90484752</v>
      </c>
      <c r="H27" s="293"/>
      <c r="I27" s="293"/>
      <c r="J27" s="290">
        <v>0.3246306066980279</v>
      </c>
      <c r="K27" s="290">
        <v>8.0271101338954427</v>
      </c>
      <c r="L27" s="289">
        <v>7.44514292980055</v>
      </c>
      <c r="M27" s="288">
        <v>2.5340991446999999</v>
      </c>
      <c r="N27" s="290">
        <v>-16.223747617788725</v>
      </c>
      <c r="O27" s="289">
        <v>-16.858454338933221</v>
      </c>
      <c r="P27" s="288"/>
      <c r="Q27" s="290"/>
      <c r="R27" s="289"/>
      <c r="S27" s="504">
        <v>45740.852696759262</v>
      </c>
      <c r="T27" s="478" t="s">
        <v>426</v>
      </c>
    </row>
    <row r="28" spans="1:20">
      <c r="A28" s="286" t="str">
        <f>'Weigh Sheet'!C39</f>
        <v xml:space="preserve">20240407_E2_E </v>
      </c>
      <c r="B28" s="287">
        <v>29</v>
      </c>
      <c r="C28" s="294">
        <v>24.524000000000001</v>
      </c>
      <c r="D28" s="294">
        <v>3.4793254999999998</v>
      </c>
      <c r="E28" s="466">
        <v>59948636</v>
      </c>
      <c r="F28" s="293">
        <v>6.3486475000000002</v>
      </c>
      <c r="G28" s="466">
        <v>69943488</v>
      </c>
      <c r="H28" s="293"/>
      <c r="I28" s="293"/>
      <c r="J28" s="290">
        <v>0.28429223812553023</v>
      </c>
      <c r="K28" s="290">
        <v>8.0736697348850832</v>
      </c>
      <c r="L28" s="289">
        <v>7.4901935996122866</v>
      </c>
      <c r="M28" s="288">
        <v>1.9886620586999997</v>
      </c>
      <c r="N28" s="288">
        <v>-16.289316686315697</v>
      </c>
      <c r="O28" s="289">
        <v>-16.924723208263117</v>
      </c>
      <c r="P28" s="288"/>
      <c r="Q28" s="288"/>
      <c r="R28" s="289"/>
      <c r="S28" s="504">
        <v>45740.860555555555</v>
      </c>
      <c r="T28" s="478" t="s">
        <v>427</v>
      </c>
    </row>
    <row r="29" spans="1:20">
      <c r="A29" s="286" t="str">
        <f>'Weigh Sheet'!C40</f>
        <v xml:space="preserve">20240407_E2_F </v>
      </c>
      <c r="B29" s="287">
        <v>30</v>
      </c>
      <c r="C29" s="294">
        <v>25.321999999999999</v>
      </c>
      <c r="D29" s="294">
        <v>3.89459475</v>
      </c>
      <c r="E29" s="466">
        <v>72465312</v>
      </c>
      <c r="F29" s="293">
        <v>6.9442269999999997</v>
      </c>
      <c r="G29" s="466">
        <v>76342368</v>
      </c>
      <c r="H29" s="293"/>
      <c r="I29" s="293"/>
      <c r="J29" s="290">
        <v>0.30106466137654175</v>
      </c>
      <c r="K29" s="290">
        <v>7.8642968897339163</v>
      </c>
      <c r="L29" s="289">
        <v>7.2876062338711591</v>
      </c>
      <c r="M29" s="288">
        <v>2.1084519342000001</v>
      </c>
      <c r="N29" s="290">
        <v>-17.037894284033833</v>
      </c>
      <c r="O29" s="289">
        <v>-17.681290170718373</v>
      </c>
      <c r="P29" s="288"/>
      <c r="Q29" s="290"/>
      <c r="R29" s="289"/>
      <c r="S29" s="504">
        <v>45740.868391203701</v>
      </c>
      <c r="T29" s="478" t="s">
        <v>428</v>
      </c>
    </row>
    <row r="30" spans="1:20">
      <c r="A30" s="286" t="str">
        <f>'Weigh Sheet'!C41</f>
        <v xml:space="preserve">20240407_E2_G </v>
      </c>
      <c r="B30" s="287">
        <v>31</v>
      </c>
      <c r="C30" s="294">
        <v>24.373000000000001</v>
      </c>
      <c r="D30" s="294">
        <v>3.9666234999999999</v>
      </c>
      <c r="E30" s="466">
        <v>76134624</v>
      </c>
      <c r="F30" s="293">
        <v>7.4478505000000004</v>
      </c>
      <c r="G30" s="466">
        <v>81995264</v>
      </c>
      <c r="H30" s="293"/>
      <c r="I30" s="293"/>
      <c r="J30" s="290">
        <v>0.32504081320628825</v>
      </c>
      <c r="K30" s="290">
        <v>7.7523012637021598</v>
      </c>
      <c r="L30" s="289">
        <v>7.179240228547398</v>
      </c>
      <c r="M30" s="288">
        <v>2.3499684881999996</v>
      </c>
      <c r="N30" s="290">
        <v>-16.942496085127782</v>
      </c>
      <c r="O30" s="289">
        <v>-17.584873812828341</v>
      </c>
      <c r="P30" s="288"/>
      <c r="Q30" s="290"/>
      <c r="R30" s="289"/>
      <c r="S30" s="504">
        <v>45740.876250000001</v>
      </c>
      <c r="T30" s="478" t="s">
        <v>429</v>
      </c>
    </row>
    <row r="31" spans="1:20">
      <c r="A31" s="286" t="str">
        <f>'Weigh Sheet'!C42</f>
        <v xml:space="preserve">20240407_E3_A </v>
      </c>
      <c r="B31" s="287">
        <v>32</v>
      </c>
      <c r="C31" s="294">
        <v>25.94</v>
      </c>
      <c r="D31" s="294">
        <v>4.4962220000000004</v>
      </c>
      <c r="E31" s="466">
        <v>83959512</v>
      </c>
      <c r="F31" s="293">
        <v>8.5501299999999993</v>
      </c>
      <c r="G31" s="466">
        <v>94023160</v>
      </c>
      <c r="H31" s="293"/>
      <c r="I31" s="293"/>
      <c r="J31" s="290">
        <v>0.33302895708755365</v>
      </c>
      <c r="K31" s="290">
        <v>7.8481939083807672</v>
      </c>
      <c r="L31" s="289">
        <v>7.2720251274934053</v>
      </c>
      <c r="M31" s="288">
        <v>2.5227544833</v>
      </c>
      <c r="N31" s="290">
        <v>-17.608610377911393</v>
      </c>
      <c r="O31" s="289">
        <v>-18.258097361964104</v>
      </c>
      <c r="P31" s="288"/>
      <c r="Q31" s="290"/>
      <c r="R31" s="289"/>
      <c r="S31" s="504">
        <v>45740.884108796294</v>
      </c>
      <c r="T31" s="478" t="s">
        <v>430</v>
      </c>
    </row>
    <row r="32" spans="1:20">
      <c r="A32" s="286" t="str">
        <f>'Weigh Sheet'!C43</f>
        <v>blank</v>
      </c>
      <c r="B32" s="287">
        <v>33</v>
      </c>
      <c r="C32" s="294">
        <v>37.5</v>
      </c>
      <c r="D32" s="294">
        <v>3.3426730468749999E-2</v>
      </c>
      <c r="E32" s="466">
        <v>901460</v>
      </c>
      <c r="F32" s="293">
        <v>0.11857573437500001</v>
      </c>
      <c r="G32" s="466">
        <v>2333616</v>
      </c>
      <c r="H32" s="293"/>
      <c r="I32" s="293"/>
      <c r="J32" s="290">
        <v>0.1022007319526317</v>
      </c>
      <c r="K32" s="290">
        <v>16.974602662466278</v>
      </c>
      <c r="L32" s="289">
        <v>16.102659810955146</v>
      </c>
      <c r="M32" s="288">
        <v>4.5584372999999997E-2</v>
      </c>
      <c r="N32" s="290">
        <v>-16.47569673415974</v>
      </c>
      <c r="O32" s="289">
        <v>-17.11309243957523</v>
      </c>
      <c r="P32" s="288"/>
      <c r="Q32" s="290"/>
      <c r="R32" s="289"/>
      <c r="S32" s="504">
        <v>45740.892025462963</v>
      </c>
      <c r="T32" s="478" t="s">
        <v>431</v>
      </c>
    </row>
    <row r="33" spans="1:37">
      <c r="A33" s="286" t="str">
        <f>'Weigh Sheet'!C44</f>
        <v>ISIRF Ulva</v>
      </c>
      <c r="B33" s="287">
        <v>34</v>
      </c>
      <c r="C33" s="293">
        <v>1.135</v>
      </c>
      <c r="D33" s="294">
        <v>4.2833895000000002</v>
      </c>
      <c r="E33" s="466">
        <v>68224672</v>
      </c>
      <c r="F33" s="293">
        <v>5.3408835000000003</v>
      </c>
      <c r="G33" s="466">
        <v>54826460</v>
      </c>
      <c r="H33" s="293"/>
      <c r="I33" s="293"/>
      <c r="J33" s="290">
        <v>4.4116143214516876</v>
      </c>
      <c r="K33" s="290">
        <v>8.0434572301972445</v>
      </c>
      <c r="L33" s="289">
        <v>7.4609602397048373</v>
      </c>
      <c r="M33" s="288">
        <v>33.803226633000001</v>
      </c>
      <c r="N33" s="290">
        <v>-12.474473698831151</v>
      </c>
      <c r="O33" s="289">
        <v>-13.069165440995199</v>
      </c>
      <c r="P33" s="288"/>
      <c r="Q33" s="290"/>
      <c r="R33" s="289"/>
      <c r="S33" s="504">
        <v>45740.899861111109</v>
      </c>
      <c r="T33" s="478" t="s">
        <v>432</v>
      </c>
    </row>
    <row r="34" spans="1:37">
      <c r="A34" s="286" t="str">
        <f>'Weigh Sheet'!C45</f>
        <v>ISIRF Chitin</v>
      </c>
      <c r="B34" s="287">
        <v>35</v>
      </c>
      <c r="C34" s="294">
        <v>0.97899999999999998</v>
      </c>
      <c r="D34" s="294">
        <v>5.7937785000000002</v>
      </c>
      <c r="E34" s="466">
        <v>90953440</v>
      </c>
      <c r="F34" s="293">
        <v>6.4089935000000002</v>
      </c>
      <c r="G34" s="466">
        <v>65508340</v>
      </c>
      <c r="H34" s="293"/>
      <c r="I34" s="293"/>
      <c r="J34" s="290">
        <v>6.5966563060651362</v>
      </c>
      <c r="K34" s="290">
        <v>-4.7980165602785494</v>
      </c>
      <c r="L34" s="289">
        <v>-4.9643394478833116</v>
      </c>
      <c r="M34" s="288">
        <v>46.722904572899999</v>
      </c>
      <c r="N34" s="290">
        <v>-20.398500246378038</v>
      </c>
      <c r="O34" s="289">
        <v>-21.077762964841614</v>
      </c>
      <c r="P34" s="288"/>
      <c r="Q34" s="290"/>
      <c r="R34" s="289"/>
      <c r="S34" s="504">
        <v>45740.907731481479</v>
      </c>
      <c r="T34" s="478" t="s">
        <v>433</v>
      </c>
    </row>
    <row r="35" spans="1:37">
      <c r="A35" s="286" t="str">
        <f>'Weigh Sheet'!C46</f>
        <v>ISIRF Bamboo</v>
      </c>
      <c r="B35" s="287">
        <v>36</v>
      </c>
      <c r="C35" s="294">
        <v>1.621</v>
      </c>
      <c r="D35" s="294">
        <v>4.3793829999999998</v>
      </c>
      <c r="E35" s="466">
        <v>70220600</v>
      </c>
      <c r="F35" s="293">
        <v>10.065844999999999</v>
      </c>
      <c r="G35" s="466">
        <v>105692624</v>
      </c>
      <c r="H35" s="293"/>
      <c r="I35" s="293"/>
      <c r="J35" s="290">
        <v>3.1511853408622699</v>
      </c>
      <c r="K35" s="290">
        <v>2.4152060845999008</v>
      </c>
      <c r="L35" s="289">
        <v>2.0151127971063336</v>
      </c>
      <c r="M35" s="288">
        <v>45.379005159599998</v>
      </c>
      <c r="N35" s="290">
        <v>-29.398639448459999</v>
      </c>
      <c r="O35" s="289">
        <v>-30.173958200378859</v>
      </c>
      <c r="P35" s="288"/>
      <c r="Q35" s="290"/>
      <c r="R35" s="289"/>
      <c r="S35" s="504">
        <v>45740.915555555555</v>
      </c>
      <c r="T35" s="478" t="s">
        <v>434</v>
      </c>
    </row>
    <row r="36" spans="1:37">
      <c r="A36" s="286" t="str">
        <f>'Weigh Sheet'!C47</f>
        <v>NBS 1575 Pine Needles</v>
      </c>
      <c r="B36" s="287">
        <v>37</v>
      </c>
      <c r="C36" s="294">
        <v>6.5739999999999998</v>
      </c>
      <c r="D36" s="294">
        <v>6.2617775</v>
      </c>
      <c r="E36" s="466">
        <v>111667816</v>
      </c>
      <c r="F36" s="293">
        <v>34.086204000000002</v>
      </c>
      <c r="G36" s="466">
        <v>485313664</v>
      </c>
      <c r="H36" s="293"/>
      <c r="I36" s="293"/>
      <c r="J36" s="290">
        <v>1.2837461638474492</v>
      </c>
      <c r="K36" s="290">
        <v>0.69237108373025535</v>
      </c>
      <c r="L36" s="289">
        <v>0.3481124552960041</v>
      </c>
      <c r="M36" s="288">
        <v>51.494597783700002</v>
      </c>
      <c r="N36" s="290">
        <v>-25.158513009175056</v>
      </c>
      <c r="O36" s="289">
        <v>-25.888578046905543</v>
      </c>
      <c r="P36" s="288"/>
      <c r="Q36" s="290"/>
      <c r="R36" s="289"/>
      <c r="S36" s="504">
        <v>45740.923414351855</v>
      </c>
      <c r="T36" s="478" t="s">
        <v>435</v>
      </c>
    </row>
    <row r="37" spans="1:37">
      <c r="A37" s="286" t="str">
        <f>'Weigh Sheet'!C48</f>
        <v>20240407_E3_A_Dup</v>
      </c>
      <c r="B37" s="287">
        <v>38</v>
      </c>
      <c r="C37" s="294">
        <v>24.885000000000002</v>
      </c>
      <c r="D37" s="294">
        <v>4.0031742499999998</v>
      </c>
      <c r="E37" s="466">
        <v>74474080</v>
      </c>
      <c r="F37" s="293">
        <v>7.3836240000000002</v>
      </c>
      <c r="G37" s="466">
        <v>79983568</v>
      </c>
      <c r="H37" s="293"/>
      <c r="I37" s="293"/>
      <c r="J37" s="290">
        <v>0.30396959317993633</v>
      </c>
      <c r="K37" s="290">
        <v>7.2006867835118342</v>
      </c>
      <c r="L37" s="289">
        <v>6.6455027977657863</v>
      </c>
      <c r="M37" s="288">
        <v>2.2476811955999998</v>
      </c>
      <c r="N37" s="290">
        <v>-17.423835095424948</v>
      </c>
      <c r="O37" s="289">
        <v>-18.071350023233006</v>
      </c>
      <c r="P37" s="288"/>
      <c r="Q37" s="290"/>
      <c r="R37" s="289"/>
      <c r="S37" s="504">
        <v>45740.931238425925</v>
      </c>
      <c r="T37" s="478" t="s">
        <v>436</v>
      </c>
    </row>
    <row r="38" spans="1:37">
      <c r="A38" s="286" t="str">
        <f>'Weigh Sheet'!C49</f>
        <v xml:space="preserve">20240407_E3_B </v>
      </c>
      <c r="B38" s="287">
        <v>39</v>
      </c>
      <c r="C38" s="294">
        <v>24.826000000000001</v>
      </c>
      <c r="D38" s="294">
        <v>3.5817074999999998</v>
      </c>
      <c r="E38" s="466">
        <v>65527648</v>
      </c>
      <c r="F38" s="293">
        <v>6.6516155000000001</v>
      </c>
      <c r="G38" s="466">
        <v>72308032</v>
      </c>
      <c r="H38" s="293"/>
      <c r="I38" s="293"/>
      <c r="J38" s="290">
        <v>0.28838760595901902</v>
      </c>
      <c r="K38" s="290">
        <v>7.9013249211445631</v>
      </c>
      <c r="L38" s="289">
        <v>7.3234342388669678</v>
      </c>
      <c r="M38" s="288">
        <v>2.0430232074000001</v>
      </c>
      <c r="N38" s="290">
        <v>-16.795211313163986</v>
      </c>
      <c r="O38" s="289">
        <v>-17.436017110623741</v>
      </c>
      <c r="P38" s="288"/>
      <c r="Q38" s="290"/>
      <c r="R38" s="289"/>
      <c r="S38" s="504">
        <v>45740.939120370371</v>
      </c>
      <c r="T38" s="478" t="s">
        <v>437</v>
      </c>
    </row>
    <row r="39" spans="1:37">
      <c r="A39" s="286" t="str">
        <f>'Weigh Sheet'!C50</f>
        <v xml:space="preserve">20240407_E3_C </v>
      </c>
      <c r="B39" s="287">
        <v>40</v>
      </c>
      <c r="C39" s="294">
        <v>24.399000000000001</v>
      </c>
      <c r="D39" s="294">
        <v>3.5060247499999999</v>
      </c>
      <c r="E39" s="466">
        <v>62975104</v>
      </c>
      <c r="F39" s="293">
        <v>6.7212940000000003</v>
      </c>
      <c r="G39" s="466">
        <v>72291248</v>
      </c>
      <c r="H39" s="293"/>
      <c r="I39" s="293"/>
      <c r="J39" s="290">
        <v>0.28732609197437803</v>
      </c>
      <c r="K39" s="290">
        <v>7.7874281069813023</v>
      </c>
      <c r="L39" s="289">
        <v>7.213228660244857</v>
      </c>
      <c r="M39" s="288">
        <v>2.0760192875999999</v>
      </c>
      <c r="N39" s="290">
        <v>-17.21724544317388</v>
      </c>
      <c r="O39" s="289">
        <v>-17.862555495912499</v>
      </c>
      <c r="P39" s="288"/>
      <c r="Q39" s="290"/>
      <c r="R39" s="289"/>
      <c r="S39" s="504">
        <v>45740.946967592594</v>
      </c>
      <c r="T39" s="478" t="s">
        <v>438</v>
      </c>
    </row>
    <row r="40" spans="1:37">
      <c r="A40" s="286" t="str">
        <f>'Weigh Sheet'!C51</f>
        <v xml:space="preserve">20240407_E3_D </v>
      </c>
      <c r="B40" s="287">
        <v>41</v>
      </c>
      <c r="C40" s="294">
        <v>25.355</v>
      </c>
      <c r="D40" s="294">
        <v>3.5007990000000002</v>
      </c>
      <c r="E40" s="466">
        <v>66455816</v>
      </c>
      <c r="F40" s="293">
        <v>6.8521609999999997</v>
      </c>
      <c r="G40" s="466">
        <v>73632752</v>
      </c>
      <c r="H40" s="293"/>
      <c r="I40" s="293"/>
      <c r="J40" s="290">
        <v>0.28640103444044407</v>
      </c>
      <c r="K40" s="290">
        <v>7.4198527756172155</v>
      </c>
      <c r="L40" s="289">
        <v>6.8575659283432664</v>
      </c>
      <c r="M40" s="288">
        <v>2.0353621784999998</v>
      </c>
      <c r="N40" s="290">
        <v>-16.394270100501057</v>
      </c>
      <c r="O40" s="289">
        <v>-17.030796761641646</v>
      </c>
      <c r="P40" s="288"/>
      <c r="Q40" s="290"/>
      <c r="R40" s="289"/>
      <c r="S40" s="504">
        <v>45740.95484953704</v>
      </c>
      <c r="T40" s="478" t="s">
        <v>439</v>
      </c>
    </row>
    <row r="41" spans="1:37">
      <c r="A41" s="286" t="str">
        <f>'Weigh Sheet'!C52</f>
        <v xml:space="preserve">20240407_E3_E </v>
      </c>
      <c r="B41" s="287">
        <v>42</v>
      </c>
      <c r="C41" s="294">
        <v>24.934000000000001</v>
      </c>
      <c r="D41" s="294">
        <v>3.47308525</v>
      </c>
      <c r="E41" s="466">
        <v>66382488</v>
      </c>
      <c r="F41" s="293">
        <v>6.6569865000000004</v>
      </c>
      <c r="G41" s="466">
        <v>73781080</v>
      </c>
      <c r="H41" s="293"/>
      <c r="I41" s="293"/>
      <c r="J41" s="290">
        <v>0.28773964710719557</v>
      </c>
      <c r="K41" s="290">
        <v>7.3262768346532603</v>
      </c>
      <c r="L41" s="289">
        <v>6.7670226520031651</v>
      </c>
      <c r="M41" s="288">
        <v>2.0671266743999999</v>
      </c>
      <c r="N41" s="290">
        <v>-15.099457199212672</v>
      </c>
      <c r="O41" s="289">
        <v>-15.722164675052694</v>
      </c>
      <c r="P41" s="288"/>
      <c r="Q41" s="290"/>
      <c r="R41" s="289"/>
      <c r="S41" s="504">
        <v>45740.962685185186</v>
      </c>
      <c r="T41" s="478" t="s">
        <v>440</v>
      </c>
    </row>
    <row r="42" spans="1:37">
      <c r="A42" s="286" t="str">
        <f>'Weigh Sheet'!C53</f>
        <v xml:space="preserve">20240407_E3_F </v>
      </c>
      <c r="B42" s="287">
        <v>43</v>
      </c>
      <c r="C42" s="294">
        <v>24.824999999999999</v>
      </c>
      <c r="D42" s="294">
        <v>3.2713182500000002</v>
      </c>
      <c r="E42" s="466">
        <v>60997808</v>
      </c>
      <c r="F42" s="293">
        <v>5.932544</v>
      </c>
      <c r="G42" s="466">
        <v>65263024</v>
      </c>
      <c r="H42" s="293"/>
      <c r="I42" s="293"/>
      <c r="J42" s="290">
        <v>0.2748733944021895</v>
      </c>
      <c r="K42" s="290">
        <v>7.0014884433348552</v>
      </c>
      <c r="L42" s="289">
        <v>6.4527601956039682</v>
      </c>
      <c r="M42" s="288">
        <v>1.8415892084999999</v>
      </c>
      <c r="N42" s="290">
        <v>-15.41802246550712</v>
      </c>
      <c r="O42" s="289">
        <v>-16.044129901635511</v>
      </c>
      <c r="P42" s="288"/>
      <c r="Q42" s="290"/>
      <c r="R42" s="289"/>
      <c r="S42" s="504">
        <v>45740.970567129632</v>
      </c>
      <c r="T42" s="478" t="s">
        <v>441</v>
      </c>
    </row>
    <row r="43" spans="1:37">
      <c r="A43" s="286" t="str">
        <f>'Weigh Sheet'!C54</f>
        <v xml:space="preserve">20240407_E3_G </v>
      </c>
      <c r="B43" s="287">
        <v>44</v>
      </c>
      <c r="C43" s="294">
        <v>24.327999999999999</v>
      </c>
      <c r="D43" s="294">
        <v>3.7388569999999999</v>
      </c>
      <c r="E43" s="466">
        <v>72591648</v>
      </c>
      <c r="F43" s="293">
        <v>7.1750610000000004</v>
      </c>
      <c r="G43" s="466">
        <v>78818192</v>
      </c>
      <c r="H43" s="293"/>
      <c r="I43" s="293"/>
      <c r="J43" s="290">
        <v>0.30661751804856374</v>
      </c>
      <c r="K43" s="290">
        <v>6.997227155576665</v>
      </c>
      <c r="L43" s="289">
        <v>6.4486370101881452</v>
      </c>
      <c r="M43" s="288">
        <v>2.2665793886999999</v>
      </c>
      <c r="N43" s="290">
        <v>-15.000874647460028</v>
      </c>
      <c r="O43" s="289">
        <v>-15.622529978585769</v>
      </c>
      <c r="P43" s="288"/>
      <c r="Q43" s="290"/>
      <c r="R43" s="289"/>
      <c r="S43" s="504">
        <v>45740.978402777779</v>
      </c>
      <c r="T43" s="478" t="s">
        <v>442</v>
      </c>
    </row>
    <row r="44" spans="1:37">
      <c r="A44" s="286" t="str">
        <f>'Weigh Sheet'!C55</f>
        <v xml:space="preserve">20240407_E3_H </v>
      </c>
      <c r="B44" s="287">
        <v>45</v>
      </c>
      <c r="C44" s="294">
        <v>24.600999999999999</v>
      </c>
      <c r="D44" s="294">
        <v>3.8893765</v>
      </c>
      <c r="E44" s="466">
        <v>76740416</v>
      </c>
      <c r="F44" s="293">
        <v>7.6694965000000002</v>
      </c>
      <c r="G44" s="466">
        <v>84945808</v>
      </c>
      <c r="H44" s="293"/>
      <c r="I44" s="293"/>
      <c r="J44" s="290">
        <v>0.31635029532414444</v>
      </c>
      <c r="K44" s="290">
        <v>7.5481718712910961</v>
      </c>
      <c r="L44" s="289">
        <v>6.9817263826184437</v>
      </c>
      <c r="M44" s="288">
        <v>2.4184877595000001</v>
      </c>
      <c r="N44" s="290">
        <v>-14.947275876435956</v>
      </c>
      <c r="O44" s="289">
        <v>-15.5683591624825</v>
      </c>
      <c r="P44" s="288"/>
      <c r="Q44" s="290"/>
      <c r="R44" s="289"/>
      <c r="S44" s="504">
        <v>45740.986261574071</v>
      </c>
      <c r="T44" s="478" t="s">
        <v>443</v>
      </c>
    </row>
    <row r="45" spans="1:37">
      <c r="A45" s="286" t="str">
        <f>'Weigh Sheet'!C56</f>
        <v xml:space="preserve">20240407_E3_I </v>
      </c>
      <c r="B45" s="287">
        <v>46</v>
      </c>
      <c r="C45" s="293">
        <v>26.584</v>
      </c>
      <c r="D45" s="294">
        <v>3.5634027499999998</v>
      </c>
      <c r="E45" s="466">
        <v>69382184</v>
      </c>
      <c r="F45" s="293">
        <v>6.3818729999999997</v>
      </c>
      <c r="G45" s="466">
        <v>70182696</v>
      </c>
      <c r="H45" s="293"/>
      <c r="I45" s="293"/>
      <c r="J45" s="290">
        <v>0.28821850041887909</v>
      </c>
      <c r="K45" s="290">
        <v>6.9431239814791805</v>
      </c>
      <c r="L45" s="289">
        <v>6.3962872438622895</v>
      </c>
      <c r="M45" s="288">
        <v>1.8484477151999998</v>
      </c>
      <c r="N45" s="290">
        <v>-15.143887129169517</v>
      </c>
      <c r="O45" s="289">
        <v>-15.76706879354624</v>
      </c>
      <c r="P45" s="288"/>
      <c r="Q45" s="290"/>
      <c r="R45" s="289"/>
      <c r="S45" s="504">
        <v>45740.994108796294</v>
      </c>
      <c r="T45" s="478" t="s">
        <v>444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>
      <c r="A46" s="286" t="str">
        <f>'Weigh Sheet'!C57</f>
        <v>ISIRF Ulva</v>
      </c>
      <c r="B46" s="287">
        <v>47</v>
      </c>
      <c r="C46" s="294">
        <v>1.2430000000000001</v>
      </c>
      <c r="D46" s="294">
        <v>4.7837185</v>
      </c>
      <c r="E46" s="466">
        <v>75677504</v>
      </c>
      <c r="F46" s="293">
        <v>5.9749664999999998</v>
      </c>
      <c r="G46" s="466">
        <v>62196408</v>
      </c>
      <c r="H46" s="293"/>
      <c r="I46" s="293"/>
      <c r="J46" s="290">
        <v>4.5748714888024624</v>
      </c>
      <c r="K46" s="290">
        <v>8.1987686475697323</v>
      </c>
      <c r="L46" s="289">
        <v>7.6112382324994439</v>
      </c>
      <c r="M46" s="288">
        <v>34.947143259599997</v>
      </c>
      <c r="N46" s="290">
        <v>-12.387221679611619</v>
      </c>
      <c r="O46" s="289">
        <v>-12.980982204747907</v>
      </c>
      <c r="P46" s="288"/>
      <c r="Q46" s="290"/>
      <c r="R46" s="289"/>
      <c r="S46" s="504">
        <v>45741.001944444448</v>
      </c>
      <c r="T46" s="478" t="s">
        <v>445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>
      <c r="A47" s="286" t="str">
        <f>'Weigh Sheet'!C58</f>
        <v xml:space="preserve">20240407_S2_A </v>
      </c>
      <c r="B47" s="287">
        <v>48</v>
      </c>
      <c r="C47" s="294">
        <v>25.390999999999998</v>
      </c>
      <c r="D47" s="294">
        <v>5.8010599999999997</v>
      </c>
      <c r="E47" s="466">
        <v>108006384</v>
      </c>
      <c r="F47" s="293">
        <v>11.207597</v>
      </c>
      <c r="G47" s="466">
        <v>119815104</v>
      </c>
      <c r="H47" s="293"/>
      <c r="I47" s="293"/>
      <c r="J47" s="290">
        <v>0.39199153829120947</v>
      </c>
      <c r="K47" s="290">
        <v>5.0405185523990852</v>
      </c>
      <c r="L47" s="289">
        <v>4.5553425805569017</v>
      </c>
      <c r="M47" s="288">
        <v>3.2714808215999995</v>
      </c>
      <c r="N47" s="290">
        <v>-24.758809497785926</v>
      </c>
      <c r="O47" s="289">
        <v>-25.484608608845711</v>
      </c>
      <c r="P47" s="288"/>
      <c r="Q47" s="290"/>
      <c r="R47" s="289"/>
      <c r="S47" s="504">
        <v>45741.00980324074</v>
      </c>
      <c r="T47" s="478" t="s">
        <v>446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6" t="str">
        <f>'Weigh Sheet'!C59</f>
        <v xml:space="preserve">20240407_S2_B </v>
      </c>
      <c r="B48" s="287">
        <v>49</v>
      </c>
      <c r="C48" s="294">
        <v>24.393999999999998</v>
      </c>
      <c r="D48" s="294">
        <v>19.979209999999998</v>
      </c>
      <c r="E48" s="466">
        <v>353422336</v>
      </c>
      <c r="F48" s="293">
        <v>31.224602000000001</v>
      </c>
      <c r="G48" s="466">
        <v>426214080</v>
      </c>
      <c r="H48" s="293"/>
      <c r="I48" s="293"/>
      <c r="J48" s="290">
        <v>1.0857378079979105</v>
      </c>
      <c r="K48" s="290">
        <v>7.8976308717467347</v>
      </c>
      <c r="L48" s="289">
        <v>7.3198599084141165</v>
      </c>
      <c r="M48" s="288">
        <v>12.194634346800001</v>
      </c>
      <c r="N48" s="290">
        <v>-24.783880600817596</v>
      </c>
      <c r="O48" s="289">
        <v>-25.50994728892897</v>
      </c>
      <c r="P48" s="288"/>
      <c r="Q48" s="290"/>
      <c r="R48" s="289"/>
      <c r="S48" s="504">
        <v>45741.017638888887</v>
      </c>
      <c r="T48" s="478" t="s">
        <v>447</v>
      </c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6" t="str">
        <f>'Weigh Sheet'!C60</f>
        <v xml:space="preserve">20240407_S2_C </v>
      </c>
      <c r="B49" s="287">
        <v>50</v>
      </c>
      <c r="C49" s="294">
        <v>24.126000000000001</v>
      </c>
      <c r="D49" s="294">
        <v>1.0213725625000001</v>
      </c>
      <c r="E49" s="466">
        <v>21709248</v>
      </c>
      <c r="F49" s="293">
        <v>2.6950875000000001</v>
      </c>
      <c r="G49" s="466">
        <v>27895940</v>
      </c>
      <c r="H49" s="293"/>
      <c r="I49" s="293"/>
      <c r="J49" s="290">
        <v>0.16302347409782722</v>
      </c>
      <c r="K49" s="290">
        <v>6.2619240889263521</v>
      </c>
      <c r="L49" s="289">
        <v>5.7371640816595715</v>
      </c>
      <c r="M49" s="288">
        <v>0.81545151839999996</v>
      </c>
      <c r="N49" s="290">
        <v>-10.879763231578421</v>
      </c>
      <c r="O49" s="289">
        <v>-11.457435063432806</v>
      </c>
      <c r="P49" s="288"/>
      <c r="Q49" s="290"/>
      <c r="R49" s="289"/>
      <c r="S49" s="504">
        <v>45741.025497685187</v>
      </c>
      <c r="T49" s="478" t="s">
        <v>448</v>
      </c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>
      <c r="A50" s="286" t="str">
        <f>'Weigh Sheet'!C61</f>
        <v xml:space="preserve">20240407_S2_D </v>
      </c>
      <c r="B50" s="287">
        <v>51</v>
      </c>
      <c r="C50" s="294">
        <v>24.695</v>
      </c>
      <c r="D50" s="294">
        <v>4.5957584999999996</v>
      </c>
      <c r="E50" s="466">
        <v>83345488</v>
      </c>
      <c r="F50" s="293">
        <v>9.5409279999999992</v>
      </c>
      <c r="G50" s="466">
        <v>101277200</v>
      </c>
      <c r="H50" s="293"/>
      <c r="I50" s="293"/>
      <c r="J50" s="290">
        <v>0.3350239001675217</v>
      </c>
      <c r="K50" s="290">
        <v>4.9760891388629345</v>
      </c>
      <c r="L50" s="289">
        <v>4.4930012336878242</v>
      </c>
      <c r="M50" s="288">
        <v>2.8678130816999996</v>
      </c>
      <c r="N50" s="290">
        <v>-25.026527053776142</v>
      </c>
      <c r="O50" s="289">
        <v>-25.755183441366587</v>
      </c>
      <c r="P50" s="288"/>
      <c r="Q50" s="290"/>
      <c r="R50" s="289"/>
      <c r="S50" s="504">
        <v>45741.03334490741</v>
      </c>
      <c r="T50" s="478" t="s">
        <v>449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6" t="str">
        <f>'Weigh Sheet'!C62</f>
        <v xml:space="preserve">20240407_S2_E </v>
      </c>
      <c r="B51" s="287">
        <v>52</v>
      </c>
      <c r="C51" s="294">
        <v>25.260999999999999</v>
      </c>
      <c r="D51" s="294">
        <v>3.2563240000000002</v>
      </c>
      <c r="E51" s="466">
        <v>57975532</v>
      </c>
      <c r="F51" s="293">
        <v>6.1219504999999996</v>
      </c>
      <c r="G51" s="466">
        <v>65601768</v>
      </c>
      <c r="H51" s="293"/>
      <c r="I51" s="293"/>
      <c r="J51" s="290">
        <v>0.25721107417509487</v>
      </c>
      <c r="K51" s="290">
        <v>5.783702149571142</v>
      </c>
      <c r="L51" s="289">
        <v>5.2744406426976695</v>
      </c>
      <c r="M51" s="288">
        <v>1.8198608735999999</v>
      </c>
      <c r="N51" s="290">
        <v>-18.330719647007189</v>
      </c>
      <c r="O51" s="289">
        <v>-18.987913506537403</v>
      </c>
      <c r="P51" s="288"/>
      <c r="Q51" s="290"/>
      <c r="R51" s="289"/>
      <c r="S51" s="504">
        <v>45741.041192129633</v>
      </c>
      <c r="T51" s="478" t="s">
        <v>450</v>
      </c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6" t="str">
        <f>'Weigh Sheet'!C63</f>
        <v xml:space="preserve">20240407_S2_F </v>
      </c>
      <c r="B52" s="287">
        <v>53</v>
      </c>
      <c r="C52" s="294">
        <v>24.553999999999998</v>
      </c>
      <c r="D52" s="294">
        <v>0.80526631250000003</v>
      </c>
      <c r="E52" s="466">
        <v>17376784</v>
      </c>
      <c r="F52" s="293">
        <v>2.1277662500000001</v>
      </c>
      <c r="G52" s="466">
        <v>22056528</v>
      </c>
      <c r="H52" s="293"/>
      <c r="I52" s="293"/>
      <c r="J52" s="290">
        <v>0.150604262771211</v>
      </c>
      <c r="K52" s="290">
        <v>6.6059974224602378</v>
      </c>
      <c r="L52" s="289">
        <v>6.0700864824230116</v>
      </c>
      <c r="M52" s="288">
        <v>0.63177772499999996</v>
      </c>
      <c r="N52" s="290">
        <v>-10.618920367024327</v>
      </c>
      <c r="O52" s="289">
        <v>-11.19380829405662</v>
      </c>
      <c r="P52" s="288"/>
      <c r="Q52" s="290"/>
      <c r="R52" s="289"/>
      <c r="S52" s="504">
        <v>45741.049062500002</v>
      </c>
      <c r="T52" s="478" t="s">
        <v>451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6" t="str">
        <f>'Weigh Sheet'!C64</f>
        <v xml:space="preserve">20240407_S2_G </v>
      </c>
      <c r="B53" s="287">
        <v>54</v>
      </c>
      <c r="C53" s="294">
        <v>24.314</v>
      </c>
      <c r="D53" s="294">
        <v>2.7156707500000001</v>
      </c>
      <c r="E53" s="466">
        <v>46148036</v>
      </c>
      <c r="F53" s="293">
        <v>5.5702910000000001</v>
      </c>
      <c r="G53" s="466">
        <v>60219708</v>
      </c>
      <c r="H53" s="293"/>
      <c r="I53" s="293"/>
      <c r="J53" s="290">
        <v>0.23399589727597828</v>
      </c>
      <c r="K53" s="290">
        <v>6.5717681947427167</v>
      </c>
      <c r="L53" s="289">
        <v>6.036966575829398</v>
      </c>
      <c r="M53" s="288">
        <v>1.7304287634</v>
      </c>
      <c r="N53" s="290">
        <v>-16.516399968457019</v>
      </c>
      <c r="O53" s="289">
        <v>-17.154230088401842</v>
      </c>
      <c r="P53" s="288"/>
      <c r="Q53" s="290"/>
      <c r="R53" s="289"/>
      <c r="S53" s="504">
        <v>45741.056909722225</v>
      </c>
      <c r="T53" s="478" t="s">
        <v>452</v>
      </c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6" t="str">
        <f>'Weigh Sheet'!C65</f>
        <v>20240407_S2_H</v>
      </c>
      <c r="B54" s="287">
        <v>55</v>
      </c>
      <c r="C54" s="294">
        <v>24.675000000000001</v>
      </c>
      <c r="D54" s="294">
        <v>2.7484777500000002</v>
      </c>
      <c r="E54" s="466">
        <v>50925240</v>
      </c>
      <c r="F54" s="293">
        <v>5.3930334999999996</v>
      </c>
      <c r="G54" s="466">
        <v>59059316</v>
      </c>
      <c r="H54" s="293"/>
      <c r="I54" s="293"/>
      <c r="J54" s="290">
        <v>0.24608526908370762</v>
      </c>
      <c r="K54" s="290">
        <v>6.0391748447808471</v>
      </c>
      <c r="L54" s="289">
        <v>5.5216338272004304</v>
      </c>
      <c r="M54" s="288">
        <v>1.6784547939000001</v>
      </c>
      <c r="N54" s="290">
        <v>-16.02398160230975</v>
      </c>
      <c r="O54" s="289">
        <v>-16.656556275200852</v>
      </c>
      <c r="P54" s="288"/>
      <c r="Q54" s="290"/>
      <c r="R54" s="289"/>
      <c r="S54" s="504">
        <v>45741.064745370371</v>
      </c>
      <c r="T54" s="478" t="s">
        <v>453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6" t="str">
        <f>'Weigh Sheet'!C66</f>
        <v xml:space="preserve">20240407_S2_I </v>
      </c>
      <c r="B55" s="287">
        <v>56</v>
      </c>
      <c r="C55" s="294">
        <v>25.173999999999999</v>
      </c>
      <c r="D55" s="294">
        <v>2.4820009999999999</v>
      </c>
      <c r="E55" s="466">
        <v>47774816</v>
      </c>
      <c r="F55" s="293">
        <v>4.8458164999999997</v>
      </c>
      <c r="G55" s="466">
        <v>52867952</v>
      </c>
      <c r="H55" s="293"/>
      <c r="I55" s="293"/>
      <c r="J55" s="290">
        <v>0.22915797194692436</v>
      </c>
      <c r="K55" s="290">
        <v>5.9396897809036684</v>
      </c>
      <c r="L55" s="289">
        <v>5.4253729343090242</v>
      </c>
      <c r="M55" s="288">
        <v>1.4758364723999999</v>
      </c>
      <c r="N55" s="290">
        <v>-16.50233111161246</v>
      </c>
      <c r="O55" s="289">
        <v>-17.140011078481493</v>
      </c>
      <c r="P55" s="288"/>
      <c r="Q55" s="290"/>
      <c r="R55" s="289"/>
      <c r="S55" s="504">
        <v>45741.072592592594</v>
      </c>
      <c r="T55" s="478" t="s">
        <v>454</v>
      </c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6" t="str">
        <f>'Weigh Sheet'!C67</f>
        <v xml:space="preserve">R1-20231120_W1_H </v>
      </c>
      <c r="B56" s="287">
        <v>57</v>
      </c>
      <c r="C56" s="294">
        <v>24.794</v>
      </c>
      <c r="D56" s="294">
        <v>2.6519897499999998</v>
      </c>
      <c r="E56" s="466">
        <v>48859560</v>
      </c>
      <c r="F56" s="293">
        <v>5.0087374999999996</v>
      </c>
      <c r="G56" s="466">
        <v>53586412</v>
      </c>
      <c r="H56" s="293"/>
      <c r="I56" s="293"/>
      <c r="J56" s="290">
        <v>0.23943238924463656</v>
      </c>
      <c r="K56" s="290">
        <v>6.7292611516878384</v>
      </c>
      <c r="L56" s="289">
        <v>6.189355407567616</v>
      </c>
      <c r="M56" s="288">
        <v>1.5126727974</v>
      </c>
      <c r="N56" s="290">
        <v>-16.965140892579587</v>
      </c>
      <c r="O56" s="289">
        <v>-17.607760302140097</v>
      </c>
      <c r="P56" s="288"/>
      <c r="Q56" s="290"/>
      <c r="R56" s="289"/>
      <c r="S56" s="504">
        <v>45741.080462962964</v>
      </c>
      <c r="T56" s="478" t="s">
        <v>455</v>
      </c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6" t="str">
        <f>'Weigh Sheet'!C68</f>
        <v>blank</v>
      </c>
      <c r="B57" s="287">
        <v>58</v>
      </c>
      <c r="C57" s="294">
        <v>37.5</v>
      </c>
      <c r="D57" s="294">
        <v>5.6834625E-2</v>
      </c>
      <c r="E57" s="466">
        <v>1303300</v>
      </c>
      <c r="F57" s="293">
        <v>0</v>
      </c>
      <c r="G57" s="466">
        <v>0</v>
      </c>
      <c r="H57" s="293"/>
      <c r="I57" s="293"/>
      <c r="J57" s="290">
        <v>0.10391020478909616</v>
      </c>
      <c r="K57" s="290">
        <v>12.880942117006541</v>
      </c>
      <c r="L57" s="289">
        <v>12.141669045680363</v>
      </c>
      <c r="M57" s="288">
        <v>0</v>
      </c>
      <c r="N57" s="290">
        <v>5.9482842020350694E-2</v>
      </c>
      <c r="O57" s="289">
        <v>-0.40143739708332343</v>
      </c>
      <c r="P57" s="288"/>
      <c r="Q57" s="290"/>
      <c r="R57" s="289"/>
      <c r="S57" s="504">
        <v>45741.088356481479</v>
      </c>
      <c r="T57" s="478" t="s">
        <v>456</v>
      </c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6" t="str">
        <f>'Weigh Sheet'!C69</f>
        <v>ISIRF Ulva</v>
      </c>
      <c r="B58" s="287">
        <v>59</v>
      </c>
      <c r="C58" s="294">
        <v>1.284</v>
      </c>
      <c r="D58" s="294">
        <v>4.7322404999999996</v>
      </c>
      <c r="E58" s="466">
        <v>75844800</v>
      </c>
      <c r="F58" s="293">
        <v>6.0247025000000001</v>
      </c>
      <c r="G58" s="466">
        <v>61022608</v>
      </c>
      <c r="H58" s="293"/>
      <c r="I58" s="293"/>
      <c r="J58" s="290">
        <v>4.2046408605063128</v>
      </c>
      <c r="K58" s="290">
        <v>7.9503643300433531</v>
      </c>
      <c r="L58" s="289">
        <v>7.370884349501587</v>
      </c>
      <c r="M58" s="288">
        <v>33.231979098599993</v>
      </c>
      <c r="N58" s="290">
        <v>-12.085156070890717</v>
      </c>
      <c r="O58" s="289">
        <v>-12.675692732088292</v>
      </c>
      <c r="P58" s="288"/>
      <c r="Q58" s="290"/>
      <c r="R58" s="289"/>
      <c r="S58" s="504">
        <v>45741.096203703702</v>
      </c>
      <c r="T58" s="478" t="s">
        <v>457</v>
      </c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6" t="str">
        <f>'Weigh Sheet'!C70</f>
        <v>ISIRF Chitin</v>
      </c>
      <c r="B59" s="287">
        <v>60</v>
      </c>
      <c r="C59" s="294">
        <v>1.079</v>
      </c>
      <c r="D59" s="294">
        <v>6.3247524999999998</v>
      </c>
      <c r="E59" s="466">
        <v>100359056</v>
      </c>
      <c r="F59" s="293">
        <v>6.9680689999999998</v>
      </c>
      <c r="G59" s="466">
        <v>71153696</v>
      </c>
      <c r="H59" s="293"/>
      <c r="I59" s="293"/>
      <c r="J59" s="290">
        <v>6.5334225542387374</v>
      </c>
      <c r="K59" s="290">
        <v>-4.8848201130195488</v>
      </c>
      <c r="L59" s="289">
        <v>-5.0483298195768018</v>
      </c>
      <c r="M59" s="288">
        <v>46.017995390700001</v>
      </c>
      <c r="N59" s="290">
        <v>-20.548102648446449</v>
      </c>
      <c r="O59" s="289">
        <v>-21.228962032585457</v>
      </c>
      <c r="P59" s="288"/>
      <c r="Q59" s="290"/>
      <c r="R59" s="289"/>
      <c r="S59" s="504">
        <v>45741.104039351849</v>
      </c>
      <c r="T59" s="478" t="s">
        <v>458</v>
      </c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6" t="str">
        <f>'Weigh Sheet'!C71</f>
        <v>ISIRF Bamboo</v>
      </c>
      <c r="B60" s="287">
        <v>61</v>
      </c>
      <c r="C60" s="294">
        <v>1.581</v>
      </c>
      <c r="D60" s="294">
        <v>4.0268022500000002</v>
      </c>
      <c r="E60" s="466">
        <v>65638524</v>
      </c>
      <c r="F60" s="293">
        <v>9.4967919999999992</v>
      </c>
      <c r="G60" s="466">
        <v>98699496</v>
      </c>
      <c r="H60" s="293"/>
      <c r="I60" s="293"/>
      <c r="J60" s="290">
        <v>3.0391939411703648</v>
      </c>
      <c r="K60" s="290">
        <v>2.4636396753496488</v>
      </c>
      <c r="L60" s="289">
        <v>2.0619767233059849</v>
      </c>
      <c r="M60" s="288">
        <v>43.490597213699999</v>
      </c>
      <c r="N60" s="290">
        <v>-29.496363159439973</v>
      </c>
      <c r="O60" s="289">
        <v>-30.272724889899553</v>
      </c>
      <c r="P60" s="288"/>
      <c r="Q60" s="290"/>
      <c r="R60" s="289"/>
      <c r="S60" s="504">
        <v>45741.111886574072</v>
      </c>
      <c r="T60" s="478" t="s">
        <v>459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.5" thickBot="1">
      <c r="A61" s="286" t="str">
        <f>'Weigh Sheet'!C72</f>
        <v>NBS 1575 Pine Needles</v>
      </c>
      <c r="B61" s="287">
        <v>62</v>
      </c>
      <c r="C61" s="294">
        <v>6.8730000000000002</v>
      </c>
      <c r="D61" s="294">
        <v>6.4289025000000004</v>
      </c>
      <c r="E61" s="466">
        <v>117563456</v>
      </c>
      <c r="F61" s="293">
        <v>34.458419999999997</v>
      </c>
      <c r="G61" s="466">
        <v>507203456</v>
      </c>
      <c r="H61" s="293"/>
      <c r="I61" s="293"/>
      <c r="J61" s="290">
        <v>1.2808621609475372</v>
      </c>
      <c r="K61" s="290">
        <v>0.80463767481587167</v>
      </c>
      <c r="L61" s="289">
        <v>0.45674064407736448</v>
      </c>
      <c r="M61" s="288">
        <v>51.620329659599996</v>
      </c>
      <c r="N61" s="290">
        <v>-25.235220887196743</v>
      </c>
      <c r="O61" s="289">
        <v>-25.966104607208923</v>
      </c>
      <c r="P61" s="288"/>
      <c r="Q61" s="290"/>
      <c r="R61" s="289"/>
      <c r="S61" s="504">
        <v>45741.119791666664</v>
      </c>
      <c r="T61" s="478" t="s">
        <v>460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6.25" thickTop="1">
      <c r="A62" s="358" t="s">
        <v>0</v>
      </c>
      <c r="B62" s="359" t="s">
        <v>136</v>
      </c>
      <c r="C62" s="360" t="s">
        <v>157</v>
      </c>
      <c r="D62" s="360" t="s">
        <v>68</v>
      </c>
      <c r="E62" s="361" t="s">
        <v>135</v>
      </c>
      <c r="F62" s="362" t="s">
        <v>67</v>
      </c>
      <c r="G62" s="361" t="s">
        <v>208</v>
      </c>
      <c r="H62" s="362" t="s">
        <v>184</v>
      </c>
      <c r="I62" s="357" t="s">
        <v>158</v>
      </c>
      <c r="J62" s="354" t="s">
        <v>160</v>
      </c>
      <c r="K62" s="355" t="s">
        <v>159</v>
      </c>
      <c r="L62" s="356" t="s">
        <v>160</v>
      </c>
      <c r="M62" s="361" t="s">
        <v>209</v>
      </c>
      <c r="N62" s="356" t="s">
        <v>160</v>
      </c>
      <c r="O62" s="337"/>
      <c r="P62" s="338"/>
      <c r="Q62" s="339"/>
      <c r="S62" s="340"/>
    </row>
    <row r="63" spans="1:37" ht="13.5" thickBot="1">
      <c r="A63" s="363" t="s">
        <v>249</v>
      </c>
      <c r="B63" s="307" t="s">
        <v>137</v>
      </c>
      <c r="C63" s="307">
        <v>7.4989402826592171</v>
      </c>
      <c r="D63" s="307">
        <v>4.2927354420000006</v>
      </c>
      <c r="E63" s="317">
        <v>-12.890511300308667</v>
      </c>
      <c r="F63" s="364">
        <v>33.294437556499993</v>
      </c>
      <c r="G63" s="317"/>
      <c r="H63" s="364"/>
      <c r="I63" s="370">
        <v>0.96759140658790188</v>
      </c>
      <c r="J63" s="371">
        <v>-0.32181985549134362</v>
      </c>
      <c r="K63" s="371">
        <v>1.0106727275321545</v>
      </c>
      <c r="L63" s="372">
        <v>-0.46155508326939554</v>
      </c>
      <c r="M63" s="371"/>
      <c r="N63" s="372"/>
      <c r="O63" s="296"/>
      <c r="P63" s="297"/>
      <c r="Q63" s="183"/>
      <c r="R63" s="2"/>
      <c r="S63"/>
      <c r="T63" s="2"/>
    </row>
    <row r="64" spans="1:37" ht="13.5" thickTop="1">
      <c r="A64" s="363" t="s">
        <v>255</v>
      </c>
      <c r="B64" s="307" t="s">
        <v>129</v>
      </c>
      <c r="C64" s="307">
        <v>-5.009378479975914</v>
      </c>
      <c r="D64" s="307">
        <v>6.5259674513333339</v>
      </c>
      <c r="E64" s="317">
        <v>-21.201039386165913</v>
      </c>
      <c r="F64" s="364">
        <v>44.925158736166672</v>
      </c>
      <c r="G64" s="317"/>
      <c r="H64" s="364"/>
      <c r="N64" s="42"/>
      <c r="O64" s="42"/>
    </row>
    <row r="65" spans="1:15">
      <c r="A65" s="363" t="s">
        <v>254</v>
      </c>
      <c r="B65" s="307" t="s">
        <v>130</v>
      </c>
      <c r="C65" s="307">
        <v>2.0694573473526137</v>
      </c>
      <c r="D65" s="307">
        <v>3.046377295333333</v>
      </c>
      <c r="E65" s="317">
        <v>-30.291663706283909</v>
      </c>
      <c r="F65" s="364">
        <v>45.850178489166666</v>
      </c>
      <c r="G65" s="317"/>
      <c r="H65" s="364"/>
      <c r="N65" s="42"/>
      <c r="O65" s="42"/>
    </row>
    <row r="66" spans="1:15" ht="13.5" thickBot="1">
      <c r="A66" s="365" t="s">
        <v>357</v>
      </c>
      <c r="B66" s="366" t="s">
        <v>461</v>
      </c>
      <c r="C66" s="366">
        <v>0.36348602875537961</v>
      </c>
      <c r="D66" s="366">
        <v>1.1397948813333334</v>
      </c>
      <c r="E66" s="367">
        <v>-25.808177691861903</v>
      </c>
      <c r="F66" s="368">
        <v>52.254103751499997</v>
      </c>
      <c r="G66" s="367"/>
      <c r="H66" s="368"/>
      <c r="N66" s="42"/>
      <c r="O66" s="42"/>
    </row>
    <row r="67" spans="1:15" ht="13.5" thickTop="1"/>
    <row r="68" spans="1:15">
      <c r="B68" s="33"/>
      <c r="C68" s="349"/>
      <c r="D68" s="33"/>
      <c r="E68" s="349"/>
      <c r="F68" s="33"/>
      <c r="G68" s="349"/>
      <c r="H68" s="349"/>
      <c r="I68" s="349"/>
      <c r="J68" s="350"/>
    </row>
    <row r="69" spans="1:15">
      <c r="B69" s="33"/>
      <c r="C69" s="351"/>
      <c r="D69" s="351"/>
      <c r="E69" s="352"/>
      <c r="F69" s="353"/>
      <c r="G69" s="349"/>
      <c r="H69" s="349"/>
      <c r="I69" s="349"/>
      <c r="J69" s="350"/>
    </row>
    <row r="70" spans="1:15">
      <c r="B70" s="33"/>
      <c r="C70" s="349"/>
      <c r="D70" s="33"/>
      <c r="E70" s="349"/>
      <c r="F70" s="33"/>
      <c r="G70" s="349"/>
      <c r="H70" s="349"/>
      <c r="I70" s="349"/>
      <c r="J70" s="350"/>
    </row>
    <row r="71" spans="1:15">
      <c r="B71" s="33"/>
      <c r="C71" s="349"/>
      <c r="D71" s="33"/>
      <c r="E71" s="349"/>
      <c r="F71" s="33"/>
      <c r="G71" s="349"/>
      <c r="H71" s="349"/>
      <c r="I71" s="349"/>
      <c r="J71" s="350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" priority="2" operator="notBetween">
      <formula>0.5</formula>
      <formula>40</formula>
    </cfRule>
  </conditionalFormatting>
  <conditionalFormatting sqref="F6:F61">
    <cfRule type="cellIs" dxfId="0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S15" sqref="S15"/>
    </sheetView>
  </sheetViews>
  <sheetFormatPr defaultColWidth="9.140625" defaultRowHeight="12.75"/>
  <cols>
    <col min="1" max="1" width="12.7109375" style="26" customWidth="1"/>
    <col min="2" max="2" width="27" style="26" customWidth="1"/>
    <col min="3" max="3" width="22.140625" style="26" customWidth="1"/>
    <col min="4" max="4" width="18.7109375" style="26" bestFit="1" customWidth="1"/>
    <col min="5" max="5" width="11.42578125" style="26" bestFit="1" customWidth="1"/>
    <col min="6" max="6" width="7.7109375" style="45" customWidth="1"/>
    <col min="7" max="7" width="8.85546875" style="45" bestFit="1" customWidth="1"/>
    <col min="8" max="9" width="10" style="45" bestFit="1" customWidth="1"/>
    <col min="10" max="10" width="8.42578125" style="45" bestFit="1" customWidth="1"/>
    <col min="11" max="11" width="8.5703125" style="45" bestFit="1" customWidth="1"/>
    <col min="12" max="12" width="10" style="45" bestFit="1" customWidth="1"/>
    <col min="13" max="13" width="11.42578125" style="45" customWidth="1"/>
    <col min="14" max="14" width="10.42578125" style="44" customWidth="1"/>
    <col min="15" max="15" width="8.5703125" style="44" customWidth="1"/>
    <col min="16" max="16" width="6.7109375" style="44" customWidth="1"/>
    <col min="17" max="17" width="12.85546875" style="44" customWidth="1"/>
    <col min="18" max="16384" width="9.140625" style="26"/>
  </cols>
  <sheetData>
    <row r="1" spans="1:17">
      <c r="A1" s="48"/>
      <c r="B1" s="48"/>
      <c r="C1" s="48"/>
      <c r="D1" s="48"/>
      <c r="E1" s="48"/>
      <c r="F1" s="49"/>
      <c r="G1" s="49"/>
      <c r="H1" s="49"/>
      <c r="I1" s="49"/>
      <c r="J1" s="49"/>
      <c r="K1" s="49"/>
      <c r="L1" s="49"/>
      <c r="M1" s="49"/>
      <c r="N1" s="50"/>
      <c r="O1" s="50"/>
      <c r="P1" s="50"/>
      <c r="Q1" s="50"/>
    </row>
    <row r="2" spans="1:17">
      <c r="A2" s="48"/>
      <c r="B2" s="48"/>
      <c r="C2" s="48"/>
      <c r="D2" s="48"/>
      <c r="E2" s="51" t="s">
        <v>10</v>
      </c>
      <c r="F2" s="52" t="str">
        <f>COVER!C2</f>
        <v>IC13C-241218-10KansasROARCarbon-3</v>
      </c>
      <c r="G2" s="53"/>
      <c r="H2" s="53"/>
      <c r="I2" s="54"/>
      <c r="J2" s="49"/>
      <c r="K2" s="49"/>
      <c r="L2" s="49"/>
      <c r="M2" s="49"/>
      <c r="N2" s="50"/>
      <c r="O2" s="50"/>
      <c r="P2" s="50"/>
      <c r="Q2" s="50"/>
    </row>
    <row r="3" spans="1:17" ht="13.5" thickBot="1">
      <c r="A3" s="48"/>
      <c r="B3" s="48"/>
      <c r="C3" s="48"/>
      <c r="D3" s="48"/>
      <c r="E3" s="48"/>
      <c r="F3" s="49"/>
      <c r="G3" s="49"/>
      <c r="H3" s="49"/>
      <c r="I3" s="49"/>
      <c r="J3" s="49"/>
      <c r="K3" s="49"/>
      <c r="L3" s="49"/>
      <c r="M3" s="49"/>
      <c r="N3" s="50"/>
      <c r="O3" s="50"/>
      <c r="P3" s="26"/>
      <c r="Q3" s="26"/>
    </row>
    <row r="4" spans="1:17" ht="15" thickTop="1">
      <c r="A4" s="55" t="s">
        <v>91</v>
      </c>
      <c r="B4" s="56"/>
      <c r="C4" s="57"/>
      <c r="D4" s="58"/>
      <c r="E4" s="59" t="s">
        <v>216</v>
      </c>
      <c r="F4" s="60"/>
      <c r="G4" s="60"/>
      <c r="H4" s="58"/>
      <c r="I4" s="60" t="s">
        <v>67</v>
      </c>
      <c r="J4" s="60"/>
      <c r="K4" s="61"/>
      <c r="L4" s="62"/>
      <c r="M4" s="63" t="s">
        <v>81</v>
      </c>
      <c r="N4" s="64"/>
      <c r="O4" s="65"/>
      <c r="P4" s="26"/>
      <c r="Q4" s="26"/>
    </row>
    <row r="5" spans="1:17" ht="15" thickBot="1">
      <c r="A5" s="66"/>
      <c r="B5" s="67"/>
      <c r="C5" s="68" t="s">
        <v>85</v>
      </c>
      <c r="D5" s="69" t="s">
        <v>14</v>
      </c>
      <c r="E5" s="69" t="s">
        <v>15</v>
      </c>
      <c r="F5" s="69" t="s">
        <v>139</v>
      </c>
      <c r="G5" s="70" t="s">
        <v>5</v>
      </c>
      <c r="H5" s="69" t="s">
        <v>14</v>
      </c>
      <c r="I5" s="69" t="s">
        <v>15</v>
      </c>
      <c r="J5" s="69" t="s">
        <v>139</v>
      </c>
      <c r="K5" s="70" t="s">
        <v>233</v>
      </c>
      <c r="L5" s="71" t="s">
        <v>94</v>
      </c>
      <c r="M5" s="72" t="s">
        <v>223</v>
      </c>
      <c r="N5" s="73"/>
      <c r="O5" s="74">
        <f>IF(SUM(L7:L11)&lt;2,"",SQRT((SUMPRODUCT(F6:F11,L6:L11))/SUM(L6:L11)))</f>
        <v>0.12326710099178592</v>
      </c>
      <c r="P5" s="26"/>
      <c r="Q5" s="26"/>
    </row>
    <row r="6" spans="1:17" ht="14.25" thickTop="1" thickBot="1">
      <c r="A6" s="75" t="s">
        <v>138</v>
      </c>
      <c r="B6" s="76"/>
      <c r="C6" s="77" t="str">
        <f>'ISIRF 13C'!A7</f>
        <v>NBS 1575 Pine Needles</v>
      </c>
      <c r="D6" s="375">
        <f>'ISIRF 13C'!C7</f>
        <v>-25.808177691861903</v>
      </c>
      <c r="E6" s="132">
        <f>'ISIRF 13C'!B33</f>
        <v>-25.890862792678657</v>
      </c>
      <c r="F6" s="132">
        <f>'ISIRF 13C'!C33</f>
        <v>5.4946422993454608E-3</v>
      </c>
      <c r="G6" s="106">
        <f>'ISIRF 13C'!D33</f>
        <v>7.4125854459462792E-2</v>
      </c>
      <c r="H6" s="105">
        <f>'ISIRF 13C'!D7</f>
        <v>52.254103751499997</v>
      </c>
      <c r="I6" s="107">
        <f>'ISIRF 13C'!E33</f>
        <v>51.553406165700004</v>
      </c>
      <c r="J6" s="107">
        <f>'ISIRF 13C'!F33</f>
        <v>4.0015174351950272E-3</v>
      </c>
      <c r="K6" s="390">
        <f>'ISIRF 13C'!G33</f>
        <v>1.2270294661244415E-3</v>
      </c>
      <c r="L6" s="399">
        <f>'ISIRF 13C'!H33</f>
        <v>3</v>
      </c>
      <c r="M6" s="81" t="s">
        <v>89</v>
      </c>
      <c r="N6" s="82"/>
      <c r="O6" s="83">
        <f>AVERAGE(K6:K11)</f>
        <v>3.3802045111021591E-2</v>
      </c>
      <c r="P6" s="26"/>
      <c r="Q6" s="26"/>
    </row>
    <row r="7" spans="1:17" ht="13.5" thickTop="1">
      <c r="A7" s="84" t="s">
        <v>86</v>
      </c>
      <c r="B7" s="85"/>
      <c r="C7" s="86" t="str">
        <f>'ISIRF 13C'!D11</f>
        <v>ISIRF Ulva</v>
      </c>
      <c r="D7" s="100">
        <f>'ISIRF 13C'!C4</f>
        <v>-12.890511300308667</v>
      </c>
      <c r="E7" s="98">
        <f>'ISIRF 13C'!B30</f>
        <v>-12.889083769786634</v>
      </c>
      <c r="F7" s="98">
        <f>'ISIRF 13C'!C30</f>
        <v>2.4479140742987647E-2</v>
      </c>
      <c r="G7" s="99">
        <f>'ISIRF 13C'!D30</f>
        <v>0.15645811178391375</v>
      </c>
      <c r="H7" s="100">
        <f>'ISIRF 13C'!D4</f>
        <v>33.294437556499993</v>
      </c>
      <c r="I7" s="98">
        <f>'ISIRF 13C'!E30</f>
        <v>33.509498874300007</v>
      </c>
      <c r="J7" s="98">
        <f>'ISIRF 13C'!F30</f>
        <v>0.82789450078229021</v>
      </c>
      <c r="K7" s="99">
        <f>'ISIRF 13C'!G30</f>
        <v>2.7153109175079748E-2</v>
      </c>
      <c r="L7" s="400">
        <f>'ISIRF 13C'!H30</f>
        <v>5</v>
      </c>
      <c r="M7" s="87" t="s">
        <v>82</v>
      </c>
      <c r="N7" s="88"/>
      <c r="O7" s="89"/>
      <c r="P7" s="26"/>
      <c r="Q7" s="26"/>
    </row>
    <row r="8" spans="1:17" ht="14.25">
      <c r="A8" s="90" t="s">
        <v>87</v>
      </c>
      <c r="B8" s="91"/>
      <c r="C8" s="92" t="str">
        <f>'ISIRF 13C'!A5</f>
        <v>ISIRF Chitin</v>
      </c>
      <c r="D8" s="104">
        <f>'ISIRF 13C'!C5</f>
        <v>-21.201039386165913</v>
      </c>
      <c r="E8" s="105">
        <f>'ISIRF 13C'!B31</f>
        <v>-21.211343145148206</v>
      </c>
      <c r="F8" s="105">
        <f>'ISIRF 13C'!C31</f>
        <v>1.5800555604598802E-2</v>
      </c>
      <c r="G8" s="376">
        <f>'ISIRF 13C'!D31</f>
        <v>0.12570026095676493</v>
      </c>
      <c r="H8" s="377">
        <f>'ISIRF 13C'!D5</f>
        <v>44.925158736166672</v>
      </c>
      <c r="I8" s="102">
        <f>'ISIRF 13C'!E31</f>
        <v>46.049389206600004</v>
      </c>
      <c r="J8" s="102">
        <f>'ISIRF 13C'!F31</f>
        <v>0.43346430290354343</v>
      </c>
      <c r="K8" s="103">
        <f>'ISIRF 13C'!G31</f>
        <v>1.4297259333123872E-2</v>
      </c>
      <c r="L8" s="401">
        <f>'ISIRF 13C'!H31</f>
        <v>3</v>
      </c>
      <c r="M8" s="72" t="s">
        <v>223</v>
      </c>
      <c r="N8" s="73"/>
      <c r="O8" s="74">
        <f>IF(COUNT(E6:E7)=0,"",D6-E6)</f>
        <v>8.2685100816753732E-2</v>
      </c>
      <c r="P8" s="26"/>
      <c r="Q8" s="26"/>
    </row>
    <row r="9" spans="1:17" ht="13.5" thickBot="1">
      <c r="A9" s="90" t="s">
        <v>88</v>
      </c>
      <c r="B9" s="93"/>
      <c r="C9" s="94" t="str">
        <f>'ISIRF 13C'!A6</f>
        <v>ISIRF Bamboo</v>
      </c>
      <c r="D9" s="377">
        <f>'ISIRF 13C'!C6</f>
        <v>-30.291663706283909</v>
      </c>
      <c r="E9" s="102">
        <f>'ISIRF 13C'!B32</f>
        <v>-30.283739164838355</v>
      </c>
      <c r="F9" s="102">
        <f>'ISIRF 13C'!C32</f>
        <v>1.3382332135689226E-2</v>
      </c>
      <c r="G9" s="103">
        <f>'ISIRF 13C'!D32</f>
        <v>0.11568203030587433</v>
      </c>
      <c r="H9" s="377">
        <f>'ISIRF 13C'!D6</f>
        <v>45.850178489166666</v>
      </c>
      <c r="I9" s="380">
        <f>'ISIRF 13C'!E32</f>
        <v>44.365153658100006</v>
      </c>
      <c r="J9" s="105">
        <f>'ISIRF 13C'!F32</f>
        <v>0.90607347723393272</v>
      </c>
      <c r="K9" s="105">
        <f>'ISIRF 13C'!G32</f>
        <v>2.1455553310025015E-2</v>
      </c>
      <c r="L9" s="402">
        <f>'ISIRF 13C'!H32</f>
        <v>3</v>
      </c>
      <c r="M9" s="95" t="s">
        <v>89</v>
      </c>
      <c r="N9" s="96"/>
      <c r="O9" s="97">
        <f>(H6-I6)</f>
        <v>0.70069758579999331</v>
      </c>
      <c r="P9" s="26"/>
      <c r="Q9" s="26"/>
    </row>
    <row r="10" spans="1:17" ht="14.25" thickTop="1" thickBot="1">
      <c r="A10" s="84" t="s">
        <v>92</v>
      </c>
      <c r="B10" s="85"/>
      <c r="C10" s="86" t="str">
        <f>'Investigator Data'!B4</f>
        <v xml:space="preserve">20231120_W1_H </v>
      </c>
      <c r="D10" s="100"/>
      <c r="E10" s="98">
        <f>'ISIRF 13C'!B28</f>
        <v>-17.516796774932899</v>
      </c>
      <c r="F10" s="98">
        <f>'ISIRF 13C'!C28</f>
        <v>1.6548726563949713E-2</v>
      </c>
      <c r="G10" s="99">
        <f>'ISIRF 13C'!D28</f>
        <v>0.12864185385771504</v>
      </c>
      <c r="H10" s="100"/>
      <c r="I10" s="98">
        <f>'ISIRF 13C'!E28</f>
        <v>1.4473969760999998</v>
      </c>
      <c r="J10" s="98">
        <f>'ISIRF 13C'!F28</f>
        <v>8.521865692779091E-3</v>
      </c>
      <c r="K10" s="99">
        <f>'ISIRF 13C'!G28</f>
        <v>6.3779290202914424E-2</v>
      </c>
      <c r="L10" s="101">
        <f>'ISIRF 13C'!H28</f>
        <v>2</v>
      </c>
      <c r="M10" s="50"/>
      <c r="N10" s="50"/>
      <c r="O10" s="50"/>
      <c r="P10" s="26"/>
      <c r="Q10" s="26"/>
    </row>
    <row r="11" spans="1:17" ht="13.5" thickTop="1">
      <c r="A11" s="90" t="s">
        <v>93</v>
      </c>
      <c r="B11" s="91"/>
      <c r="C11" s="86" t="str">
        <f>'Investigator Data'!B17</f>
        <v xml:space="preserve">20240407_E2_D </v>
      </c>
      <c r="D11" s="100"/>
      <c r="E11" s="98">
        <f>'ISIRF 13C'!B29</f>
        <v>-16.917573414540861</v>
      </c>
      <c r="F11" s="98">
        <f>'ISIRF 13C'!C29</f>
        <v>6.9901302014033061E-3</v>
      </c>
      <c r="G11" s="99">
        <f>'ISIRF 13C'!D29</f>
        <v>8.3606998519282494E-2</v>
      </c>
      <c r="H11" s="100"/>
      <c r="I11" s="98">
        <f>'ISIRF 13C'!E29</f>
        <v>2.6758165955999997</v>
      </c>
      <c r="J11" s="98">
        <f>'ISIRF 13C'!F29</f>
        <v>4.0167671779187876E-2</v>
      </c>
      <c r="K11" s="99">
        <f>'ISIRF 13C'!G29</f>
        <v>7.4900029178862057E-2</v>
      </c>
      <c r="L11" s="101">
        <f>'ISIRF 13C'!H29</f>
        <v>2</v>
      </c>
      <c r="M11" s="50"/>
      <c r="N11" s="50"/>
      <c r="O11" s="50"/>
      <c r="P11" s="26"/>
      <c r="Q11" s="26"/>
    </row>
    <row r="12" spans="1:17" ht="13.5" thickBot="1">
      <c r="A12" s="109"/>
      <c r="B12" s="109"/>
      <c r="C12" s="109"/>
      <c r="D12" s="378"/>
      <c r="E12" s="378"/>
      <c r="F12" s="378"/>
      <c r="G12" s="378"/>
      <c r="H12" s="378"/>
      <c r="I12" s="378"/>
      <c r="J12" s="378"/>
      <c r="K12" s="378"/>
      <c r="L12" s="391"/>
      <c r="M12" s="108"/>
      <c r="N12" s="108"/>
      <c r="O12" s="50"/>
      <c r="P12" s="26"/>
      <c r="Q12" s="26"/>
    </row>
    <row r="13" spans="1:17" ht="15" thickTop="1">
      <c r="A13" s="110" t="s">
        <v>95</v>
      </c>
      <c r="B13" s="56"/>
      <c r="C13" s="57"/>
      <c r="D13" s="395"/>
      <c r="E13" s="396" t="s">
        <v>217</v>
      </c>
      <c r="F13" s="397"/>
      <c r="G13" s="398"/>
      <c r="H13" s="397"/>
      <c r="I13" s="397" t="s">
        <v>68</v>
      </c>
      <c r="J13" s="397"/>
      <c r="K13" s="398"/>
      <c r="L13" s="395"/>
      <c r="M13" s="63" t="s">
        <v>83</v>
      </c>
      <c r="N13" s="64"/>
      <c r="O13" s="65"/>
      <c r="P13" s="26"/>
      <c r="Q13" s="26"/>
    </row>
    <row r="14" spans="1:17" ht="15" thickBot="1">
      <c r="A14" s="66"/>
      <c r="B14" s="67"/>
      <c r="C14" s="68" t="s">
        <v>85</v>
      </c>
      <c r="D14" s="78" t="s">
        <v>14</v>
      </c>
      <c r="E14" s="79" t="s">
        <v>15</v>
      </c>
      <c r="F14" s="79" t="s">
        <v>139</v>
      </c>
      <c r="G14" s="80" t="s">
        <v>5</v>
      </c>
      <c r="H14" s="79" t="s">
        <v>14</v>
      </c>
      <c r="I14" s="79" t="s">
        <v>15</v>
      </c>
      <c r="J14" s="79" t="s">
        <v>139</v>
      </c>
      <c r="K14" s="80" t="s">
        <v>234</v>
      </c>
      <c r="L14" s="78" t="s">
        <v>94</v>
      </c>
      <c r="M14" s="72" t="s">
        <v>224</v>
      </c>
      <c r="N14" s="73"/>
      <c r="O14" s="74">
        <f>IF(SUM(L16:L20)&lt;2,"",SQRT(SUMPRODUCT(F15:F20,L15:L20)/SUM(L15:L20)))</f>
        <v>0.12667563483653205</v>
      </c>
      <c r="P14" s="26"/>
      <c r="Q14" s="26"/>
    </row>
    <row r="15" spans="1:17" ht="14.25" thickTop="1" thickBot="1">
      <c r="A15" s="75" t="s">
        <v>138</v>
      </c>
      <c r="B15" s="75"/>
      <c r="C15" s="111" t="str">
        <f>'ISIRF 15N'!A7</f>
        <v>NBS 1575 Pine Needles</v>
      </c>
      <c r="D15" s="379">
        <f>'ISIRF 15N'!C7</f>
        <v>0.36348602875537961</v>
      </c>
      <c r="E15" s="380">
        <f>'ISIRF 15N'!B33</f>
        <v>0.4687205578134499</v>
      </c>
      <c r="F15" s="380">
        <f>'ISIRF 15N'!C33</f>
        <v>1.6134707390014713E-2</v>
      </c>
      <c r="G15" s="381">
        <f>'ISIRF 15N'!D33</f>
        <v>0.12702246805197384</v>
      </c>
      <c r="H15" s="380">
        <f>'ISIRF 15N'!D7</f>
        <v>1.1397948813333334</v>
      </c>
      <c r="I15" s="380">
        <f>'ISIRF 15N'!E33</f>
        <v>1.2619881967348192</v>
      </c>
      <c r="J15" s="392">
        <f>'ISIRF 15N'!F33</f>
        <v>1.2402947506025244E-3</v>
      </c>
      <c r="K15" s="393">
        <f>'ISIRF 15N'!G33</f>
        <v>2.7906614929587088E-2</v>
      </c>
      <c r="L15" s="406">
        <f>'ISIRF 15N'!H33</f>
        <v>3</v>
      </c>
      <c r="M15" s="81" t="s">
        <v>90</v>
      </c>
      <c r="N15" s="82"/>
      <c r="O15" s="83">
        <f>AVERAGE(K15:K20)</f>
        <v>2.4771979499998233E-2</v>
      </c>
      <c r="P15" s="26"/>
      <c r="Q15" s="26"/>
    </row>
    <row r="16" spans="1:17" ht="13.5" thickTop="1">
      <c r="A16" s="112" t="s">
        <v>86</v>
      </c>
      <c r="B16" s="113"/>
      <c r="C16" s="114" t="str">
        <f>'ISIRF 15N'!A4</f>
        <v>ISIRF Ulva</v>
      </c>
      <c r="D16" s="382">
        <f>'ISIRF 15N'!C4</f>
        <v>7.4989402826592171</v>
      </c>
      <c r="E16" s="123">
        <f>'ISIRF 15N'!B30</f>
        <v>7.5205279311046542</v>
      </c>
      <c r="F16" s="124">
        <f>'ISIRF 15N'!C30</f>
        <v>1.3384648470594283E-2</v>
      </c>
      <c r="G16" s="125">
        <f>'ISIRF 15N'!D30</f>
        <v>0.1156920415179639</v>
      </c>
      <c r="H16" s="123">
        <f>'ISIRF 15N'!D4</f>
        <v>4.2927354420000006</v>
      </c>
      <c r="I16" s="123">
        <f>'ISIRF 15N'!E30</f>
        <v>4.278988194944465</v>
      </c>
      <c r="J16" s="383">
        <f>'ISIRF 15N'!F30</f>
        <v>4.3693963288828783E-2</v>
      </c>
      <c r="K16" s="125">
        <f>'ISIRF 15N'!G30</f>
        <v>4.8850569533958374E-2</v>
      </c>
      <c r="L16" s="403">
        <f>'ISIRF 15N'!H30</f>
        <v>5</v>
      </c>
      <c r="M16" s="87" t="s">
        <v>84</v>
      </c>
      <c r="N16" s="88"/>
      <c r="O16" s="89"/>
      <c r="P16" s="26"/>
      <c r="Q16" s="26"/>
    </row>
    <row r="17" spans="1:18" ht="14.25">
      <c r="A17" s="115" t="s">
        <v>87</v>
      </c>
      <c r="B17" s="116"/>
      <c r="C17" s="117" t="str">
        <f>'ISIRF 15N'!A5</f>
        <v>ISIRF Chitin</v>
      </c>
      <c r="D17" s="379">
        <f>'ISIRF 15N'!C5</f>
        <v>-5.009378479975914</v>
      </c>
      <c r="E17" s="128">
        <f>'ISIRF 15N'!B31</f>
        <v>-4.9775203312975913</v>
      </c>
      <c r="F17" s="383">
        <f>'ISIRF 15N'!C31</f>
        <v>4.2543877083113558E-3</v>
      </c>
      <c r="G17" s="384">
        <f>'ISIRF 15N'!D31</f>
        <v>6.5225667557422179E-2</v>
      </c>
      <c r="H17" s="128">
        <f>'ISIRF 15N'!D5</f>
        <v>6.5259674513333339</v>
      </c>
      <c r="I17" s="128">
        <f>'ISIRF 15N'!E31</f>
        <v>6.5145893316247987</v>
      </c>
      <c r="J17" s="129">
        <f>'ISIRF 15N'!F31</f>
        <v>8.6352641667043865E-3</v>
      </c>
      <c r="K17" s="130">
        <f>'ISIRF 15N'!G31</f>
        <v>1.4264310052361279E-2</v>
      </c>
      <c r="L17" s="404">
        <f>'ISIRF 15N'!H31</f>
        <v>3</v>
      </c>
      <c r="M17" s="72" t="s">
        <v>224</v>
      </c>
      <c r="N17" s="118"/>
      <c r="O17" s="74">
        <f>IF(COUNT(E15:E16)=0,"",D15-E15)</f>
        <v>-0.10523452905807029</v>
      </c>
      <c r="P17" s="26"/>
      <c r="Q17" s="26"/>
    </row>
    <row r="18" spans="1:18" ht="13.5" thickBot="1">
      <c r="A18" s="119" t="s">
        <v>88</v>
      </c>
      <c r="B18" s="120"/>
      <c r="C18" s="121" t="str">
        <f>'ISIRF 15N'!A6</f>
        <v>ISIRF Bamboo</v>
      </c>
      <c r="D18" s="379">
        <f>'ISIRF 15N'!C6</f>
        <v>2.0694573473526137</v>
      </c>
      <c r="E18" s="128">
        <f>'ISIRF 15N'!B32</f>
        <v>2.001619784598569</v>
      </c>
      <c r="F18" s="385">
        <f>'ISIRF 15N'!C32</f>
        <v>4.6394183655749906E-3</v>
      </c>
      <c r="G18" s="386">
        <f>'ISIRF 15N'!D32</f>
        <v>6.811327598622012E-2</v>
      </c>
      <c r="H18" s="389">
        <f>'ISIRF 15N'!D6</f>
        <v>3.046377295333333</v>
      </c>
      <c r="I18" s="389">
        <f>'ISIRF 15N'!E32</f>
        <v>3.0806674934677623</v>
      </c>
      <c r="J18" s="385">
        <f>'ISIRF 15N'!F32</f>
        <v>3.7681967095040091E-3</v>
      </c>
      <c r="K18" s="385">
        <f>'ISIRF 15N'!G32</f>
        <v>1.9926084008623033E-2</v>
      </c>
      <c r="L18" s="405">
        <f>'ISIRF 15N'!H32</f>
        <v>3</v>
      </c>
      <c r="M18" s="95" t="s">
        <v>90</v>
      </c>
      <c r="N18" s="122"/>
      <c r="O18" s="97">
        <f>IF(COUNT(I15,I17:I18)=0,"",H15-I15)</f>
        <v>-0.12219331540148581</v>
      </c>
      <c r="P18" s="26"/>
      <c r="Q18" s="26"/>
    </row>
    <row r="19" spans="1:18" ht="14.25" thickTop="1" thickBot="1">
      <c r="A19" s="112" t="s">
        <v>92</v>
      </c>
      <c r="B19" s="113"/>
      <c r="C19" s="111" t="str">
        <f>'Investigator Data'!B4</f>
        <v xml:space="preserve">20231120_W1_H </v>
      </c>
      <c r="D19" s="506"/>
      <c r="E19" s="507">
        <f>'ISIRF 15N'!B28</f>
        <v>6.0309836046623042</v>
      </c>
      <c r="F19" s="507">
        <f>'ISIRF 15N'!C28</f>
        <v>5.0163255910957875E-2</v>
      </c>
      <c r="G19" s="508">
        <f>'ISIRF 15N'!D28</f>
        <v>0.22397155156617074</v>
      </c>
      <c r="H19" s="389"/>
      <c r="I19" s="507">
        <f>'ISIRF 15N'!E28</f>
        <v>0.23881289370154954</v>
      </c>
      <c r="J19" s="507">
        <f>'ISIRF 15N'!F28</f>
        <v>7.6754945580935745E-7</v>
      </c>
      <c r="K19" s="508">
        <f>'ISIRF 15N'!G28</f>
        <v>3.6685581975244145E-3</v>
      </c>
      <c r="L19" s="509">
        <f>'ISIRF 15N'!H28</f>
        <v>2</v>
      </c>
      <c r="M19" s="50"/>
      <c r="N19" s="50"/>
      <c r="O19" s="50"/>
      <c r="P19" s="26"/>
      <c r="Q19" s="26"/>
    </row>
    <row r="20" spans="1:18" ht="14.25" thickTop="1" thickBot="1">
      <c r="A20" s="119" t="s">
        <v>93</v>
      </c>
      <c r="B20" s="120"/>
      <c r="C20" s="505" t="str">
        <f>'Investigator Data'!B17</f>
        <v xml:space="preserve">20240407_E2_D </v>
      </c>
      <c r="D20" s="506"/>
      <c r="E20" s="507">
        <f>'ISIRF 15N'!B29</f>
        <v>7.3373171423750678</v>
      </c>
      <c r="F20" s="507">
        <f>'ISIRF 15N'!C29</f>
        <v>2.3252800867850556E-2</v>
      </c>
      <c r="G20" s="508">
        <f>'ISIRF 15N'!D29</f>
        <v>0.15248869095067527</v>
      </c>
      <c r="H20" s="389"/>
      <c r="I20" s="507">
        <f>'ISIRF 15N'!E29</f>
        <v>0.3326313079213829</v>
      </c>
      <c r="J20" s="507">
        <f>'ISIRF 15N'!F29</f>
        <v>1.2802244013078838E-4</v>
      </c>
      <c r="K20" s="508">
        <f>'ISIRF 15N'!G29</f>
        <v>3.4015740277935212E-2</v>
      </c>
      <c r="L20" s="509">
        <f>'ISIRF 15N'!H29</f>
        <v>2</v>
      </c>
      <c r="M20" s="50"/>
      <c r="N20" s="50"/>
      <c r="O20" s="50"/>
      <c r="P20" s="26"/>
      <c r="Q20" s="26"/>
    </row>
    <row r="21" spans="1:18" ht="14.25" thickTop="1" thickBot="1">
      <c r="A21" s="48"/>
      <c r="B21" s="48"/>
      <c r="C21" s="48"/>
      <c r="D21" s="49"/>
      <c r="E21" s="49"/>
      <c r="F21" s="49"/>
      <c r="G21" s="49"/>
      <c r="H21" s="49"/>
      <c r="I21" s="49"/>
      <c r="J21" s="49"/>
      <c r="K21" s="133"/>
      <c r="L21" s="134"/>
      <c r="M21" s="134"/>
      <c r="N21" s="135"/>
      <c r="O21" s="50"/>
      <c r="P21" s="26"/>
      <c r="Q21" s="26"/>
    </row>
    <row r="22" spans="1:18" ht="15" thickTop="1">
      <c r="A22" s="110" t="s">
        <v>210</v>
      </c>
      <c r="B22" s="56"/>
      <c r="C22" s="57"/>
      <c r="D22" s="395"/>
      <c r="E22" s="396" t="s">
        <v>218</v>
      </c>
      <c r="F22" s="397"/>
      <c r="G22" s="398"/>
      <c r="H22" s="397"/>
      <c r="I22" s="397" t="s">
        <v>184</v>
      </c>
      <c r="J22" s="397"/>
      <c r="K22" s="398"/>
      <c r="L22" s="395"/>
      <c r="M22" s="63" t="s">
        <v>219</v>
      </c>
      <c r="N22" s="64"/>
      <c r="O22" s="65"/>
      <c r="P22" s="26"/>
      <c r="Q22" s="26"/>
    </row>
    <row r="23" spans="1:18" ht="15" thickBot="1">
      <c r="A23" s="66"/>
      <c r="B23" s="67"/>
      <c r="C23" s="68" t="s">
        <v>85</v>
      </c>
      <c r="D23" s="78" t="s">
        <v>14</v>
      </c>
      <c r="E23" s="79" t="s">
        <v>15</v>
      </c>
      <c r="F23" s="79" t="s">
        <v>139</v>
      </c>
      <c r="G23" s="80" t="s">
        <v>5</v>
      </c>
      <c r="H23" s="79" t="s">
        <v>14</v>
      </c>
      <c r="I23" s="79" t="s">
        <v>15</v>
      </c>
      <c r="J23" s="79" t="s">
        <v>139</v>
      </c>
      <c r="K23" s="80" t="s">
        <v>5</v>
      </c>
      <c r="L23" s="78" t="s">
        <v>94</v>
      </c>
      <c r="M23" s="72" t="s">
        <v>222</v>
      </c>
      <c r="N23" s="73"/>
      <c r="O23" s="74" t="str">
        <f>IF(SUM(L25:L29)&lt;2,"",SQRT(SUMPRODUCT(F24:F29,L24:L29)/SUM(L24:L29)))</f>
        <v/>
      </c>
      <c r="P23" s="26"/>
      <c r="Q23" s="26"/>
    </row>
    <row r="24" spans="1:18" ht="14.25" thickTop="1" thickBot="1">
      <c r="A24" s="75" t="s">
        <v>138</v>
      </c>
      <c r="B24" s="75"/>
      <c r="C24" s="111"/>
      <c r="D24" s="379"/>
      <c r="E24" s="380"/>
      <c r="F24" s="380"/>
      <c r="G24" s="381"/>
      <c r="H24" s="380"/>
      <c r="I24" s="380"/>
      <c r="J24" s="392"/>
      <c r="K24" s="393"/>
      <c r="L24" s="406"/>
      <c r="M24" s="81" t="s">
        <v>221</v>
      </c>
      <c r="N24" s="82"/>
      <c r="O24" s="83" t="str">
        <f>IF(SUM(L25:L29)&lt;2,"",SQRT(SUMPRODUCT(J24:J29,L24:L29)/SUM(L24:L29)))</f>
        <v/>
      </c>
      <c r="P24" s="26"/>
      <c r="Q24" s="26"/>
    </row>
    <row r="25" spans="1:18" ht="13.5" thickTop="1">
      <c r="A25" s="112" t="s">
        <v>86</v>
      </c>
      <c r="B25" s="113"/>
      <c r="C25" s="114"/>
      <c r="D25" s="382"/>
      <c r="E25" s="123"/>
      <c r="F25" s="124"/>
      <c r="G25" s="125"/>
      <c r="H25" s="123"/>
      <c r="I25" s="123"/>
      <c r="J25" s="383"/>
      <c r="K25" s="394"/>
      <c r="L25" s="403"/>
      <c r="M25" s="87" t="s">
        <v>220</v>
      </c>
      <c r="N25" s="88"/>
      <c r="O25" s="89"/>
      <c r="P25" s="26"/>
      <c r="Q25" s="26"/>
    </row>
    <row r="26" spans="1:18" ht="14.25">
      <c r="A26" s="115" t="s">
        <v>87</v>
      </c>
      <c r="B26" s="116"/>
      <c r="C26" s="117"/>
      <c r="D26" s="379"/>
      <c r="E26" s="128"/>
      <c r="F26" s="383"/>
      <c r="G26" s="384"/>
      <c r="H26" s="128"/>
      <c r="I26" s="128"/>
      <c r="J26" s="129"/>
      <c r="K26" s="130"/>
      <c r="L26" s="404"/>
      <c r="M26" s="72" t="s">
        <v>222</v>
      </c>
      <c r="N26" s="118"/>
      <c r="O26" s="74" t="str">
        <f>IF(COUNT(E24:E25)=0,"",D24-E24)</f>
        <v/>
      </c>
      <c r="P26" s="26"/>
      <c r="Q26" s="26"/>
    </row>
    <row r="27" spans="1:18" ht="13.5" thickBot="1">
      <c r="A27" s="119" t="s">
        <v>88</v>
      </c>
      <c r="B27" s="120"/>
      <c r="C27" s="121"/>
      <c r="D27" s="379"/>
      <c r="E27" s="128"/>
      <c r="F27" s="385"/>
      <c r="G27" s="386"/>
      <c r="H27" s="389"/>
      <c r="I27" s="389"/>
      <c r="J27" s="385"/>
      <c r="K27" s="385"/>
      <c r="L27" s="405"/>
      <c r="M27" s="95" t="s">
        <v>221</v>
      </c>
      <c r="N27" s="122"/>
      <c r="O27" s="97" t="str">
        <f>IF(COUNT(I24,I26:I27)=0,"",AVERAGE(H24-I24,H26-I26,H27-I27))</f>
        <v/>
      </c>
      <c r="P27" s="26"/>
      <c r="Q27" s="26"/>
    </row>
    <row r="28" spans="1:18" ht="13.5" thickTop="1">
      <c r="A28" s="112" t="s">
        <v>92</v>
      </c>
      <c r="B28" s="113"/>
      <c r="C28" s="111"/>
      <c r="D28" s="387"/>
      <c r="E28" s="124"/>
      <c r="F28" s="124"/>
      <c r="G28" s="125"/>
      <c r="H28" s="123"/>
      <c r="I28" s="124"/>
      <c r="J28" s="124"/>
      <c r="K28" s="125"/>
      <c r="L28" s="126"/>
      <c r="M28" s="50"/>
      <c r="N28" s="50"/>
      <c r="O28" s="50"/>
      <c r="P28" s="26"/>
      <c r="Q28" s="26"/>
    </row>
    <row r="29" spans="1:18">
      <c r="A29" s="115" t="s">
        <v>93</v>
      </c>
      <c r="B29" s="116"/>
      <c r="C29" s="127"/>
      <c r="D29" s="388"/>
      <c r="E29" s="129"/>
      <c r="F29" s="129"/>
      <c r="G29" s="130"/>
      <c r="H29" s="128"/>
      <c r="I29" s="129"/>
      <c r="J29" s="129"/>
      <c r="K29" s="130"/>
      <c r="L29" s="131"/>
      <c r="M29" s="50"/>
      <c r="N29" s="50"/>
      <c r="O29" s="50"/>
      <c r="P29" s="26"/>
      <c r="Q29" s="26"/>
    </row>
    <row r="30" spans="1:18" ht="13.5" thickBot="1">
      <c r="A30" s="48"/>
      <c r="B30" s="48"/>
      <c r="C30" s="48"/>
      <c r="D30" s="48"/>
      <c r="E30" s="48"/>
      <c r="F30" s="49"/>
      <c r="G30" s="49"/>
      <c r="H30" s="49"/>
      <c r="I30" s="49"/>
      <c r="J30" s="49"/>
      <c r="K30" s="49"/>
      <c r="L30" s="49"/>
      <c r="M30" s="133"/>
      <c r="N30" s="134"/>
      <c r="O30" s="134"/>
      <c r="P30" s="135"/>
      <c r="Q30" s="50"/>
    </row>
    <row r="31" spans="1:18" ht="13.5" thickTop="1">
      <c r="A31" s="136" t="s">
        <v>119</v>
      </c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138"/>
      <c r="P31" s="64"/>
      <c r="Q31" s="64"/>
      <c r="R31" s="139"/>
    </row>
    <row r="32" spans="1:18" ht="25.5">
      <c r="A32" s="140" t="s">
        <v>75</v>
      </c>
      <c r="B32" s="141" t="s">
        <v>76</v>
      </c>
      <c r="C32" s="141"/>
      <c r="D32" s="141" t="s">
        <v>0</v>
      </c>
      <c r="E32" s="141" t="s">
        <v>77</v>
      </c>
      <c r="F32" s="142" t="s">
        <v>132</v>
      </c>
      <c r="G32" s="141" t="s">
        <v>78</v>
      </c>
      <c r="H32" s="143" t="s">
        <v>211</v>
      </c>
      <c r="I32" s="144" t="s">
        <v>225</v>
      </c>
      <c r="J32" s="145" t="s">
        <v>68</v>
      </c>
      <c r="K32" s="145" t="s">
        <v>230</v>
      </c>
      <c r="L32" s="143" t="s">
        <v>226</v>
      </c>
      <c r="M32" s="144" t="s">
        <v>227</v>
      </c>
      <c r="N32" s="145" t="s">
        <v>67</v>
      </c>
      <c r="O32" s="145" t="s">
        <v>215</v>
      </c>
      <c r="P32" s="541"/>
      <c r="Q32" s="541" t="s">
        <v>97</v>
      </c>
      <c r="R32" s="146"/>
    </row>
    <row r="33" spans="1:18">
      <c r="A33" s="580">
        <f>'ISIRF RAW'!$B$2</f>
        <v>44278</v>
      </c>
      <c r="B33" s="543" t="str">
        <f>'ISIRF 15N'!B11</f>
        <v>IC15N-241218-10KansasRoarCarbon-3_3.raw</v>
      </c>
      <c r="C33" s="323"/>
      <c r="D33" s="322" t="str">
        <f>'ISIRF 15N'!D11</f>
        <v>ISIRF Ulva</v>
      </c>
      <c r="E33" s="323" t="str">
        <f>'ISIRF 15N'!E11</f>
        <v>QC.STD</v>
      </c>
      <c r="F33" s="324">
        <f>'ISIRF 15N'!F11</f>
        <v>9</v>
      </c>
      <c r="G33" s="325">
        <f>'ISIRF 15N'!G11</f>
        <v>1.2030000000000001</v>
      </c>
      <c r="H33" s="324">
        <f>'ISIRF 15N'!H11</f>
        <v>4.4609385000000001</v>
      </c>
      <c r="I33" s="472">
        <f>'ISIRF 15N'!I11</f>
        <v>71002552</v>
      </c>
      <c r="J33" s="325">
        <f>'ISIRF 15N'!J11</f>
        <v>4.1283298926278027</v>
      </c>
      <c r="K33" s="325">
        <f>'ISIRF 15N'!K11</f>
        <v>7.5012052548445585</v>
      </c>
      <c r="L33" s="544">
        <f>'ISIRF 13C'!H11</f>
        <v>5.5944675000000004</v>
      </c>
      <c r="M33" s="474">
        <f>'ISIRF 13C'!I11</f>
        <v>56886720</v>
      </c>
      <c r="N33" s="325">
        <f>'ISIRF 13C'!J11</f>
        <v>32.893523237700002</v>
      </c>
      <c r="O33" s="545">
        <f>'ISIRF 13C'!K11</f>
        <v>-12.789825824126789</v>
      </c>
      <c r="P33" s="328" t="str">
        <f>'ISIRF 15N'!L11&amp;'ISIRF 13C'!L11</f>
        <v/>
      </c>
      <c r="Q33" s="147"/>
      <c r="R33" s="148" t="str">
        <f>IF(COUNTA('ISIRF 15N'!L11)=1,"See ISIRF 15N","")</f>
        <v/>
      </c>
    </row>
    <row r="34" spans="1:18">
      <c r="A34" s="581">
        <f>'ISIRF RAW'!$B$2</f>
        <v>44278</v>
      </c>
      <c r="B34" s="542" t="str">
        <f>'ISIRF 15N'!B12</f>
        <v>IC15N-241218-10KansasRoarCarbon-3_16.raw</v>
      </c>
      <c r="C34" s="321"/>
      <c r="D34" s="329" t="str">
        <f>'ISIRF 15N'!D12</f>
        <v>ISIRF Ulva</v>
      </c>
      <c r="E34" s="321" t="str">
        <f>'ISIRF 15N'!E12</f>
        <v>QC.STD</v>
      </c>
      <c r="F34" s="330">
        <f>'ISIRF 15N'!F12</f>
        <v>22</v>
      </c>
      <c r="G34" s="326">
        <f>'ISIRF 15N'!G12</f>
        <v>1.163</v>
      </c>
      <c r="H34" s="330">
        <f>'ISIRF 15N'!H12</f>
        <v>4.3527874999999998</v>
      </c>
      <c r="I34" s="473">
        <f>'ISIRF 15N'!I12</f>
        <v>68136512</v>
      </c>
      <c r="J34" s="326">
        <f>'ISIRF 15N'!J12</f>
        <v>4.0754844113340614</v>
      </c>
      <c r="K34" s="326">
        <f>'ISIRF 15N'!K12</f>
        <v>7.6583515789728391</v>
      </c>
      <c r="L34" s="476">
        <f>'ISIRF 13C'!H12</f>
        <v>5.2944794999999996</v>
      </c>
      <c r="M34" s="475">
        <f>'ISIRF 13C'!I12</f>
        <v>54060448</v>
      </c>
      <c r="N34" s="326">
        <f>'ISIRF 13C'!J12</f>
        <v>32.6716221426</v>
      </c>
      <c r="O34" s="327">
        <f>'ISIRF 13C'!K12</f>
        <v>-12.929752646974988</v>
      </c>
      <c r="P34" s="331" t="str">
        <f>'ISIRF 15N'!L12&amp;'ISIRF 13C'!L12</f>
        <v/>
      </c>
      <c r="Q34" s="149"/>
      <c r="R34" s="150" t="str">
        <f>IF(COUNTA('ISIRF 15N'!L12)=1,"See ISIRF 15N","")</f>
        <v/>
      </c>
    </row>
    <row r="35" spans="1:18">
      <c r="A35" s="581">
        <f>'ISIRF RAW'!$B$2</f>
        <v>44278</v>
      </c>
      <c r="B35" s="542" t="str">
        <f>'ISIRF 15N'!B13</f>
        <v>IC15N-241218-10KansasRoarCarbon-3_28.raw</v>
      </c>
      <c r="C35" s="321"/>
      <c r="D35" s="329" t="str">
        <f>'ISIRF 15N'!D13</f>
        <v>ISIRF Ulva</v>
      </c>
      <c r="E35" s="321" t="str">
        <f>'ISIRF 15N'!E13</f>
        <v>QC.STD</v>
      </c>
      <c r="F35" s="330">
        <f>'ISIRF 15N'!F13</f>
        <v>34</v>
      </c>
      <c r="G35" s="326">
        <f>'ISIRF 15N'!G13</f>
        <v>1.135</v>
      </c>
      <c r="H35" s="330">
        <f>'ISIRF 15N'!H13</f>
        <v>4.2833895000000002</v>
      </c>
      <c r="I35" s="473">
        <f>'ISIRF 15N'!I13</f>
        <v>68224672</v>
      </c>
      <c r="J35" s="326">
        <f>'ISIRF 15N'!J13</f>
        <v>4.4116143214516876</v>
      </c>
      <c r="K35" s="326">
        <f>'ISIRF 15N'!K13</f>
        <v>7.4609602397048373</v>
      </c>
      <c r="L35" s="476">
        <f>'ISIRF 13C'!H13</f>
        <v>5.3408835000000003</v>
      </c>
      <c r="M35" s="475">
        <f>'ISIRF 13C'!I13</f>
        <v>54826460</v>
      </c>
      <c r="N35" s="326">
        <f>'ISIRF 13C'!J13</f>
        <v>33.803226633000001</v>
      </c>
      <c r="O35" s="327">
        <f>'ISIRF 13C'!K13</f>
        <v>-13.069165440995199</v>
      </c>
      <c r="P35" s="331" t="str">
        <f>'ISIRF 15N'!L13&amp;'ISIRF 13C'!L13</f>
        <v/>
      </c>
      <c r="Q35" s="149"/>
      <c r="R35" s="150" t="str">
        <f>IF(COUNTA('ISIRF 15N'!L13)=1,"See ISIRF 15N","")</f>
        <v/>
      </c>
    </row>
    <row r="36" spans="1:18">
      <c r="A36" s="581">
        <f>'ISIRF RAW'!$B$2</f>
        <v>44278</v>
      </c>
      <c r="B36" s="542" t="str">
        <f>'ISIRF 15N'!B14</f>
        <v>IC15N-241218-10KansasRoarCarbon-3_41.raw</v>
      </c>
      <c r="C36" s="321"/>
      <c r="D36" s="329" t="str">
        <f>'ISIRF 15N'!D14</f>
        <v>ISIRF Ulva</v>
      </c>
      <c r="E36" s="321" t="str">
        <f>'ISIRF 15N'!E14</f>
        <v>QC.STD</v>
      </c>
      <c r="F36" s="330">
        <f>'ISIRF 15N'!F14</f>
        <v>47</v>
      </c>
      <c r="G36" s="326">
        <f>'ISIRF 15N'!G14</f>
        <v>1.2430000000000001</v>
      </c>
      <c r="H36" s="330">
        <f>'ISIRF 15N'!H14</f>
        <v>4.7837185</v>
      </c>
      <c r="I36" s="473">
        <f>'ISIRF 15N'!I14</f>
        <v>75677504</v>
      </c>
      <c r="J36" s="326">
        <f>'ISIRF 15N'!J14</f>
        <v>4.5748714888024624</v>
      </c>
      <c r="K36" s="326">
        <f>'ISIRF 15N'!K14</f>
        <v>7.6112382324994439</v>
      </c>
      <c r="L36" s="476">
        <f>'ISIRF 13C'!H14</f>
        <v>5.9749664999999998</v>
      </c>
      <c r="M36" s="475">
        <f>'ISIRF 13C'!I14</f>
        <v>62196408</v>
      </c>
      <c r="N36" s="326">
        <f>'ISIRF 13C'!J14</f>
        <v>34.947143259599997</v>
      </c>
      <c r="O36" s="327">
        <f>'ISIRF 13C'!K14</f>
        <v>-12.980982204747907</v>
      </c>
      <c r="P36" s="331" t="str">
        <f>'ISIRF 15N'!L14&amp;'ISIRF 13C'!L14</f>
        <v/>
      </c>
      <c r="Q36" s="149"/>
      <c r="R36" s="150" t="str">
        <f>IF(COUNTA('ISIRF 15N'!L14)=1,"See ISIRF 15N","")</f>
        <v/>
      </c>
    </row>
    <row r="37" spans="1:18">
      <c r="A37" s="582">
        <f>'ISIRF RAW'!$B$2</f>
        <v>44278</v>
      </c>
      <c r="B37" s="546" t="str">
        <f>'ISIRF 15N'!B15</f>
        <v>IC15N-241218-10KansasRoarCarbon-3_53.raw</v>
      </c>
      <c r="C37" s="547"/>
      <c r="D37" s="548" t="str">
        <f>'ISIRF 15N'!D15</f>
        <v>ISIRF Ulva</v>
      </c>
      <c r="E37" s="547" t="str">
        <f>'ISIRF 15N'!E15</f>
        <v>QC.STD</v>
      </c>
      <c r="F37" s="549">
        <f>'ISIRF 15N'!F15</f>
        <v>59</v>
      </c>
      <c r="G37" s="550">
        <f>'ISIRF 15N'!G15</f>
        <v>1.284</v>
      </c>
      <c r="H37" s="549">
        <f>'ISIRF 15N'!H15</f>
        <v>4.7322404999999996</v>
      </c>
      <c r="I37" s="551">
        <f>'ISIRF 15N'!I15</f>
        <v>75844800</v>
      </c>
      <c r="J37" s="550">
        <f>'ISIRF 15N'!J15</f>
        <v>4.2046408605063128</v>
      </c>
      <c r="K37" s="550">
        <f>'ISIRF 15N'!K15</f>
        <v>7.370884349501587</v>
      </c>
      <c r="L37" s="552">
        <f>'ISIRF 13C'!H15</f>
        <v>6.0247025000000001</v>
      </c>
      <c r="M37" s="553">
        <f>'ISIRF 13C'!I15</f>
        <v>61022608</v>
      </c>
      <c r="N37" s="550">
        <f>'ISIRF 13C'!J15</f>
        <v>33.231979098599993</v>
      </c>
      <c r="O37" s="554">
        <f>'ISIRF 13C'!K15</f>
        <v>-12.675692732088292</v>
      </c>
      <c r="P37" s="570" t="str">
        <f>'ISIRF 15N'!L15&amp;'ISIRF 13C'!L15</f>
        <v/>
      </c>
      <c r="Q37" s="555"/>
      <c r="R37" s="556" t="str">
        <f>IF(COUNTA('ISIRF 15N'!L15)=1,"See ISIRF 15N","")</f>
        <v/>
      </c>
    </row>
    <row r="38" spans="1:18">
      <c r="A38" s="580">
        <f>'ISIRF RAW'!$B$2</f>
        <v>44278</v>
      </c>
      <c r="B38" s="543" t="str">
        <f>'ISIRF 15N'!B16</f>
        <v>IC15N-241218-10KansasRoarCarbon-3_4.raw</v>
      </c>
      <c r="C38" s="323"/>
      <c r="D38" s="322" t="str">
        <f>'ISIRF 15N'!D16</f>
        <v>ISIRF Chitin</v>
      </c>
      <c r="E38" s="323" t="str">
        <f>'ISIRF 15N'!E16</f>
        <v>Cal-H.STD</v>
      </c>
      <c r="F38" s="324">
        <f>'ISIRF 15N'!F16</f>
        <v>10</v>
      </c>
      <c r="G38" s="325">
        <f>'ISIRF 15N'!G16</f>
        <v>0.96299999999999997</v>
      </c>
      <c r="H38" s="324">
        <f>'ISIRF 15N'!H16</f>
        <v>5.6857765000000002</v>
      </c>
      <c r="I38" s="472">
        <f>'ISIRF 15N'!I16</f>
        <v>89403248</v>
      </c>
      <c r="J38" s="325">
        <f>'ISIRF 15N'!J16</f>
        <v>6.4136891345705234</v>
      </c>
      <c r="K38" s="325">
        <f>'ISIRF 15N'!K16</f>
        <v>-4.9198917264326614</v>
      </c>
      <c r="L38" s="544">
        <f>'ISIRF 13C'!H16</f>
        <v>6.1318929999999998</v>
      </c>
      <c r="M38" s="474">
        <f>'ISIRF 13C'!H16</f>
        <v>6.1318929999999998</v>
      </c>
      <c r="N38" s="325">
        <f>'ISIRF 13C'!J16</f>
        <v>45.407267656199998</v>
      </c>
      <c r="O38" s="545">
        <f>'ISIRF 13C'!K16</f>
        <v>-21.327304438017549</v>
      </c>
      <c r="P38" s="673"/>
      <c r="Q38" s="674"/>
      <c r="R38" s="675"/>
    </row>
    <row r="39" spans="1:18">
      <c r="A39" s="581">
        <f>'ISIRF RAW'!$B$2</f>
        <v>44278</v>
      </c>
      <c r="B39" s="542" t="str">
        <f>'ISIRF 15N'!B17</f>
        <v>IC15N-241218-10KansasRoarCarbon-3_29.raw</v>
      </c>
      <c r="C39" s="321"/>
      <c r="D39" s="329" t="str">
        <f>'ISIRF 15N'!D17</f>
        <v>ISIRF Chitin</v>
      </c>
      <c r="E39" s="321" t="str">
        <f>'ISIRF 15N'!E17</f>
        <v>Cal-H.STD</v>
      </c>
      <c r="F39" s="330">
        <f>'ISIRF 15N'!F17</f>
        <v>35</v>
      </c>
      <c r="G39" s="326">
        <f>'ISIRF 15N'!G17</f>
        <v>0.97899999999999998</v>
      </c>
      <c r="H39" s="330">
        <f>'ISIRF 15N'!H17</f>
        <v>5.7937785000000002</v>
      </c>
      <c r="I39" s="473">
        <f>'ISIRF 15N'!I17</f>
        <v>90953440</v>
      </c>
      <c r="J39" s="326">
        <f>'ISIRF 15N'!J17</f>
        <v>6.5966563060651362</v>
      </c>
      <c r="K39" s="326">
        <f>'ISIRF 15N'!K17</f>
        <v>-4.9643394478833116</v>
      </c>
      <c r="L39" s="476">
        <f>'ISIRF 13C'!H17</f>
        <v>6.4089935000000002</v>
      </c>
      <c r="M39" s="475">
        <f>'ISIRF 13C'!I17</f>
        <v>65508340</v>
      </c>
      <c r="N39" s="326">
        <f>'ISIRF 13C'!J17</f>
        <v>46.722904572899999</v>
      </c>
      <c r="O39" s="327">
        <f>'ISIRF 13C'!K17</f>
        <v>-21.077762964841614</v>
      </c>
      <c r="P39" s="331"/>
      <c r="Q39" s="149"/>
      <c r="R39" s="150"/>
    </row>
    <row r="40" spans="1:18">
      <c r="A40" s="582">
        <f>'ISIRF RAW'!$B$2</f>
        <v>44278</v>
      </c>
      <c r="B40" s="546" t="str">
        <f>'ISIRF 15N'!B18</f>
        <v>IC15N-241218-10KansasRoarCarbon-3_54.raw</v>
      </c>
      <c r="C40" s="547"/>
      <c r="D40" s="548" t="str">
        <f>'ISIRF 15N'!D18</f>
        <v>ISIRF Chitin</v>
      </c>
      <c r="E40" s="547" t="str">
        <f>'ISIRF 15N'!E18</f>
        <v>Cal-H.STD</v>
      </c>
      <c r="F40" s="549">
        <f>'ISIRF 15N'!F18</f>
        <v>60</v>
      </c>
      <c r="G40" s="550">
        <f>'ISIRF 15N'!G18</f>
        <v>1.079</v>
      </c>
      <c r="H40" s="549">
        <f>'ISIRF 15N'!H18</f>
        <v>6.3247524999999998</v>
      </c>
      <c r="I40" s="551">
        <f>'ISIRF 15N'!I18</f>
        <v>100359056</v>
      </c>
      <c r="J40" s="550">
        <f>'ISIRF 15N'!J18</f>
        <v>6.5334225542387374</v>
      </c>
      <c r="K40" s="550">
        <f>'ISIRF 15N'!K18</f>
        <v>-5.0483298195768018</v>
      </c>
      <c r="L40" s="552">
        <f>'ISIRF 13C'!H18</f>
        <v>6.9680689999999998</v>
      </c>
      <c r="M40" s="553">
        <f>'ISIRF 13C'!I18</f>
        <v>71153696</v>
      </c>
      <c r="N40" s="550">
        <f>'ISIRF 13C'!J18</f>
        <v>46.017995390700001</v>
      </c>
      <c r="O40" s="557">
        <f>'ISIRF 13C'!K18</f>
        <v>-21.228962032585457</v>
      </c>
      <c r="P40" s="558"/>
      <c r="Q40" s="555"/>
      <c r="R40" s="556"/>
    </row>
    <row r="41" spans="1:18">
      <c r="A41" s="580">
        <f>'ISIRF RAW'!$B$2</f>
        <v>44278</v>
      </c>
      <c r="B41" s="543" t="str">
        <f>'ISIRF 15N'!B19</f>
        <v>IC15N-241218-10KansasRoarCarbon-3_5.raw</v>
      </c>
      <c r="C41" s="323"/>
      <c r="D41" s="322" t="str">
        <f>'ISIRF 15N'!D19</f>
        <v>ISIRF Bamboo</v>
      </c>
      <c r="E41" s="323" t="str">
        <f>'ISIRF 15N'!E19</f>
        <v>Cal-L.STD</v>
      </c>
      <c r="F41" s="324">
        <f>'ISIRF 15N'!F19</f>
        <v>11</v>
      </c>
      <c r="G41" s="325">
        <f>'ISIRF 15N'!G19</f>
        <v>1.446</v>
      </c>
      <c r="H41" s="324">
        <f>'ISIRF 15N'!H19</f>
        <v>3.8349592499999998</v>
      </c>
      <c r="I41" s="472">
        <f>'ISIRF 15N'!I19</f>
        <v>61901156</v>
      </c>
      <c r="J41" s="325">
        <f>'ISIRF 15N'!J19</f>
        <v>3.0516231983706525</v>
      </c>
      <c r="K41" s="325">
        <f>'ISIRF 15N'!K19</f>
        <v>1.9277698333833886</v>
      </c>
      <c r="L41" s="544">
        <f>'ISIRF 13C'!H19</f>
        <v>8.7918950000000002</v>
      </c>
      <c r="M41" s="474">
        <f>'ISIRF 13C'!I19</f>
        <v>92055536</v>
      </c>
      <c r="N41" s="325">
        <f>'ISIRF 13C'!J19</f>
        <v>44.225858600999999</v>
      </c>
      <c r="O41" s="545">
        <f>'ISIRF 13C'!K19</f>
        <v>-30.40453440423666</v>
      </c>
      <c r="P41" s="328"/>
      <c r="Q41" s="147"/>
      <c r="R41" s="148"/>
    </row>
    <row r="42" spans="1:18">
      <c r="A42" s="581">
        <f>'ISIRF RAW'!$B$2</f>
        <v>44278</v>
      </c>
      <c r="B42" s="542" t="str">
        <f>'ISIRF 15N'!B20</f>
        <v>IC15N-241218-10KansasRoarCarbon-3_30.raw</v>
      </c>
      <c r="C42" s="321"/>
      <c r="D42" s="329" t="str">
        <f>'ISIRF 15N'!D20</f>
        <v>ISIRF Bamboo</v>
      </c>
      <c r="E42" s="321" t="str">
        <f>'ISIRF 15N'!E20</f>
        <v>Cal-L.STD</v>
      </c>
      <c r="F42" s="330">
        <f>'ISIRF 15N'!F20</f>
        <v>36</v>
      </c>
      <c r="G42" s="326">
        <f>'ISIRF 15N'!G20</f>
        <v>1.621</v>
      </c>
      <c r="H42" s="330">
        <f>'ISIRF 15N'!H20</f>
        <v>4.3793829999999998</v>
      </c>
      <c r="I42" s="473">
        <f>'ISIRF 15N'!I20</f>
        <v>70220600</v>
      </c>
      <c r="J42" s="326">
        <f>'ISIRF 15N'!J20</f>
        <v>3.1511853408622699</v>
      </c>
      <c r="K42" s="326">
        <f>'ISIRF 15N'!K20</f>
        <v>2.0151127971063336</v>
      </c>
      <c r="L42" s="476">
        <f>'ISIRF 13C'!H20</f>
        <v>10.065844999999999</v>
      </c>
      <c r="M42" s="475">
        <f>'ISIRF 13C'!I20</f>
        <v>105692624</v>
      </c>
      <c r="N42" s="326">
        <f>'ISIRF 13C'!J20</f>
        <v>45.379005159599998</v>
      </c>
      <c r="O42" s="327">
        <f>'ISIRF 13C'!K20</f>
        <v>-30.173958200378859</v>
      </c>
      <c r="P42" s="331"/>
      <c r="Q42" s="149"/>
      <c r="R42" s="150"/>
    </row>
    <row r="43" spans="1:18">
      <c r="A43" s="582">
        <f>'ISIRF RAW'!$B$2</f>
        <v>44278</v>
      </c>
      <c r="B43" s="546" t="str">
        <f>'ISIRF 15N'!B21</f>
        <v>IC15N-241218-10KansasRoarCarbon-3_55.raw</v>
      </c>
      <c r="C43" s="547"/>
      <c r="D43" s="548" t="str">
        <f>'ISIRF 15N'!D21</f>
        <v>ISIRF Bamboo</v>
      </c>
      <c r="E43" s="547" t="str">
        <f>'ISIRF 15N'!E21</f>
        <v>Cal-L.STD</v>
      </c>
      <c r="F43" s="549">
        <f>'ISIRF 15N'!F21</f>
        <v>61</v>
      </c>
      <c r="G43" s="550">
        <f>'ISIRF 15N'!G21</f>
        <v>1.581</v>
      </c>
      <c r="H43" s="549">
        <f>'ISIRF 15N'!H21</f>
        <v>4.0268022500000002</v>
      </c>
      <c r="I43" s="551">
        <f>'ISIRF 15N'!I21</f>
        <v>65638524</v>
      </c>
      <c r="J43" s="550">
        <f>'ISIRF 15N'!J21</f>
        <v>3.0391939411703648</v>
      </c>
      <c r="K43" s="550">
        <f>'ISIRF 15N'!K21</f>
        <v>2.0619767233059849</v>
      </c>
      <c r="L43" s="552">
        <f>'ISIRF 13C'!H21</f>
        <v>9.4967919999999992</v>
      </c>
      <c r="M43" s="553">
        <f>'ISIRF 13C'!I21</f>
        <v>98699496</v>
      </c>
      <c r="N43" s="550">
        <f>'ISIRF 13C'!J21</f>
        <v>43.490597213699999</v>
      </c>
      <c r="O43" s="557">
        <f>'ISIRF 13C'!K21</f>
        <v>-30.272724889899553</v>
      </c>
      <c r="P43" s="570"/>
      <c r="Q43" s="555"/>
      <c r="R43" s="556"/>
    </row>
    <row r="44" spans="1:18">
      <c r="A44" s="580">
        <f>'ISIRF RAW'!$B$2</f>
        <v>44278</v>
      </c>
      <c r="B44" s="543" t="str">
        <f>'ISIRF 15N'!B22</f>
        <v>IC15N-241218-10KansasRoarCarbon-3_6.raw</v>
      </c>
      <c r="C44" s="323"/>
      <c r="D44" s="322" t="str">
        <f>'ISIRF 15N'!D22</f>
        <v>NBS 1575 Pine Needles</v>
      </c>
      <c r="E44" s="323" t="str">
        <f>'ISIRF 15N'!E22</f>
        <v>QA STD</v>
      </c>
      <c r="F44" s="324">
        <f>'ISIRF 15N'!F22</f>
        <v>12</v>
      </c>
      <c r="G44" s="325">
        <f>'ISIRF 15N'!G22</f>
        <v>6.7919999999999998</v>
      </c>
      <c r="H44" s="324">
        <f>'ISIRF 15N'!H22</f>
        <v>6.4396345000000004</v>
      </c>
      <c r="I44" s="472">
        <f>'ISIRF 15N'!I22</f>
        <v>112044144</v>
      </c>
      <c r="J44" s="325">
        <f>'ISIRF 15N'!J22</f>
        <v>1.2213562654094712</v>
      </c>
      <c r="K44" s="325">
        <f>'ISIRF 15N'!K22</f>
        <v>0.60130857406698113</v>
      </c>
      <c r="L44" s="544">
        <f>'ISIRF 13C'!H22</f>
        <v>34.312516000000002</v>
      </c>
      <c r="M44" s="474">
        <f>'ISIRF 13C'!I22</f>
        <v>500603232</v>
      </c>
      <c r="N44" s="325">
        <f>'ISIRF 13C'!J22</f>
        <v>51.5452910538</v>
      </c>
      <c r="O44" s="545">
        <f>'ISIRF 13C'!K22</f>
        <v>-25.817905723921502</v>
      </c>
      <c r="P44" s="328"/>
      <c r="Q44" s="147"/>
      <c r="R44" s="148"/>
    </row>
    <row r="45" spans="1:18">
      <c r="A45" s="581">
        <f>'ISIRF RAW'!$B$2</f>
        <v>44278</v>
      </c>
      <c r="B45" s="542" t="str">
        <f>'ISIRF 15N'!B23</f>
        <v>IC15N-241218-10KansasRoarCarbon-3_31.raw</v>
      </c>
      <c r="C45" s="321"/>
      <c r="D45" s="329" t="str">
        <f>'ISIRF 15N'!D23</f>
        <v>NBS 1575 Pine Needles</v>
      </c>
      <c r="E45" s="321" t="str">
        <f>'ISIRF 15N'!E23</f>
        <v>QA STD</v>
      </c>
      <c r="F45" s="330">
        <f>'ISIRF 15N'!F23</f>
        <v>37</v>
      </c>
      <c r="G45" s="326">
        <f>'ISIRF 15N'!G23</f>
        <v>6.5739999999999998</v>
      </c>
      <c r="H45" s="330">
        <f>'ISIRF 15N'!H23</f>
        <v>6.2617775</v>
      </c>
      <c r="I45" s="473">
        <f>'ISIRF 15N'!I23</f>
        <v>111667816</v>
      </c>
      <c r="J45" s="151">
        <f>'ISIRF 15N'!J23</f>
        <v>1.2837461638474492</v>
      </c>
      <c r="K45" s="326">
        <f>'ISIRF 15N'!K23</f>
        <v>0.3481124552960041</v>
      </c>
      <c r="L45" s="476">
        <f>'ISIRF 13C'!H23</f>
        <v>34.086204000000002</v>
      </c>
      <c r="M45" s="475">
        <f>'ISIRF 13C'!I23</f>
        <v>485313664</v>
      </c>
      <c r="N45" s="326">
        <f>'ISIRF 13C'!J23</f>
        <v>51.494597783700002</v>
      </c>
      <c r="O45" s="327">
        <f>'ISIRF 13C'!K23</f>
        <v>-25.888578046905543</v>
      </c>
      <c r="P45" s="331"/>
      <c r="Q45" s="149"/>
      <c r="R45" s="150"/>
    </row>
    <row r="46" spans="1:18">
      <c r="A46" s="582">
        <f>'ISIRF RAW'!$B$2</f>
        <v>44278</v>
      </c>
      <c r="B46" s="546" t="str">
        <f>'ISIRF 15N'!B24</f>
        <v>IC15N-241218-10KansasRoarCarbon-3_56.raw</v>
      </c>
      <c r="C46" s="547"/>
      <c r="D46" s="559" t="str">
        <f>'ISIRF 15N'!D24</f>
        <v>NBS 1575 Pine Needles</v>
      </c>
      <c r="E46" s="560" t="str">
        <f>'ISIRF 15N'!E24</f>
        <v>QA STD</v>
      </c>
      <c r="F46" s="561">
        <f>'ISIRF 15N'!F24</f>
        <v>62</v>
      </c>
      <c r="G46" s="554">
        <f>'ISIRF 15N'!G24</f>
        <v>6.8730000000000002</v>
      </c>
      <c r="H46" s="562">
        <f>'ISIRF 15N'!H24</f>
        <v>6.4289025000000004</v>
      </c>
      <c r="I46" s="563">
        <f>'ISIRF 15N'!I24</f>
        <v>117563456</v>
      </c>
      <c r="J46" s="554">
        <f>'ISIRF 15N'!J24</f>
        <v>1.2808621609475372</v>
      </c>
      <c r="K46" s="554">
        <f>'ISIRF 15N'!K24</f>
        <v>0.45674064407736448</v>
      </c>
      <c r="L46" s="564">
        <f>'ISIRF 13C'!H24</f>
        <v>34.458419999999997</v>
      </c>
      <c r="M46" s="565">
        <f>'ISIRF 13C'!I24</f>
        <v>507203456</v>
      </c>
      <c r="N46" s="566">
        <f>'ISIRF 13C'!J24</f>
        <v>51.620329659599996</v>
      </c>
      <c r="O46" s="554">
        <f>'ISIRF 13C'!K24</f>
        <v>-25.966104607208923</v>
      </c>
      <c r="P46" s="558"/>
      <c r="Q46" s="555"/>
      <c r="R46" s="556"/>
    </row>
    <row r="47" spans="1:18">
      <c r="A47" s="580">
        <f>'ISIRF RAW'!$B$2</f>
        <v>44278</v>
      </c>
      <c r="B47" s="543" t="str">
        <f>'ISIRF RAW'!T12</f>
        <v>IC15N-241218-10KansasRoarCarbon-3_7.raw</v>
      </c>
      <c r="C47" s="323"/>
      <c r="D47" s="567" t="str">
        <f>'ISIRF RAW'!A12</f>
        <v xml:space="preserve">R1-20231120_W1_H </v>
      </c>
      <c r="E47" s="568" t="s">
        <v>228</v>
      </c>
      <c r="F47" s="324">
        <f>'ISIRF RAW'!B12</f>
        <v>13</v>
      </c>
      <c r="G47" s="545">
        <f>'ISIRF RAW'!C12</f>
        <v>24.273</v>
      </c>
      <c r="H47" s="569">
        <f>'ISIRF RAW'!D12</f>
        <v>2.58732425</v>
      </c>
      <c r="I47" s="472">
        <f>'ISIRF RAW'!E12</f>
        <v>49507624</v>
      </c>
      <c r="J47" s="545">
        <f>'ISIRF RAW'!J12</f>
        <v>0.23819339815846252</v>
      </c>
      <c r="K47" s="545">
        <f>'ISIRF RAW'!L12</f>
        <v>5.8726118017569924</v>
      </c>
      <c r="L47" s="544">
        <f>'ISIRF RAW'!F12</f>
        <v>4.526065</v>
      </c>
      <c r="M47" s="474">
        <f>'ISIRF RAW'!G12</f>
        <v>47949100</v>
      </c>
      <c r="N47" s="325">
        <f>'ISIRF RAW'!M12</f>
        <v>1.3821211547999999</v>
      </c>
      <c r="O47" s="545">
        <f>'ISIRF RAW'!O12</f>
        <v>-17.425833247725699</v>
      </c>
      <c r="P47" s="328"/>
      <c r="Q47" s="147"/>
      <c r="R47" s="148"/>
    </row>
    <row r="48" spans="1:18">
      <c r="A48" s="582">
        <f>'ISIRF RAW'!$B$2</f>
        <v>44278</v>
      </c>
      <c r="B48" s="546" t="str">
        <f>'ISIRF RAW'!T56</f>
        <v>IC15N-241218-10KansasRoarCarbon-3_51.raw</v>
      </c>
      <c r="C48" s="547"/>
      <c r="D48" s="559" t="str">
        <f>'ISIRF RAW'!A56</f>
        <v xml:space="preserve">R1-20231120_W1_H </v>
      </c>
      <c r="E48" s="560" t="s">
        <v>228</v>
      </c>
      <c r="F48" s="561">
        <f>'ISIRF RAW'!B56</f>
        <v>57</v>
      </c>
      <c r="G48" s="554">
        <f>'ISIRF RAW'!C56</f>
        <v>24.794</v>
      </c>
      <c r="H48" s="562">
        <f>'ISIRF RAW'!D56</f>
        <v>2.6519897499999998</v>
      </c>
      <c r="I48" s="563">
        <f>'ISIRF RAW'!E56</f>
        <v>48859560</v>
      </c>
      <c r="J48" s="554">
        <f>'ISIRF RAW'!J56</f>
        <v>0.23943238924463656</v>
      </c>
      <c r="K48" s="554">
        <f>'ISIRF RAW'!L56</f>
        <v>6.189355407567616</v>
      </c>
      <c r="L48" s="564">
        <f>'ISIRF RAW'!F56</f>
        <v>5.0087374999999996</v>
      </c>
      <c r="M48" s="565">
        <f>'ISIRF RAW'!G56</f>
        <v>53586412</v>
      </c>
      <c r="N48" s="566">
        <f>'ISIRF RAW'!M56</f>
        <v>1.5126727974</v>
      </c>
      <c r="O48" s="554">
        <f>'ISIRF RAW'!O56</f>
        <v>-17.607760302140097</v>
      </c>
      <c r="P48" s="570"/>
      <c r="Q48" s="555"/>
      <c r="R48" s="556" t="str">
        <f>IF(COUNTA('ISIRF 15N'!L26)=1,"See ISIRF 15N","")</f>
        <v/>
      </c>
    </row>
    <row r="49" spans="1:18">
      <c r="A49" s="580">
        <f>'ISIRF RAW'!$B$2</f>
        <v>44278</v>
      </c>
      <c r="B49" s="543" t="str">
        <f>'ISIRF RAW'!T26</f>
        <v>IC15N-241218-10KansasRoarCarbon-3_21.raw</v>
      </c>
      <c r="C49" s="323"/>
      <c r="D49" s="567" t="str">
        <f>'ISIRF RAW'!A26</f>
        <v xml:space="preserve">R2-20240407_E2_D </v>
      </c>
      <c r="E49" s="568" t="s">
        <v>229</v>
      </c>
      <c r="F49" s="324">
        <f>'ISIRF RAW'!B26</f>
        <v>27</v>
      </c>
      <c r="G49" s="545">
        <f>'ISIRF RAW'!C26</f>
        <v>25.872</v>
      </c>
      <c r="H49" s="569">
        <f>'ISIRF RAW'!D26</f>
        <v>5.0344094999999998</v>
      </c>
      <c r="I49" s="472">
        <f>'ISIRF RAW'!E26</f>
        <v>89538640</v>
      </c>
      <c r="J49" s="545">
        <f>'ISIRF RAW'!J26</f>
        <v>0.3406320091447379</v>
      </c>
      <c r="K49" s="545">
        <f>'ISIRF RAW'!L26</f>
        <v>7.2294913549495856</v>
      </c>
      <c r="L49" s="544">
        <f>'ISIRF RAW'!F26</f>
        <v>9.3432750000000002</v>
      </c>
      <c r="M49" s="474">
        <f>'ISIRF RAW'!G26</f>
        <v>103975560</v>
      </c>
      <c r="N49" s="325">
        <f>'ISIRF RAW'!M26</f>
        <v>2.8175340465000001</v>
      </c>
      <c r="O49" s="545">
        <f>'ISIRF RAW'!O26</f>
        <v>-16.976692490148498</v>
      </c>
      <c r="P49" s="328"/>
      <c r="Q49" s="147"/>
      <c r="R49" s="148"/>
    </row>
    <row r="50" spans="1:18">
      <c r="A50" s="582">
        <f>'ISIRF RAW'!$B$2</f>
        <v>44278</v>
      </c>
      <c r="B50" s="546" t="str">
        <f>'ISIRF RAW'!T27</f>
        <v>IC15N-241218-10KansasRoarCarbon-3_22.raw</v>
      </c>
      <c r="C50" s="547"/>
      <c r="D50" s="559" t="str">
        <f>'ISIRF RAW'!A27</f>
        <v xml:space="preserve">R2-20240407_E2_D </v>
      </c>
      <c r="E50" s="560" t="s">
        <v>229</v>
      </c>
      <c r="F50" s="561">
        <f>'ISIRF RAW'!B27</f>
        <v>28</v>
      </c>
      <c r="G50" s="554">
        <f>'ISIRF RAW'!C27</f>
        <v>24.998000000000001</v>
      </c>
      <c r="H50" s="562">
        <f>'ISIRF RAW'!D27</f>
        <v>4.1856524999999998</v>
      </c>
      <c r="I50" s="563">
        <f>'ISIRF RAW'!E27</f>
        <v>78640416</v>
      </c>
      <c r="J50" s="554">
        <f>'ISIRF RAW'!J27</f>
        <v>0.3246306066980279</v>
      </c>
      <c r="K50" s="554">
        <f>'ISIRF RAW'!L27</f>
        <v>7.44514292980055</v>
      </c>
      <c r="L50" s="564">
        <f>'ISIRF RAW'!F27</f>
        <v>8.2111204999999998</v>
      </c>
      <c r="M50" s="565">
        <f>'ISIRF RAW'!G27</f>
        <v>90484752</v>
      </c>
      <c r="N50" s="566">
        <f>'ISIRF RAW'!M27</f>
        <v>2.5340991446999999</v>
      </c>
      <c r="O50" s="554">
        <f>'ISIRF RAW'!O27</f>
        <v>-16.858454338933221</v>
      </c>
      <c r="P50" s="570"/>
      <c r="Q50" s="555"/>
      <c r="R50" s="556" t="str">
        <f>IF(COUNTA('ISIRF 15N'!L27)=1,"See ISIRF 15N","")</f>
        <v/>
      </c>
    </row>
  </sheetData>
  <mergeCells count="1">
    <mergeCell ref="P38:R38"/>
  </mergeCells>
  <phoneticPr fontId="0" type="noConversion"/>
  <conditionalFormatting sqref="G6:G11">
    <cfRule type="cellIs" dxfId="10" priority="8" operator="greaterThan">
      <formula>0.3</formula>
    </cfRule>
  </conditionalFormatting>
  <conditionalFormatting sqref="G15:G20">
    <cfRule type="cellIs" dxfId="9" priority="9" operator="greaterThan">
      <formula>0.3</formula>
    </cfRule>
  </conditionalFormatting>
  <conditionalFormatting sqref="O5">
    <cfRule type="cellIs" dxfId="8" priority="13" operator="greaterThan">
      <formula>0.3</formula>
    </cfRule>
  </conditionalFormatting>
  <conditionalFormatting sqref="O6">
    <cfRule type="cellIs" dxfId="7" priority="12" operator="greaterThan">
      <formula>1</formula>
    </cfRule>
  </conditionalFormatting>
  <conditionalFormatting sqref="O8">
    <cfRule type="cellIs" dxfId="6" priority="11" operator="greaterThan">
      <formula>"abs(0.6)"</formula>
    </cfRule>
  </conditionalFormatting>
  <conditionalFormatting sqref="O9">
    <cfRule type="cellIs" dxfId="5" priority="10" operator="greaterThan">
      <formula>0.5</formula>
    </cfRule>
  </conditionalFormatting>
  <conditionalFormatting sqref="O14:O15">
    <cfRule type="cellIs" dxfId="4" priority="17" operator="greaterThan">
      <formula>0.3</formula>
    </cfRule>
  </conditionalFormatting>
  <conditionalFormatting sqref="O17">
    <cfRule type="cellIs" dxfId="3" priority="16" operator="greaterThan">
      <formula>"abs(0.6)"</formula>
    </cfRule>
  </conditionalFormatting>
  <conditionalFormatting sqref="O18">
    <cfRule type="cellIs" dxfId="2" priority="15" operator="greaterThan">
      <formula>0.5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40625" defaultRowHeight="12"/>
  <cols>
    <col min="1" max="1" width="17.42578125" style="31" customWidth="1"/>
    <col min="2" max="2" width="16" style="31" customWidth="1"/>
    <col min="3" max="3" width="21.28515625" style="31" customWidth="1"/>
    <col min="4" max="4" width="18.5703125" style="31" bestFit="1" customWidth="1"/>
    <col min="5" max="5" width="9.42578125" style="31" bestFit="1" customWidth="1"/>
    <col min="6" max="6" width="5.5703125" style="31" bestFit="1" customWidth="1"/>
    <col min="7" max="7" width="7.85546875" style="31" bestFit="1" customWidth="1"/>
    <col min="8" max="8" width="8" style="31" bestFit="1" customWidth="1"/>
    <col min="9" max="9" width="9.5703125" style="31" bestFit="1" customWidth="1"/>
    <col min="10" max="10" width="5.85546875" style="31" customWidth="1"/>
    <col min="11" max="11" width="5.42578125" style="31" bestFit="1" customWidth="1"/>
    <col min="12" max="12" width="8.85546875" style="31" customWidth="1"/>
    <col min="13" max="13" width="10.7109375" style="31" customWidth="1"/>
    <col min="14" max="14" width="8" style="31" customWidth="1"/>
    <col min="15" max="16384" width="9.140625" style="31"/>
  </cols>
  <sheetData>
    <row r="1" spans="1:19" ht="12.75" thickBot="1">
      <c r="A1" s="184" t="s">
        <v>10</v>
      </c>
      <c r="B1" s="185" t="str">
        <f>COVER!C2</f>
        <v>IC13C-241218-10KansasROARCarbon-3</v>
      </c>
      <c r="C1" s="186"/>
      <c r="D1" s="187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</row>
    <row r="2" spans="1:19" ht="12.75" thickBot="1">
      <c r="A2" s="189"/>
      <c r="B2" s="190"/>
      <c r="C2" s="191"/>
      <c r="D2" s="191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</row>
    <row r="3" spans="1:19" ht="13.5">
      <c r="A3" s="304" t="s">
        <v>0</v>
      </c>
      <c r="B3" s="305" t="s">
        <v>136</v>
      </c>
      <c r="C3" s="305" t="s">
        <v>213</v>
      </c>
      <c r="D3" s="306" t="s">
        <v>68</v>
      </c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</row>
    <row r="4" spans="1:19">
      <c r="A4" s="311" t="str">
        <f>'Weigh Sheet'!C9</f>
        <v>ISIRF Ulva</v>
      </c>
      <c r="B4" s="307" t="s">
        <v>137</v>
      </c>
      <c r="C4" s="307">
        <f>'ISIRF RAW'!C63</f>
        <v>7.4989402826592171</v>
      </c>
      <c r="D4" s="308">
        <f>'ISIRF RAW'!D63</f>
        <v>4.2927354420000006</v>
      </c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</row>
    <row r="5" spans="1:19">
      <c r="A5" s="311" t="str">
        <f>'Weigh Sheet'!C10</f>
        <v>ISIRF Chitin</v>
      </c>
      <c r="B5" s="307" t="s">
        <v>129</v>
      </c>
      <c r="C5" s="307">
        <f>'ISIRF RAW'!C64</f>
        <v>-5.009378479975914</v>
      </c>
      <c r="D5" s="308">
        <f>'ISIRF RAW'!D64</f>
        <v>6.5259674513333339</v>
      </c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9">
      <c r="A6" s="311" t="str">
        <f>'Weigh Sheet'!C11</f>
        <v>ISIRF Bamboo</v>
      </c>
      <c r="B6" s="307" t="s">
        <v>130</v>
      </c>
      <c r="C6" s="307">
        <f>'ISIRF RAW'!C65</f>
        <v>2.0694573473526137</v>
      </c>
      <c r="D6" s="308">
        <f>'ISIRF RAW'!D65</f>
        <v>3.046377295333333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</row>
    <row r="7" spans="1:19" ht="12.75" thickBot="1">
      <c r="A7" s="312" t="str">
        <f>'Weigh Sheet'!C12</f>
        <v>NBS 1575 Pine Needles</v>
      </c>
      <c r="B7" s="309" t="s">
        <v>214</v>
      </c>
      <c r="C7" s="309">
        <f>'ISIRF RAW'!C66</f>
        <v>0.36348602875537961</v>
      </c>
      <c r="D7" s="310">
        <f>'ISIRF RAW'!D66</f>
        <v>1.1397948813333334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9" ht="12.75" thickBot="1">
      <c r="A8" s="192"/>
      <c r="B8" s="192"/>
      <c r="C8" s="192"/>
      <c r="D8" s="192"/>
      <c r="E8" s="192"/>
      <c r="F8" s="192"/>
      <c r="G8" s="192"/>
      <c r="H8" s="192"/>
      <c r="I8" s="192"/>
      <c r="J8" s="193"/>
      <c r="K8" s="192"/>
      <c r="L8" s="193"/>
      <c r="M8" s="193"/>
      <c r="N8" s="193"/>
      <c r="O8" s="193"/>
      <c r="P8" s="193"/>
      <c r="Q8" s="30"/>
      <c r="R8" s="30"/>
      <c r="S8" s="30"/>
    </row>
    <row r="9" spans="1:19" ht="12" customHeight="1">
      <c r="A9" s="194" t="s">
        <v>80</v>
      </c>
      <c r="B9" s="485"/>
      <c r="C9" s="486"/>
      <c r="D9" s="194"/>
      <c r="E9" s="194"/>
      <c r="F9" s="194"/>
      <c r="G9" s="194"/>
      <c r="H9" s="194"/>
      <c r="I9" s="194"/>
      <c r="J9" s="195"/>
      <c r="K9" s="195"/>
      <c r="L9" s="196"/>
      <c r="M9" s="188"/>
      <c r="N9" s="239"/>
      <c r="O9" s="332"/>
      <c r="P9" s="332"/>
      <c r="Q9" s="241"/>
    </row>
    <row r="10" spans="1:19" ht="26.25">
      <c r="A10" s="197" t="s">
        <v>75</v>
      </c>
      <c r="B10" s="487" t="s">
        <v>76</v>
      </c>
      <c r="C10" s="488"/>
      <c r="D10" s="198" t="s">
        <v>0</v>
      </c>
      <c r="E10" s="198" t="s">
        <v>77</v>
      </c>
      <c r="F10" s="198" t="s">
        <v>132</v>
      </c>
      <c r="G10" s="198" t="s">
        <v>78</v>
      </c>
      <c r="H10" s="199" t="s">
        <v>211</v>
      </c>
      <c r="I10" s="200" t="s">
        <v>140</v>
      </c>
      <c r="J10" s="201" t="s">
        <v>68</v>
      </c>
      <c r="K10" s="202" t="s">
        <v>213</v>
      </c>
      <c r="L10" s="203" t="s">
        <v>97</v>
      </c>
      <c r="M10" s="188"/>
      <c r="N10" s="257"/>
      <c r="O10" s="332"/>
      <c r="P10" s="332"/>
      <c r="Q10" s="241"/>
    </row>
    <row r="11" spans="1:19" ht="12" customHeight="1">
      <c r="A11" s="499">
        <f>'ISIRF RAW'!S8</f>
        <v>45740.703055555554</v>
      </c>
      <c r="B11" s="489" t="str">
        <f>'ISIRF RAW'!T8</f>
        <v>IC15N-241218-10KansasRoarCarbon-3_3.raw</v>
      </c>
      <c r="C11" s="490"/>
      <c r="D11" s="445" t="str">
        <f>'ISIRF RAW'!A8</f>
        <v>ISIRF Ulva</v>
      </c>
      <c r="E11" s="446" t="str">
        <f>$B$4</f>
        <v>QC.STD</v>
      </c>
      <c r="F11" s="445">
        <f>'ISIRF RAW'!B8</f>
        <v>9</v>
      </c>
      <c r="G11" s="446">
        <f>'ISIRF RAW'!C8</f>
        <v>1.2030000000000001</v>
      </c>
      <c r="H11" s="446">
        <f>'ISIRF RAW'!D8</f>
        <v>4.4609385000000001</v>
      </c>
      <c r="I11" s="467">
        <f>'ISIRF RAW'!E8</f>
        <v>71002552</v>
      </c>
      <c r="J11" s="446">
        <f>'ISIRF RAW'!J8</f>
        <v>4.1283298926278027</v>
      </c>
      <c r="K11" s="446">
        <f>'ISIRF RAW'!L8</f>
        <v>7.5012052548445585</v>
      </c>
      <c r="L11" s="447"/>
      <c r="M11" s="188"/>
      <c r="N11" s="241"/>
      <c r="O11" s="333"/>
      <c r="P11" s="333"/>
      <c r="Q11" s="241"/>
    </row>
    <row r="12" spans="1:19" ht="12" customHeight="1">
      <c r="A12" s="500">
        <f>'ISIRF RAW'!S21</f>
        <v>45740.805625000001</v>
      </c>
      <c r="B12" s="491" t="str">
        <f>'ISIRF RAW'!T21</f>
        <v>IC15N-241218-10KansasRoarCarbon-3_16.raw</v>
      </c>
      <c r="C12" s="492"/>
      <c r="D12" s="448" t="str">
        <f>'ISIRF RAW'!A21</f>
        <v>ISIRF Ulva</v>
      </c>
      <c r="E12" s="449" t="str">
        <f>$B$4</f>
        <v>QC.STD</v>
      </c>
      <c r="F12" s="448">
        <f>'ISIRF RAW'!B21</f>
        <v>22</v>
      </c>
      <c r="G12" s="449">
        <f>'ISIRF RAW'!C21</f>
        <v>1.163</v>
      </c>
      <c r="H12" s="449">
        <f>'ISIRF RAW'!D21</f>
        <v>4.3527874999999998</v>
      </c>
      <c r="I12" s="468">
        <f>'ISIRF RAW'!E21</f>
        <v>68136512</v>
      </c>
      <c r="J12" s="449">
        <f>'ISIRF RAW'!J21</f>
        <v>4.0754844113340614</v>
      </c>
      <c r="K12" s="449">
        <f>'ISIRF RAW'!L21</f>
        <v>7.6583515789728391</v>
      </c>
      <c r="L12" s="450"/>
      <c r="M12" s="188"/>
      <c r="N12" s="241"/>
      <c r="O12" s="333"/>
      <c r="P12" s="333"/>
      <c r="Q12" s="241"/>
    </row>
    <row r="13" spans="1:19" ht="12" customHeight="1">
      <c r="A13" s="500">
        <f>'ISIRF RAW'!S33</f>
        <v>45740.899861111109</v>
      </c>
      <c r="B13" s="491" t="str">
        <f>'ISIRF RAW'!T33</f>
        <v>IC15N-241218-10KansasRoarCarbon-3_28.raw</v>
      </c>
      <c r="C13" s="492"/>
      <c r="D13" s="448" t="str">
        <f>'ISIRF RAW'!A33</f>
        <v>ISIRF Ulva</v>
      </c>
      <c r="E13" s="449" t="str">
        <f>$B$4</f>
        <v>QC.STD</v>
      </c>
      <c r="F13" s="448">
        <f>'ISIRF RAW'!B33</f>
        <v>34</v>
      </c>
      <c r="G13" s="449">
        <f>'ISIRF RAW'!C33</f>
        <v>1.135</v>
      </c>
      <c r="H13" s="449">
        <f>'ISIRF RAW'!D33</f>
        <v>4.2833895000000002</v>
      </c>
      <c r="I13" s="468">
        <f>'ISIRF RAW'!E33</f>
        <v>68224672</v>
      </c>
      <c r="J13" s="449">
        <f>'ISIRF RAW'!J33</f>
        <v>4.4116143214516876</v>
      </c>
      <c r="K13" s="449">
        <f>'ISIRF RAW'!L33</f>
        <v>7.4609602397048373</v>
      </c>
      <c r="L13" s="450"/>
      <c r="M13" s="188"/>
      <c r="N13" s="241"/>
      <c r="O13" s="333"/>
      <c r="P13" s="333"/>
      <c r="Q13" s="241"/>
    </row>
    <row r="14" spans="1:19" ht="12" customHeight="1">
      <c r="A14" s="500">
        <f>'ISIRF RAW'!S46</f>
        <v>45741.001944444448</v>
      </c>
      <c r="B14" s="491" t="str">
        <f>'ISIRF RAW'!T46</f>
        <v>IC15N-241218-10KansasRoarCarbon-3_41.raw</v>
      </c>
      <c r="C14" s="492"/>
      <c r="D14" s="448" t="str">
        <f>'ISIRF RAW'!A46</f>
        <v>ISIRF Ulva</v>
      </c>
      <c r="E14" s="449" t="str">
        <f>$B$4</f>
        <v>QC.STD</v>
      </c>
      <c r="F14" s="448">
        <f>'ISIRF RAW'!B46</f>
        <v>47</v>
      </c>
      <c r="G14" s="449">
        <f>'ISIRF RAW'!C46</f>
        <v>1.2430000000000001</v>
      </c>
      <c r="H14" s="449">
        <f>'ISIRF RAW'!D46</f>
        <v>4.7837185</v>
      </c>
      <c r="I14" s="468">
        <f>'ISIRF RAW'!E46</f>
        <v>75677504</v>
      </c>
      <c r="J14" s="449">
        <f>'ISIRF RAW'!J46</f>
        <v>4.5748714888024624</v>
      </c>
      <c r="K14" s="449">
        <f>'ISIRF RAW'!L46</f>
        <v>7.6112382324994439</v>
      </c>
      <c r="L14" s="450"/>
      <c r="M14" s="188"/>
      <c r="N14" s="241"/>
      <c r="O14" s="333"/>
      <c r="P14" s="333"/>
      <c r="Q14" s="241"/>
    </row>
    <row r="15" spans="1:19" ht="12" customHeight="1">
      <c r="A15" s="501">
        <f>'ISIRF RAW'!S58</f>
        <v>45741.096203703702</v>
      </c>
      <c r="B15" s="493" t="str">
        <f>'ISIRF RAW'!T58</f>
        <v>IC15N-241218-10KansasRoarCarbon-3_53.raw</v>
      </c>
      <c r="C15" s="494"/>
      <c r="D15" s="457" t="str">
        <f>'ISIRF RAW'!A58</f>
        <v>ISIRF Ulva</v>
      </c>
      <c r="E15" s="458" t="str">
        <f>$B$4</f>
        <v>QC.STD</v>
      </c>
      <c r="F15" s="457">
        <f>'ISIRF RAW'!B58</f>
        <v>59</v>
      </c>
      <c r="G15" s="458">
        <f>'ISIRF RAW'!C58</f>
        <v>1.284</v>
      </c>
      <c r="H15" s="458">
        <f>'ISIRF RAW'!D58</f>
        <v>4.7322404999999996</v>
      </c>
      <c r="I15" s="469">
        <f>'ISIRF RAW'!E58</f>
        <v>75844800</v>
      </c>
      <c r="J15" s="458">
        <f>'ISIRF RAW'!J58</f>
        <v>4.2046408605063128</v>
      </c>
      <c r="K15" s="458">
        <f>'ISIRF RAW'!L58</f>
        <v>7.370884349501587</v>
      </c>
      <c r="L15" s="459"/>
      <c r="M15" s="188"/>
      <c r="N15" s="241"/>
      <c r="O15" s="333"/>
      <c r="P15" s="333"/>
      <c r="Q15" s="241"/>
    </row>
    <row r="16" spans="1:19" ht="12" customHeight="1">
      <c r="A16" s="502">
        <f>'ISIRF RAW'!S9</f>
        <v>45740.710995370369</v>
      </c>
      <c r="B16" s="495" t="str">
        <f>'ISIRF RAW'!T9</f>
        <v>IC15N-241218-10KansasRoarCarbon-3_4.raw</v>
      </c>
      <c r="C16" s="496"/>
      <c r="D16" s="455" t="str">
        <f>'ISIRF RAW'!A9</f>
        <v>ISIRF Chitin</v>
      </c>
      <c r="E16" s="455" t="str">
        <f t="shared" ref="E16:E18" si="0">B$5</f>
        <v>Cal-H.STD</v>
      </c>
      <c r="F16" s="454">
        <f>'ISIRF RAW'!B9</f>
        <v>10</v>
      </c>
      <c r="G16" s="455">
        <f>'ISIRF RAW'!C9</f>
        <v>0.96299999999999997</v>
      </c>
      <c r="H16" s="455">
        <f>'ISIRF RAW'!D9</f>
        <v>5.6857765000000002</v>
      </c>
      <c r="I16" s="470">
        <f>'ISIRF RAW'!E9</f>
        <v>89403248</v>
      </c>
      <c r="J16" s="455">
        <f>'ISIRF RAW'!J9</f>
        <v>6.4136891345705234</v>
      </c>
      <c r="K16" s="455">
        <f>'ISIRF RAW'!L9</f>
        <v>-4.9198917264326614</v>
      </c>
      <c r="L16" s="456"/>
      <c r="M16" s="188"/>
      <c r="N16" s="241"/>
      <c r="O16" s="333"/>
      <c r="P16" s="333"/>
      <c r="Q16" s="241"/>
    </row>
    <row r="17" spans="1:19" ht="12" customHeight="1">
      <c r="A17" s="500">
        <f>'ISIRF RAW'!S34</f>
        <v>45740.907731481479</v>
      </c>
      <c r="B17" s="491" t="str">
        <f>'ISIRF RAW'!T34</f>
        <v>IC15N-241218-10KansasRoarCarbon-3_29.raw</v>
      </c>
      <c r="C17" s="492"/>
      <c r="D17" s="449" t="str">
        <f>'ISIRF RAW'!A34</f>
        <v>ISIRF Chitin</v>
      </c>
      <c r="E17" s="449" t="str">
        <f t="shared" si="0"/>
        <v>Cal-H.STD</v>
      </c>
      <c r="F17" s="448">
        <f>'ISIRF RAW'!B34</f>
        <v>35</v>
      </c>
      <c r="G17" s="449">
        <f>'ISIRF RAW'!C34</f>
        <v>0.97899999999999998</v>
      </c>
      <c r="H17" s="449">
        <f>'ISIRF RAW'!D34</f>
        <v>5.7937785000000002</v>
      </c>
      <c r="I17" s="468">
        <f>'ISIRF RAW'!E34</f>
        <v>90953440</v>
      </c>
      <c r="J17" s="449">
        <f>'ISIRF RAW'!J34</f>
        <v>6.5966563060651362</v>
      </c>
      <c r="K17" s="449">
        <f>'ISIRF RAW'!L34</f>
        <v>-4.9643394478833116</v>
      </c>
      <c r="L17" s="450"/>
      <c r="M17" s="188"/>
      <c r="N17" s="241"/>
      <c r="O17" s="333"/>
      <c r="P17" s="333"/>
      <c r="Q17" s="241"/>
    </row>
    <row r="18" spans="1:19" ht="12" customHeight="1">
      <c r="A18" s="501">
        <f>'ISIRF RAW'!S59</f>
        <v>45741.104039351849</v>
      </c>
      <c r="B18" s="493" t="str">
        <f>'ISIRF RAW'!T59</f>
        <v>IC15N-241218-10KansasRoarCarbon-3_54.raw</v>
      </c>
      <c r="C18" s="494"/>
      <c r="D18" s="458" t="str">
        <f>'ISIRF RAW'!A59</f>
        <v>ISIRF Chitin</v>
      </c>
      <c r="E18" s="458" t="str">
        <f t="shared" si="0"/>
        <v>Cal-H.STD</v>
      </c>
      <c r="F18" s="457">
        <f>'ISIRF RAW'!B59</f>
        <v>60</v>
      </c>
      <c r="G18" s="458">
        <f>'ISIRF RAW'!C59</f>
        <v>1.079</v>
      </c>
      <c r="H18" s="458">
        <f>'ISIRF RAW'!D59</f>
        <v>6.3247524999999998</v>
      </c>
      <c r="I18" s="469">
        <f>'ISIRF RAW'!E59</f>
        <v>100359056</v>
      </c>
      <c r="J18" s="458">
        <f>'ISIRF RAW'!J59</f>
        <v>6.5334225542387374</v>
      </c>
      <c r="K18" s="458">
        <f>'ISIRF RAW'!L59</f>
        <v>-5.0483298195768018</v>
      </c>
      <c r="L18" s="459"/>
      <c r="M18" s="188"/>
      <c r="N18" s="334"/>
      <c r="O18" s="334"/>
      <c r="P18" s="334"/>
      <c r="Q18" s="241"/>
    </row>
    <row r="19" spans="1:19" ht="12" customHeight="1">
      <c r="A19" s="502">
        <f>'ISIRF RAW'!S10</f>
        <v>45740.718888888892</v>
      </c>
      <c r="B19" s="495" t="str">
        <f>'ISIRF RAW'!T10</f>
        <v>IC15N-241218-10KansasRoarCarbon-3_5.raw</v>
      </c>
      <c r="C19" s="496"/>
      <c r="D19" s="454" t="str">
        <f>'ISIRF RAW'!A10</f>
        <v>ISIRF Bamboo</v>
      </c>
      <c r="E19" s="454" t="str">
        <f t="shared" ref="E19:E21" si="1">B$6</f>
        <v>Cal-L.STD</v>
      </c>
      <c r="F19" s="454">
        <f>'ISIRF RAW'!B10</f>
        <v>11</v>
      </c>
      <c r="G19" s="455">
        <f>'ISIRF RAW'!C10</f>
        <v>1.446</v>
      </c>
      <c r="H19" s="455">
        <f>'ISIRF RAW'!D10</f>
        <v>3.8349592499999998</v>
      </c>
      <c r="I19" s="470">
        <f>'ISIRF RAW'!E10</f>
        <v>61901156</v>
      </c>
      <c r="J19" s="455">
        <f>'ISIRF RAW'!J10</f>
        <v>3.0516231983706525</v>
      </c>
      <c r="K19" s="455">
        <f>'ISIRF RAW'!L10</f>
        <v>1.9277698333833886</v>
      </c>
      <c r="L19" s="456"/>
      <c r="M19" s="188"/>
      <c r="N19" s="334"/>
      <c r="O19" s="334"/>
      <c r="P19" s="334"/>
      <c r="Q19" s="241"/>
    </row>
    <row r="20" spans="1:19" ht="12" customHeight="1">
      <c r="A20" s="500">
        <f>'ISIRF RAW'!S35</f>
        <v>45740.915555555555</v>
      </c>
      <c r="B20" s="491" t="str">
        <f>'ISIRF RAW'!T35</f>
        <v>IC15N-241218-10KansasRoarCarbon-3_30.raw</v>
      </c>
      <c r="C20" s="492"/>
      <c r="D20" s="448" t="str">
        <f>'ISIRF RAW'!A35</f>
        <v>ISIRF Bamboo</v>
      </c>
      <c r="E20" s="448" t="str">
        <f t="shared" si="1"/>
        <v>Cal-L.STD</v>
      </c>
      <c r="F20" s="448">
        <f>'ISIRF RAW'!B35</f>
        <v>36</v>
      </c>
      <c r="G20" s="449">
        <f>'ISIRF RAW'!C35</f>
        <v>1.621</v>
      </c>
      <c r="H20" s="449">
        <f>'ISIRF RAW'!D35</f>
        <v>4.3793829999999998</v>
      </c>
      <c r="I20" s="468">
        <f>'ISIRF RAW'!E35</f>
        <v>70220600</v>
      </c>
      <c r="J20" s="449">
        <f>'ISIRF RAW'!J35</f>
        <v>3.1511853408622699</v>
      </c>
      <c r="K20" s="449">
        <f>'ISIRF RAW'!L35</f>
        <v>2.0151127971063336</v>
      </c>
      <c r="L20" s="450"/>
      <c r="M20" s="193"/>
      <c r="N20" s="334"/>
      <c r="O20" s="334"/>
      <c r="P20" s="334"/>
      <c r="Q20" s="241"/>
    </row>
    <row r="21" spans="1:19" ht="12" customHeight="1">
      <c r="A21" s="501">
        <f>'ISIRF RAW'!S60</f>
        <v>45741.111886574072</v>
      </c>
      <c r="B21" s="493" t="str">
        <f>'ISIRF RAW'!T60</f>
        <v>IC15N-241218-10KansasRoarCarbon-3_55.raw</v>
      </c>
      <c r="C21" s="494"/>
      <c r="D21" s="457" t="str">
        <f>'ISIRF RAW'!A60</f>
        <v>ISIRF Bamboo</v>
      </c>
      <c r="E21" s="457" t="str">
        <f t="shared" si="1"/>
        <v>Cal-L.STD</v>
      </c>
      <c r="F21" s="457">
        <f>'ISIRF RAW'!B60</f>
        <v>61</v>
      </c>
      <c r="G21" s="458">
        <f>'ISIRF RAW'!C60</f>
        <v>1.581</v>
      </c>
      <c r="H21" s="458">
        <f>'ISIRF RAW'!D60</f>
        <v>4.0268022500000002</v>
      </c>
      <c r="I21" s="469">
        <f>'ISIRF RAW'!E60</f>
        <v>65638524</v>
      </c>
      <c r="J21" s="458">
        <f>'ISIRF RAW'!J60</f>
        <v>3.0391939411703648</v>
      </c>
      <c r="K21" s="458">
        <f>'ISIRF RAW'!L60</f>
        <v>2.0619767233059849</v>
      </c>
      <c r="L21" s="459"/>
      <c r="M21" s="188"/>
      <c r="N21" s="335"/>
      <c r="O21" s="241"/>
      <c r="P21" s="241"/>
      <c r="Q21" s="241"/>
    </row>
    <row r="22" spans="1:19" ht="12" customHeight="1">
      <c r="A22" s="502">
        <f>'ISIRF RAW'!S11</f>
        <v>45740.726782407408</v>
      </c>
      <c r="B22" s="495" t="str">
        <f>'ISIRF RAW'!T11</f>
        <v>IC15N-241218-10KansasRoarCarbon-3_6.raw</v>
      </c>
      <c r="C22" s="496"/>
      <c r="D22" s="454" t="str">
        <f>'ISIRF RAW'!A11</f>
        <v>NBS 1575 Pine Needles</v>
      </c>
      <c r="E22" s="455" t="s">
        <v>165</v>
      </c>
      <c r="F22" s="454">
        <f>'ISIRF RAW'!B11</f>
        <v>12</v>
      </c>
      <c r="G22" s="455">
        <f>'ISIRF RAW'!C11</f>
        <v>6.7919999999999998</v>
      </c>
      <c r="H22" s="455">
        <f>'ISIRF RAW'!D11</f>
        <v>6.4396345000000004</v>
      </c>
      <c r="I22" s="470">
        <f>'ISIRF RAW'!E11</f>
        <v>112044144</v>
      </c>
      <c r="J22" s="455">
        <f>'ISIRF RAW'!J11</f>
        <v>1.2213562654094712</v>
      </c>
      <c r="K22" s="455">
        <f>'ISIRF RAW'!L11</f>
        <v>0.60130857406698113</v>
      </c>
      <c r="L22" s="456"/>
      <c r="M22" s="188"/>
      <c r="N22" s="241"/>
      <c r="O22" s="241"/>
      <c r="P22" s="241"/>
      <c r="Q22" s="241"/>
      <c r="R22" s="30"/>
    </row>
    <row r="23" spans="1:19" ht="12" customHeight="1">
      <c r="A23" s="500">
        <f>'ISIRF RAW'!S36</f>
        <v>45740.923414351855</v>
      </c>
      <c r="B23" s="491" t="str">
        <f>'ISIRF RAW'!T36</f>
        <v>IC15N-241218-10KansasRoarCarbon-3_31.raw</v>
      </c>
      <c r="C23" s="492"/>
      <c r="D23" s="448" t="str">
        <f>'ISIRF RAW'!A36</f>
        <v>NBS 1575 Pine Needles</v>
      </c>
      <c r="E23" s="449" t="s">
        <v>165</v>
      </c>
      <c r="F23" s="448">
        <f>'ISIRF RAW'!B36</f>
        <v>37</v>
      </c>
      <c r="G23" s="449">
        <f>'ISIRF RAW'!C36</f>
        <v>6.5739999999999998</v>
      </c>
      <c r="H23" s="449">
        <f>'ISIRF RAW'!D36</f>
        <v>6.2617775</v>
      </c>
      <c r="I23" s="468">
        <f>'ISIRF RAW'!E36</f>
        <v>111667816</v>
      </c>
      <c r="J23" s="449">
        <f>'ISIRF RAW'!J36</f>
        <v>1.2837461638474492</v>
      </c>
      <c r="K23" s="449">
        <f>'ISIRF RAW'!L36</f>
        <v>0.3481124552960041</v>
      </c>
      <c r="L23" s="450"/>
      <c r="M23" s="188"/>
      <c r="N23" s="241"/>
      <c r="O23" s="241"/>
      <c r="P23" s="241"/>
      <c r="Q23" s="241"/>
    </row>
    <row r="24" spans="1:19" ht="12.75" customHeight="1" thickBot="1">
      <c r="A24" s="503">
        <f>'ISIRF RAW'!S61</f>
        <v>45741.119791666664</v>
      </c>
      <c r="B24" s="497" t="str">
        <f>'ISIRF RAW'!T61</f>
        <v>IC15N-241218-10KansasRoarCarbon-3_56.raw</v>
      </c>
      <c r="C24" s="498"/>
      <c r="D24" s="451" t="str">
        <f>'ISIRF RAW'!A61</f>
        <v>NBS 1575 Pine Needles</v>
      </c>
      <c r="E24" s="452" t="s">
        <v>165</v>
      </c>
      <c r="F24" s="451">
        <f>'ISIRF RAW'!B61</f>
        <v>62</v>
      </c>
      <c r="G24" s="452">
        <f>'ISIRF RAW'!C61</f>
        <v>6.8730000000000002</v>
      </c>
      <c r="H24" s="452">
        <f>'ISIRF RAW'!D61</f>
        <v>6.4289025000000004</v>
      </c>
      <c r="I24" s="471">
        <f>'ISIRF RAW'!E61</f>
        <v>117563456</v>
      </c>
      <c r="J24" s="452">
        <f>'ISIRF RAW'!J61</f>
        <v>1.2808621609475372</v>
      </c>
      <c r="K24" s="452">
        <f>'ISIRF RAW'!L61</f>
        <v>0.45674064407736448</v>
      </c>
      <c r="L24" s="453"/>
      <c r="M24" s="188"/>
      <c r="N24" s="188"/>
      <c r="O24" s="193"/>
      <c r="P24" s="193"/>
      <c r="Q24" s="188"/>
    </row>
    <row r="25" spans="1:19" ht="12.75" thickBot="1">
      <c r="A25" s="188"/>
      <c r="B25" s="188"/>
      <c r="C25" s="207"/>
      <c r="D25" s="207"/>
      <c r="E25" s="208"/>
      <c r="F25" s="209"/>
      <c r="G25" s="209"/>
      <c r="H25" s="209"/>
      <c r="I25" s="209"/>
      <c r="J25" s="210"/>
      <c r="K25" s="210"/>
      <c r="L25" s="188"/>
      <c r="M25" s="188"/>
      <c r="N25" s="188"/>
      <c r="O25" s="188"/>
      <c r="P25" s="188"/>
    </row>
    <row r="26" spans="1:19" ht="13.5">
      <c r="A26" s="211" t="s">
        <v>70</v>
      </c>
      <c r="B26" s="212" t="s">
        <v>141</v>
      </c>
      <c r="C26" s="213" t="s">
        <v>144</v>
      </c>
      <c r="D26" s="214"/>
      <c r="E26" s="212"/>
      <c r="F26" s="215" t="s">
        <v>68</v>
      </c>
      <c r="G26" s="214"/>
      <c r="H26" s="216" t="s">
        <v>2</v>
      </c>
      <c r="I26" s="217"/>
      <c r="J26" s="217"/>
      <c r="K26" s="217"/>
      <c r="L26" s="188"/>
      <c r="M26" s="188"/>
      <c r="N26" s="188"/>
      <c r="O26" s="188"/>
      <c r="P26" s="188"/>
    </row>
    <row r="27" spans="1:19" ht="13.5" thickBot="1">
      <c r="A27" s="218"/>
      <c r="B27" s="219" t="s">
        <v>1</v>
      </c>
      <c r="C27" s="220" t="s">
        <v>142</v>
      </c>
      <c r="D27" s="221" t="s">
        <v>5</v>
      </c>
      <c r="E27" s="219" t="s">
        <v>1</v>
      </c>
      <c r="F27" s="220" t="s">
        <v>143</v>
      </c>
      <c r="G27" s="221" t="s">
        <v>231</v>
      </c>
      <c r="H27" s="222" t="s">
        <v>3</v>
      </c>
      <c r="I27" s="217"/>
      <c r="J27" s="217"/>
      <c r="K27" s="217"/>
      <c r="L27" s="188"/>
      <c r="M27" s="188"/>
      <c r="N27" s="188"/>
      <c r="O27" s="188"/>
      <c r="P27" s="188"/>
    </row>
    <row r="28" spans="1:19" s="32" customFormat="1" ht="13.5" thickTop="1">
      <c r="A28" s="223" t="s">
        <v>25</v>
      </c>
      <c r="B28" s="224">
        <f>AVERAGE('ISIRF RAW'!L12,'ISIRF RAW'!L56)</f>
        <v>6.0309836046623042</v>
      </c>
      <c r="C28" s="225">
        <f>VAR('ISIRF RAW'!L12,'ISIRF RAW'!L56)</f>
        <v>5.0163255910957875E-2</v>
      </c>
      <c r="D28" s="226">
        <f>STDEV('ISIRF RAW'!L12,'ISIRF RAW'!L56)</f>
        <v>0.22397155156617074</v>
      </c>
      <c r="E28" s="224">
        <f>AVERAGE('ISIRF RAW'!J12,'ISIRF RAW'!J56)</f>
        <v>0.23881289370154954</v>
      </c>
      <c r="F28" s="225">
        <f>VAR('ISIRF RAW'!J12,'ISIRF RAW'!J56)</f>
        <v>7.6754945580935745E-7</v>
      </c>
      <c r="G28" s="226">
        <f>(STDEV('ISIRF RAW'!J12,'ISIRF RAW'!J56))/E28</f>
        <v>3.6685581975244145E-3</v>
      </c>
      <c r="H28" s="227">
        <f>COUNT('ISIRF RAW'!J12,'ISIRF RAW'!J56)</f>
        <v>2</v>
      </c>
      <c r="I28" s="217"/>
      <c r="J28" s="217"/>
      <c r="K28" s="217"/>
      <c r="L28" s="241"/>
      <c r="M28" s="188"/>
      <c r="N28" s="188"/>
      <c r="O28" s="188"/>
      <c r="P28" s="188"/>
    </row>
    <row r="29" spans="1:19" s="32" customFormat="1" ht="13.5" thickBot="1">
      <c r="A29" s="223" t="s">
        <v>26</v>
      </c>
      <c r="B29" s="228">
        <f>AVERAGE('ISIRF RAW'!L26:L27)</f>
        <v>7.3373171423750678</v>
      </c>
      <c r="C29" s="225">
        <f>VAR('ISIRF RAW'!L26:L27)</f>
        <v>2.3252800867850556E-2</v>
      </c>
      <c r="D29" s="226">
        <f>STDEV('ISIRF RAW'!L26:L27)</f>
        <v>0.15248869095067527</v>
      </c>
      <c r="E29" s="228">
        <f>AVERAGE('ISIRF RAW'!J26:J27)</f>
        <v>0.3326313079213829</v>
      </c>
      <c r="F29" s="225">
        <f>VAR('ISIRF RAW'!J26:J27)</f>
        <v>1.2802244013078838E-4</v>
      </c>
      <c r="G29" s="226">
        <f>(STDEV('ISIRF RAW'!J26:J27))/E29</f>
        <v>3.4015740277935212E-2</v>
      </c>
      <c r="H29" s="229">
        <f>COUNT('ISIRF RAW'!J26:J27)</f>
        <v>2</v>
      </c>
      <c r="I29" s="217"/>
      <c r="J29" s="217"/>
      <c r="K29" s="217"/>
      <c r="L29" s="241"/>
      <c r="M29" s="188"/>
      <c r="N29" s="188"/>
      <c r="O29" s="188"/>
      <c r="P29" s="188"/>
    </row>
    <row r="30" spans="1:19" ht="13.5" thickTop="1">
      <c r="A30" s="230" t="str">
        <f>B4</f>
        <v>QC.STD</v>
      </c>
      <c r="B30" s="224">
        <f>AVERAGE(K11:K15)</f>
        <v>7.5205279311046542</v>
      </c>
      <c r="C30" s="231">
        <f>VAR(K11:K15)</f>
        <v>1.3384648470594283E-2</v>
      </c>
      <c r="D30" s="232">
        <f>STDEV(K11:K15)</f>
        <v>0.1156920415179639</v>
      </c>
      <c r="E30" s="224">
        <f>AVERAGE(J11:J15)</f>
        <v>4.278988194944465</v>
      </c>
      <c r="F30" s="231">
        <f>VAR(J11:J15)</f>
        <v>4.3693963288828783E-2</v>
      </c>
      <c r="G30" s="232">
        <f>(STDEV(J11:J15))/E30</f>
        <v>4.8850569533958374E-2</v>
      </c>
      <c r="H30" s="233">
        <f>COUNT(J11:J15)</f>
        <v>5</v>
      </c>
      <c r="I30" s="217"/>
      <c r="J30" s="217"/>
      <c r="K30" s="234"/>
      <c r="L30" s="193"/>
      <c r="M30" s="193"/>
      <c r="N30" s="188"/>
      <c r="O30" s="188"/>
      <c r="P30" s="193"/>
      <c r="Q30" s="30"/>
      <c r="R30" s="30"/>
      <c r="S30" s="30"/>
    </row>
    <row r="31" spans="1:19">
      <c r="A31" s="235" t="str">
        <f>B5</f>
        <v>Cal-H.STD</v>
      </c>
      <c r="B31" s="236">
        <f>AVERAGE(K16:K18)</f>
        <v>-4.9775203312975913</v>
      </c>
      <c r="C31" s="237">
        <f>VAR(K16:K18)</f>
        <v>4.2543877083113558E-3</v>
      </c>
      <c r="D31" s="238">
        <f>STDEV(K16:K18)</f>
        <v>6.5225667557422179E-2</v>
      </c>
      <c r="E31" s="236">
        <f>AVERAGE(J16:J18)</f>
        <v>6.5145893316247987</v>
      </c>
      <c r="F31" s="237">
        <f>VAR(J16:J18)</f>
        <v>8.6352641667043865E-3</v>
      </c>
      <c r="G31" s="373">
        <f>(STDEV(J16:J18))/E31</f>
        <v>1.4264310052361279E-2</v>
      </c>
      <c r="H31" s="229">
        <f>COUNT(J16:J18)</f>
        <v>3</v>
      </c>
      <c r="I31" s="188"/>
      <c r="J31" s="188"/>
      <c r="K31" s="188"/>
      <c r="L31" s="193"/>
      <c r="M31" s="193"/>
      <c r="N31" s="188"/>
      <c r="O31" s="188"/>
      <c r="P31" s="193"/>
      <c r="Q31" s="30"/>
      <c r="R31" s="30"/>
      <c r="S31" s="30"/>
    </row>
    <row r="32" spans="1:19" ht="12.75" thickBot="1">
      <c r="A32" s="531" t="str">
        <f>B6</f>
        <v>Cal-L.STD</v>
      </c>
      <c r="B32" s="532">
        <f>AVERAGE(K19:K21)</f>
        <v>2.001619784598569</v>
      </c>
      <c r="C32" s="533">
        <f>VAR(K19:K21)</f>
        <v>4.6394183655749906E-3</v>
      </c>
      <c r="D32" s="534">
        <f>STDEV(K19:K21)</f>
        <v>6.811327598622012E-2</v>
      </c>
      <c r="E32" s="532">
        <f>AVERAGE(J19:J21)</f>
        <v>3.0806674934677623</v>
      </c>
      <c r="F32" s="533">
        <f>VAR(J19:J21)</f>
        <v>3.7681967095040091E-3</v>
      </c>
      <c r="G32" s="535">
        <f>(STDEV(J19:J21))/E32</f>
        <v>1.9926084008623033E-2</v>
      </c>
      <c r="H32" s="524">
        <f>COUNT(J19:J21)</f>
        <v>3</v>
      </c>
      <c r="I32" s="188"/>
      <c r="J32" s="188"/>
      <c r="K32" s="188"/>
      <c r="L32" s="193"/>
      <c r="M32" s="193"/>
      <c r="N32" s="193"/>
      <c r="O32" s="193"/>
      <c r="P32" s="193"/>
      <c r="Q32" s="30"/>
      <c r="R32" s="30"/>
      <c r="S32" s="30"/>
    </row>
    <row r="33" spans="1:19" ht="13.5" thickTop="1" thickBot="1">
      <c r="A33" s="525" t="str">
        <f>B7</f>
        <v>Check QC</v>
      </c>
      <c r="B33" s="526">
        <f>AVERAGE(K22:K24)</f>
        <v>0.4687205578134499</v>
      </c>
      <c r="C33" s="527">
        <f>VAR(K22:K24)</f>
        <v>1.6134707390014713E-2</v>
      </c>
      <c r="D33" s="528">
        <f>STDEV(K22:K24)</f>
        <v>0.12702246805197384</v>
      </c>
      <c r="E33" s="526">
        <f>AVERAGE(J22:J24)</f>
        <v>1.2619881967348192</v>
      </c>
      <c r="F33" s="527">
        <f>VAR(J22:J24)</f>
        <v>1.2402947506025244E-3</v>
      </c>
      <c r="G33" s="529">
        <f>(STDEV(J22:J24))/E33</f>
        <v>2.7906614929587088E-2</v>
      </c>
      <c r="H33" s="530">
        <f>COUNT(J22:J24)</f>
        <v>3</v>
      </c>
      <c r="I33" s="242"/>
      <c r="J33" s="242"/>
      <c r="K33" s="241"/>
      <c r="L33" s="193"/>
      <c r="M33" s="193"/>
      <c r="N33" s="193"/>
      <c r="O33" s="193"/>
      <c r="P33" s="193"/>
      <c r="Q33" s="30"/>
      <c r="R33" s="30"/>
      <c r="S33" s="30"/>
    </row>
    <row r="34" spans="1:19">
      <c r="A34" s="239"/>
      <c r="B34" s="243" t="s">
        <v>96</v>
      </c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30"/>
      <c r="R34" s="30"/>
      <c r="S34" s="30"/>
    </row>
    <row r="35" spans="1:19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30"/>
      <c r="R35" s="30"/>
      <c r="S35" s="30"/>
    </row>
    <row r="36" spans="1:19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30"/>
      <c r="R36" s="30"/>
      <c r="S36" s="30"/>
    </row>
    <row r="37" spans="1:19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30"/>
      <c r="R37" s="30"/>
      <c r="S37" s="30"/>
    </row>
    <row r="38" spans="1:19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30"/>
      <c r="R38" s="30"/>
      <c r="S38" s="30"/>
    </row>
    <row r="39" spans="1:19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30"/>
      <c r="R39" s="30"/>
      <c r="S39" s="30"/>
    </row>
    <row r="40" spans="1:19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30"/>
      <c r="R40" s="30"/>
      <c r="S40" s="30"/>
    </row>
    <row r="41" spans="1:19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30"/>
      <c r="R41" s="30"/>
      <c r="S41" s="30"/>
    </row>
    <row r="42" spans="1:19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30"/>
      <c r="R42" s="30"/>
      <c r="S42" s="30"/>
    </row>
    <row r="43" spans="1:19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30"/>
      <c r="R43" s="30"/>
      <c r="S43" s="30"/>
    </row>
    <row r="44" spans="1:19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30"/>
      <c r="R44" s="30"/>
      <c r="S44" s="30"/>
    </row>
    <row r="45" spans="1:19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30"/>
      <c r="R45" s="30"/>
      <c r="S45" s="30"/>
    </row>
    <row r="46" spans="1:19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30"/>
      <c r="R46" s="30"/>
      <c r="S46" s="30"/>
    </row>
    <row r="47" spans="1:19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30"/>
      <c r="Q47" s="30"/>
      <c r="R47" s="30"/>
      <c r="S47" s="30"/>
    </row>
    <row r="48" spans="1:19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30"/>
      <c r="M48" s="30"/>
      <c r="N48" s="193"/>
      <c r="O48" s="193"/>
      <c r="P48" s="30"/>
      <c r="Q48" s="30"/>
      <c r="R48" s="30"/>
      <c r="S48" s="30"/>
    </row>
    <row r="49" spans="1:19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30"/>
      <c r="M49" s="30"/>
      <c r="N49" s="193"/>
      <c r="O49" s="193"/>
      <c r="P49" s="30"/>
      <c r="Q49" s="30"/>
      <c r="R49" s="30"/>
      <c r="S49" s="30"/>
    </row>
    <row r="50" spans="1:19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30"/>
      <c r="M50" s="30"/>
      <c r="N50" s="30"/>
      <c r="O50" s="30"/>
      <c r="P50" s="30"/>
      <c r="Q50" s="30"/>
      <c r="R50" s="30"/>
      <c r="S50" s="30"/>
    </row>
    <row r="51" spans="1:19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40625" defaultRowHeight="12"/>
  <cols>
    <col min="1" max="1" width="17.7109375" style="30" bestFit="1" customWidth="1"/>
    <col min="2" max="2" width="24.7109375" style="30" customWidth="1"/>
    <col min="3" max="3" width="13" style="30" customWidth="1"/>
    <col min="4" max="4" width="20.42578125" style="30" customWidth="1"/>
    <col min="5" max="5" width="9.42578125" style="30" bestFit="1" customWidth="1"/>
    <col min="6" max="6" width="8.28515625" style="30" bestFit="1" customWidth="1"/>
    <col min="7" max="7" width="7.85546875" style="30" bestFit="1" customWidth="1"/>
    <col min="8" max="8" width="8" style="41" bestFit="1" customWidth="1"/>
    <col min="9" max="9" width="9.5703125" style="41" bestFit="1" customWidth="1"/>
    <col min="10" max="10" width="5.42578125" style="41" bestFit="1" customWidth="1"/>
    <col min="11" max="11" width="6" style="30" bestFit="1" customWidth="1"/>
    <col min="12" max="12" width="9.85546875" style="30" customWidth="1"/>
    <col min="13" max="13" width="9.140625" style="30" bestFit="1"/>
    <col min="14" max="14" width="7.85546875" style="30" customWidth="1"/>
    <col min="15" max="16384" width="9.140625" style="30"/>
  </cols>
  <sheetData>
    <row r="1" spans="1:18" ht="12.75" thickBot="1">
      <c r="A1" s="184" t="s">
        <v>10</v>
      </c>
      <c r="B1" s="185" t="str">
        <f>COVER!C2</f>
        <v>IC13C-241218-10KansasROARCarbon-3</v>
      </c>
      <c r="C1" s="186"/>
      <c r="D1" s="187"/>
      <c r="E1" s="193"/>
      <c r="F1" s="193"/>
      <c r="G1" s="193"/>
      <c r="H1" s="244"/>
      <c r="I1" s="244"/>
      <c r="J1" s="244"/>
      <c r="K1" s="193"/>
      <c r="L1" s="193"/>
      <c r="M1" s="193"/>
      <c r="N1" s="193"/>
      <c r="O1" s="193"/>
      <c r="P1" s="193"/>
      <c r="Q1" s="193"/>
    </row>
    <row r="2" spans="1:18" ht="12.75" thickBot="1">
      <c r="A2" s="192"/>
      <c r="B2" s="245"/>
      <c r="C2" s="245"/>
      <c r="D2" s="245"/>
      <c r="E2" s="193"/>
      <c r="F2" s="193"/>
      <c r="G2" s="193"/>
      <c r="H2" s="244"/>
      <c r="I2" s="244"/>
      <c r="J2" s="244"/>
      <c r="K2" s="193"/>
      <c r="L2" s="193"/>
      <c r="M2" s="193"/>
      <c r="N2" s="193"/>
      <c r="O2" s="193"/>
      <c r="P2" s="193"/>
      <c r="Q2" s="193"/>
    </row>
    <row r="3" spans="1:18" ht="13.5">
      <c r="A3" s="313" t="s">
        <v>0</v>
      </c>
      <c r="B3" s="314" t="s">
        <v>136</v>
      </c>
      <c r="C3" s="315" t="s">
        <v>135</v>
      </c>
      <c r="D3" s="316" t="s">
        <v>67</v>
      </c>
      <c r="E3" s="193"/>
      <c r="F3" s="193"/>
      <c r="G3" s="193"/>
      <c r="H3" s="193"/>
      <c r="I3" s="244"/>
      <c r="J3" s="244"/>
      <c r="K3" s="244"/>
      <c r="L3" s="193"/>
      <c r="M3" s="193"/>
      <c r="N3" s="193"/>
      <c r="O3" s="193"/>
      <c r="P3" s="193"/>
      <c r="Q3" s="193"/>
    </row>
    <row r="4" spans="1:18">
      <c r="A4" s="311" t="str">
        <f>'Weigh Sheet'!C9</f>
        <v>ISIRF Ulva</v>
      </c>
      <c r="B4" s="307" t="s">
        <v>137</v>
      </c>
      <c r="C4" s="317">
        <f>'ISIRF RAW'!E63</f>
        <v>-12.890511300308667</v>
      </c>
      <c r="D4" s="318">
        <f>'ISIRF RAW'!F63</f>
        <v>33.294437556499993</v>
      </c>
      <c r="E4" s="193"/>
      <c r="F4" s="193"/>
      <c r="G4" s="193"/>
      <c r="H4" s="193"/>
      <c r="I4" s="244"/>
      <c r="J4" s="244"/>
      <c r="K4" s="244"/>
      <c r="L4" s="193"/>
      <c r="M4" s="193"/>
      <c r="N4" s="193"/>
      <c r="O4" s="193"/>
      <c r="P4" s="193"/>
      <c r="Q4" s="193"/>
    </row>
    <row r="5" spans="1:18">
      <c r="A5" s="311" t="str">
        <f>'Weigh Sheet'!C10</f>
        <v>ISIRF Chitin</v>
      </c>
      <c r="B5" s="307" t="s">
        <v>129</v>
      </c>
      <c r="C5" s="317">
        <f>'ISIRF RAW'!E64</f>
        <v>-21.201039386165913</v>
      </c>
      <c r="D5" s="318">
        <f>'ISIRF RAW'!F64</f>
        <v>44.925158736166672</v>
      </c>
      <c r="E5" s="193"/>
      <c r="F5" s="193"/>
      <c r="G5" s="193"/>
      <c r="H5" s="193"/>
      <c r="I5" s="244"/>
      <c r="J5" s="244"/>
      <c r="K5" s="244"/>
      <c r="L5" s="193"/>
      <c r="M5" s="193"/>
      <c r="N5" s="193"/>
      <c r="O5" s="193"/>
      <c r="P5" s="193"/>
      <c r="Q5" s="193"/>
    </row>
    <row r="6" spans="1:18">
      <c r="A6" s="311" t="str">
        <f>'Weigh Sheet'!C11</f>
        <v>ISIRF Bamboo</v>
      </c>
      <c r="B6" s="307" t="s">
        <v>130</v>
      </c>
      <c r="C6" s="317">
        <f>'ISIRF RAW'!E65</f>
        <v>-30.291663706283909</v>
      </c>
      <c r="D6" s="318">
        <f>'ISIRF RAW'!F65</f>
        <v>45.850178489166666</v>
      </c>
      <c r="E6" s="193"/>
      <c r="F6" s="193"/>
      <c r="G6" s="193"/>
      <c r="H6" s="193"/>
      <c r="I6" s="244"/>
      <c r="J6" s="244"/>
      <c r="K6" s="244"/>
      <c r="L6" s="193"/>
      <c r="M6" s="193"/>
      <c r="N6" s="193"/>
      <c r="O6" s="193"/>
      <c r="P6" s="193"/>
      <c r="Q6" s="193"/>
    </row>
    <row r="7" spans="1:18" ht="12.75" thickBot="1">
      <c r="A7" s="312" t="str">
        <f>'Weigh Sheet'!C12</f>
        <v>NBS 1575 Pine Needles</v>
      </c>
      <c r="B7" s="309" t="s">
        <v>214</v>
      </c>
      <c r="C7" s="319">
        <f>'ISIRF RAW'!E66</f>
        <v>-25.808177691861903</v>
      </c>
      <c r="D7" s="320">
        <f>'ISIRF RAW'!F66</f>
        <v>52.254103751499997</v>
      </c>
      <c r="E7" s="193"/>
      <c r="F7" s="193"/>
      <c r="G7" s="193"/>
      <c r="H7" s="193"/>
      <c r="I7" s="244"/>
      <c r="J7" s="244"/>
      <c r="K7" s="244"/>
      <c r="L7" s="193"/>
      <c r="M7" s="193"/>
      <c r="N7" s="193"/>
      <c r="O7" s="193"/>
      <c r="P7" s="193"/>
      <c r="Q7" s="193"/>
    </row>
    <row r="8" spans="1:18" ht="12.75" thickBot="1">
      <c r="A8" s="242"/>
      <c r="B8" s="242"/>
      <c r="C8" s="242"/>
      <c r="D8" s="193"/>
      <c r="E8" s="193"/>
      <c r="F8" s="193"/>
      <c r="G8" s="193"/>
      <c r="H8" s="244"/>
      <c r="I8" s="244"/>
      <c r="J8" s="244"/>
      <c r="K8" s="193"/>
      <c r="L8" s="193"/>
      <c r="M8" s="193"/>
      <c r="N8" s="193"/>
      <c r="O8" s="193"/>
      <c r="P8" s="193"/>
      <c r="Q8" s="193"/>
    </row>
    <row r="9" spans="1:18">
      <c r="A9" s="246" t="s">
        <v>79</v>
      </c>
      <c r="B9" s="485"/>
      <c r="C9" s="486"/>
      <c r="D9" s="195"/>
      <c r="E9" s="195"/>
      <c r="F9" s="195"/>
      <c r="G9" s="195"/>
      <c r="H9" s="195"/>
      <c r="I9" s="247"/>
      <c r="J9" s="247"/>
      <c r="K9" s="247"/>
      <c r="L9" s="248"/>
      <c r="M9" s="193"/>
      <c r="N9" s="239"/>
      <c r="O9" s="332"/>
      <c r="P9" s="332"/>
      <c r="Q9" s="241"/>
      <c r="R9" s="241"/>
    </row>
    <row r="10" spans="1:18" ht="26.25">
      <c r="A10" s="197" t="s">
        <v>75</v>
      </c>
      <c r="B10" s="487" t="s">
        <v>76</v>
      </c>
      <c r="C10" s="488"/>
      <c r="D10" s="198" t="s">
        <v>0</v>
      </c>
      <c r="E10" s="198" t="s">
        <v>77</v>
      </c>
      <c r="F10" s="198" t="s">
        <v>132</v>
      </c>
      <c r="G10" s="198" t="s">
        <v>78</v>
      </c>
      <c r="H10" s="199" t="s">
        <v>226</v>
      </c>
      <c r="I10" s="249" t="s">
        <v>133</v>
      </c>
      <c r="J10" s="202" t="s">
        <v>67</v>
      </c>
      <c r="K10" s="202" t="s">
        <v>215</v>
      </c>
      <c r="L10" s="250" t="s">
        <v>97</v>
      </c>
      <c r="M10" s="193"/>
      <c r="N10" s="257"/>
      <c r="O10" s="332"/>
      <c r="P10" s="332"/>
      <c r="Q10" s="241"/>
      <c r="R10" s="241"/>
    </row>
    <row r="11" spans="1:18">
      <c r="A11" s="499">
        <f>'ISIRF RAW'!S8</f>
        <v>45740.703055555554</v>
      </c>
      <c r="B11" s="515" t="str">
        <f>'ISIRF RAW'!T8</f>
        <v>IC15N-241218-10KansasRoarCarbon-3_3.raw</v>
      </c>
      <c r="C11" s="516"/>
      <c r="D11" s="445" t="str">
        <f>'ISIRF RAW'!A8</f>
        <v>ISIRF Ulva</v>
      </c>
      <c r="E11" s="204" t="s">
        <v>137</v>
      </c>
      <c r="F11" s="204">
        <f>'ISIRF RAW'!B8</f>
        <v>9</v>
      </c>
      <c r="G11" s="205">
        <f>'ISIRF RAW'!C8</f>
        <v>1.2030000000000001</v>
      </c>
      <c r="H11" s="205">
        <f>'ISIRF RAW'!F8</f>
        <v>5.5944675000000004</v>
      </c>
      <c r="I11" s="510">
        <f>'ISIRF RAW'!G8</f>
        <v>56886720</v>
      </c>
      <c r="J11" s="205">
        <f>'ISIRF RAW'!M8</f>
        <v>32.893523237700002</v>
      </c>
      <c r="K11" s="205">
        <f>'ISIRF RAW'!O8</f>
        <v>-12.789825824126789</v>
      </c>
      <c r="L11" s="251"/>
      <c r="M11" s="193"/>
      <c r="N11" s="239"/>
      <c r="O11" s="333"/>
      <c r="P11" s="333"/>
      <c r="Q11" s="241"/>
      <c r="R11" s="241"/>
    </row>
    <row r="12" spans="1:18">
      <c r="A12" s="500">
        <f>'ISIRF RAW'!S21</f>
        <v>45740.805625000001</v>
      </c>
      <c r="B12" s="491" t="str">
        <f>'ISIRF RAW'!T21</f>
        <v>IC15N-241218-10KansasRoarCarbon-3_16.raw</v>
      </c>
      <c r="C12" s="492"/>
      <c r="D12" s="204" t="str">
        <f>'ISIRF RAW'!A21</f>
        <v>ISIRF Ulva</v>
      </c>
      <c r="E12" s="204" t="s">
        <v>137</v>
      </c>
      <c r="F12" s="204">
        <f>'ISIRF RAW'!B21</f>
        <v>22</v>
      </c>
      <c r="G12" s="205">
        <f>'ISIRF RAW'!C21</f>
        <v>1.163</v>
      </c>
      <c r="H12" s="205">
        <f>'ISIRF RAW'!F21</f>
        <v>5.2944794999999996</v>
      </c>
      <c r="I12" s="510">
        <f>'ISIRF RAW'!G21</f>
        <v>54060448</v>
      </c>
      <c r="J12" s="205">
        <f>'ISIRF RAW'!M21</f>
        <v>32.6716221426</v>
      </c>
      <c r="K12" s="205">
        <f>'ISIRF RAW'!O21</f>
        <v>-12.929752646974988</v>
      </c>
      <c r="L12" s="252"/>
      <c r="M12" s="193"/>
      <c r="N12" s="239"/>
      <c r="O12" s="333"/>
      <c r="P12" s="333"/>
      <c r="Q12" s="241"/>
      <c r="R12" s="241"/>
    </row>
    <row r="13" spans="1:18">
      <c r="A13" s="500">
        <f>'ISIRF RAW'!S33</f>
        <v>45740.899861111109</v>
      </c>
      <c r="B13" s="491" t="str">
        <f>'ISIRF RAW'!T33</f>
        <v>IC15N-241218-10KansasRoarCarbon-3_28.raw</v>
      </c>
      <c r="C13" s="492"/>
      <c r="D13" s="204" t="str">
        <f>'ISIRF RAW'!A33</f>
        <v>ISIRF Ulva</v>
      </c>
      <c r="E13" s="204" t="s">
        <v>137</v>
      </c>
      <c r="F13" s="204">
        <f>'ISIRF RAW'!B33</f>
        <v>34</v>
      </c>
      <c r="G13" s="205">
        <f>'ISIRF RAW'!C33</f>
        <v>1.135</v>
      </c>
      <c r="H13" s="205">
        <f>'ISIRF RAW'!F33</f>
        <v>5.3408835000000003</v>
      </c>
      <c r="I13" s="510">
        <f>'ISIRF RAW'!G33</f>
        <v>54826460</v>
      </c>
      <c r="J13" s="205">
        <f>'ISIRF RAW'!M33</f>
        <v>33.803226633000001</v>
      </c>
      <c r="K13" s="205">
        <f>'ISIRF RAW'!O33</f>
        <v>-13.069165440995199</v>
      </c>
      <c r="L13" s="252"/>
      <c r="M13" s="193"/>
      <c r="N13" s="239"/>
      <c r="O13" s="333"/>
      <c r="P13" s="333"/>
      <c r="Q13" s="241"/>
      <c r="R13" s="241"/>
    </row>
    <row r="14" spans="1:18">
      <c r="A14" s="500">
        <f>'ISIRF RAW'!S46</f>
        <v>45741.001944444448</v>
      </c>
      <c r="B14" s="491" t="str">
        <f>'ISIRF RAW'!T46</f>
        <v>IC15N-241218-10KansasRoarCarbon-3_41.raw</v>
      </c>
      <c r="C14" s="492"/>
      <c r="D14" s="204" t="str">
        <f>'ISIRF RAW'!A46</f>
        <v>ISIRF Ulva</v>
      </c>
      <c r="E14" s="204" t="s">
        <v>137</v>
      </c>
      <c r="F14" s="204">
        <f>'ISIRF RAW'!B46</f>
        <v>47</v>
      </c>
      <c r="G14" s="205">
        <f>'ISIRF RAW'!C46</f>
        <v>1.2430000000000001</v>
      </c>
      <c r="H14" s="205">
        <f>'ISIRF RAW'!F46</f>
        <v>5.9749664999999998</v>
      </c>
      <c r="I14" s="510">
        <f>'ISIRF RAW'!G46</f>
        <v>62196408</v>
      </c>
      <c r="J14" s="205">
        <f>'ISIRF RAW'!M46</f>
        <v>34.947143259599997</v>
      </c>
      <c r="K14" s="205">
        <f>'ISIRF RAW'!O46</f>
        <v>-12.980982204747907</v>
      </c>
      <c r="L14" s="252"/>
      <c r="M14" s="193"/>
      <c r="N14" s="239"/>
      <c r="O14" s="333"/>
      <c r="P14" s="333"/>
      <c r="Q14" s="241"/>
      <c r="R14" s="241"/>
    </row>
    <row r="15" spans="1:18">
      <c r="A15" s="501">
        <f>'ISIRF RAW'!S58</f>
        <v>45741.096203703702</v>
      </c>
      <c r="B15" s="493" t="str">
        <f>'ISIRF RAW'!T58</f>
        <v>IC15N-241218-10KansasRoarCarbon-3_53.raw</v>
      </c>
      <c r="C15" s="494"/>
      <c r="D15" s="511" t="str">
        <f>'ISIRF RAW'!A58</f>
        <v>ISIRF Ulva</v>
      </c>
      <c r="E15" s="511" t="s">
        <v>137</v>
      </c>
      <c r="F15" s="511">
        <f>'ISIRF RAW'!B58</f>
        <v>59</v>
      </c>
      <c r="G15" s="512">
        <f>'ISIRF RAW'!C58</f>
        <v>1.284</v>
      </c>
      <c r="H15" s="512">
        <f>'ISIRF RAW'!F58</f>
        <v>6.0247025000000001</v>
      </c>
      <c r="I15" s="513">
        <f>'ISIRF RAW'!G58</f>
        <v>61022608</v>
      </c>
      <c r="J15" s="512">
        <f>'ISIRF RAW'!M58</f>
        <v>33.231979098599993</v>
      </c>
      <c r="K15" s="512">
        <f>'ISIRF RAW'!O58</f>
        <v>-12.675692732088292</v>
      </c>
      <c r="L15" s="514"/>
      <c r="M15" s="193"/>
      <c r="N15" s="336"/>
      <c r="O15" s="333"/>
      <c r="P15" s="333"/>
      <c r="Q15" s="241"/>
      <c r="R15" s="241"/>
    </row>
    <row r="16" spans="1:18">
      <c r="A16" s="502">
        <f>'ISIRF RAW'!S9</f>
        <v>45740.710995370369</v>
      </c>
      <c r="B16" s="495" t="str">
        <f>'ISIRF RAW'!T9</f>
        <v>IC15N-241218-10KansasRoarCarbon-3_4.raw</v>
      </c>
      <c r="C16" s="496"/>
      <c r="D16" s="204" t="str">
        <f>'ISIRF RAW'!A9</f>
        <v>ISIRF Chitin</v>
      </c>
      <c r="E16" s="204" t="s">
        <v>129</v>
      </c>
      <c r="F16" s="204">
        <f>'ISIRF RAW'!B9</f>
        <v>10</v>
      </c>
      <c r="G16" s="205">
        <f>'ISIRF RAW'!C9</f>
        <v>0.96299999999999997</v>
      </c>
      <c r="H16" s="205">
        <f>'ISIRF RAW'!F9</f>
        <v>6.1318929999999998</v>
      </c>
      <c r="I16" s="510">
        <f>'ISIRF RAW'!G9</f>
        <v>62863428</v>
      </c>
      <c r="J16" s="205">
        <f>'ISIRF RAW'!M9</f>
        <v>45.407267656199998</v>
      </c>
      <c r="K16" s="205">
        <f>'ISIRF RAW'!O9</f>
        <v>-21.327304438017549</v>
      </c>
      <c r="L16" s="251"/>
      <c r="M16" s="193"/>
      <c r="N16" s="336"/>
      <c r="O16" s="333"/>
      <c r="P16" s="333"/>
      <c r="Q16" s="241"/>
      <c r="R16" s="241"/>
    </row>
    <row r="17" spans="1:18">
      <c r="A17" s="500">
        <f>'ISIRF RAW'!S34</f>
        <v>45740.907731481479</v>
      </c>
      <c r="B17" s="491" t="str">
        <f>'ISIRF RAW'!T34</f>
        <v>IC15N-241218-10KansasRoarCarbon-3_29.raw</v>
      </c>
      <c r="C17" s="492"/>
      <c r="D17" s="206" t="str">
        <f>'ISIRF RAW'!A34</f>
        <v>ISIRF Chitin</v>
      </c>
      <c r="E17" s="206" t="s">
        <v>129</v>
      </c>
      <c r="F17" s="204">
        <f>'ISIRF RAW'!B34</f>
        <v>35</v>
      </c>
      <c r="G17" s="205">
        <f>'ISIRF RAW'!C34</f>
        <v>0.97899999999999998</v>
      </c>
      <c r="H17" s="205">
        <f>'ISIRF RAW'!F34</f>
        <v>6.4089935000000002</v>
      </c>
      <c r="I17" s="510">
        <f>'ISIRF RAW'!G34</f>
        <v>65508340</v>
      </c>
      <c r="J17" s="205">
        <f>'ISIRF RAW'!M34</f>
        <v>46.722904572899999</v>
      </c>
      <c r="K17" s="205">
        <f>'ISIRF RAW'!O34</f>
        <v>-21.077762964841614</v>
      </c>
      <c r="L17" s="252"/>
      <c r="M17" s="193"/>
      <c r="N17" s="334"/>
      <c r="O17" s="334"/>
      <c r="P17" s="334"/>
      <c r="Q17" s="241"/>
      <c r="R17" s="241"/>
    </row>
    <row r="18" spans="1:18">
      <c r="A18" s="501">
        <f>'ISIRF RAW'!S59</f>
        <v>45741.104039351849</v>
      </c>
      <c r="B18" s="493" t="str">
        <f>'ISIRF RAW'!T59</f>
        <v>IC15N-241218-10KansasRoarCarbon-3_54.raw</v>
      </c>
      <c r="C18" s="494"/>
      <c r="D18" s="511" t="str">
        <f>'ISIRF RAW'!A59</f>
        <v>ISIRF Chitin</v>
      </c>
      <c r="E18" s="511" t="s">
        <v>129</v>
      </c>
      <c r="F18" s="517">
        <f>'ISIRF RAW'!B59</f>
        <v>60</v>
      </c>
      <c r="G18" s="518">
        <f>'ISIRF RAW'!C59</f>
        <v>1.079</v>
      </c>
      <c r="H18" s="518">
        <f>'ISIRF RAW'!F59</f>
        <v>6.9680689999999998</v>
      </c>
      <c r="I18" s="519">
        <f>'ISIRF RAW'!G59</f>
        <v>71153696</v>
      </c>
      <c r="J18" s="518">
        <f>'ISIRF RAW'!M59</f>
        <v>46.017995390700001</v>
      </c>
      <c r="K18" s="518">
        <f>'ISIRF RAW'!O59</f>
        <v>-21.228962032585457</v>
      </c>
      <c r="L18" s="514"/>
      <c r="M18" s="193"/>
      <c r="N18" s="334"/>
      <c r="O18" s="334"/>
      <c r="P18" s="334"/>
      <c r="Q18" s="241"/>
      <c r="R18" s="241"/>
    </row>
    <row r="19" spans="1:18">
      <c r="A19" s="502">
        <f>'ISIRF RAW'!S10</f>
        <v>45740.718888888892</v>
      </c>
      <c r="B19" s="495" t="str">
        <f>'ISIRF RAW'!T10</f>
        <v>IC15N-241218-10KansasRoarCarbon-3_5.raw</v>
      </c>
      <c r="C19" s="496"/>
      <c r="D19" s="204" t="str">
        <f>'ISIRF RAW'!A10</f>
        <v>ISIRF Bamboo</v>
      </c>
      <c r="E19" s="204" t="s">
        <v>130</v>
      </c>
      <c r="F19" s="204">
        <f>'ISIRF RAW'!B10</f>
        <v>11</v>
      </c>
      <c r="G19" s="205">
        <f>'ISIRF RAW'!C10</f>
        <v>1.446</v>
      </c>
      <c r="H19" s="205">
        <f>'ISIRF RAW'!F10</f>
        <v>8.7918950000000002</v>
      </c>
      <c r="I19" s="510">
        <f>'ISIRF RAW'!G10</f>
        <v>92055536</v>
      </c>
      <c r="J19" s="205">
        <f>'ISIRF RAW'!M10</f>
        <v>44.225858600999999</v>
      </c>
      <c r="K19" s="205">
        <f>'ISIRF RAW'!O10</f>
        <v>-30.40453440423666</v>
      </c>
      <c r="L19" s="251"/>
      <c r="M19" s="193"/>
      <c r="N19" s="332"/>
      <c r="O19" s="334"/>
      <c r="P19" s="334"/>
      <c r="Q19" s="241"/>
      <c r="R19" s="241"/>
    </row>
    <row r="20" spans="1:18">
      <c r="A20" s="500">
        <f>'ISIRF RAW'!S35</f>
        <v>45740.915555555555</v>
      </c>
      <c r="B20" s="491" t="str">
        <f>'ISIRF RAW'!T35</f>
        <v>IC15N-241218-10KansasRoarCarbon-3_30.raw</v>
      </c>
      <c r="C20" s="492"/>
      <c r="D20" s="206" t="str">
        <f>'ISIRF RAW'!A35</f>
        <v>ISIRF Bamboo</v>
      </c>
      <c r="E20" s="206" t="s">
        <v>130</v>
      </c>
      <c r="F20" s="204">
        <f>'ISIRF RAW'!B35</f>
        <v>36</v>
      </c>
      <c r="G20" s="205">
        <f>'ISIRF RAW'!C35</f>
        <v>1.621</v>
      </c>
      <c r="H20" s="205">
        <f>'ISIRF RAW'!F35</f>
        <v>10.065844999999999</v>
      </c>
      <c r="I20" s="510">
        <f>'ISIRF RAW'!G35</f>
        <v>105692624</v>
      </c>
      <c r="J20" s="205">
        <f>'ISIRF RAW'!M35</f>
        <v>45.379005159599998</v>
      </c>
      <c r="K20" s="205">
        <f>'ISIRF RAW'!O35</f>
        <v>-30.173958200378859</v>
      </c>
      <c r="L20" s="252"/>
      <c r="M20" s="193"/>
      <c r="N20" s="241"/>
      <c r="O20" s="241"/>
      <c r="P20" s="241"/>
      <c r="Q20" s="241"/>
      <c r="R20" s="241"/>
    </row>
    <row r="21" spans="1:18">
      <c r="A21" s="501">
        <f>'ISIRF RAW'!S60</f>
        <v>45741.111886574072</v>
      </c>
      <c r="B21" s="493" t="str">
        <f>'ISIRF RAW'!T60</f>
        <v>IC15N-241218-10KansasRoarCarbon-3_55.raw</v>
      </c>
      <c r="C21" s="494"/>
      <c r="D21" s="511" t="str">
        <f>'ISIRF RAW'!A60</f>
        <v>ISIRF Bamboo</v>
      </c>
      <c r="E21" s="511" t="s">
        <v>130</v>
      </c>
      <c r="F21" s="517">
        <f>'ISIRF RAW'!B60</f>
        <v>61</v>
      </c>
      <c r="G21" s="518">
        <f>'ISIRF RAW'!C60</f>
        <v>1.581</v>
      </c>
      <c r="H21" s="518">
        <f>'ISIRF RAW'!F60</f>
        <v>9.4967919999999992</v>
      </c>
      <c r="I21" s="519">
        <f>'ISIRF RAW'!G60</f>
        <v>98699496</v>
      </c>
      <c r="J21" s="518">
        <f>'ISIRF RAW'!M60</f>
        <v>43.490597213699999</v>
      </c>
      <c r="K21" s="518">
        <f>'ISIRF RAW'!O60</f>
        <v>-30.272724889899553</v>
      </c>
      <c r="L21" s="514"/>
      <c r="M21" s="193"/>
      <c r="N21" s="241"/>
      <c r="O21" s="241"/>
      <c r="P21" s="241"/>
      <c r="Q21" s="241"/>
      <c r="R21" s="241"/>
    </row>
    <row r="22" spans="1:18">
      <c r="A22" s="502">
        <f>'ISIRF RAW'!S11</f>
        <v>45740.726782407408</v>
      </c>
      <c r="B22" s="495" t="str">
        <f>'ISIRF RAW'!T11</f>
        <v>IC15N-241218-10KansasRoarCarbon-3_6.raw</v>
      </c>
      <c r="C22" s="496"/>
      <c r="D22" s="204" t="str">
        <f>'ISIRF RAW'!A11</f>
        <v>NBS 1575 Pine Needles</v>
      </c>
      <c r="E22" s="204" t="s">
        <v>130</v>
      </c>
      <c r="F22" s="204">
        <f>'ISIRF RAW'!B11</f>
        <v>12</v>
      </c>
      <c r="G22" s="205">
        <f>'ISIRF RAW'!C11</f>
        <v>6.7919999999999998</v>
      </c>
      <c r="H22" s="205">
        <f>'ISIRF RAW'!F11</f>
        <v>34.312516000000002</v>
      </c>
      <c r="I22" s="510">
        <f>'ISIRF RAW'!G11</f>
        <v>500603232</v>
      </c>
      <c r="J22" s="205">
        <f>'ISIRF RAW'!M11</f>
        <v>51.5452910538</v>
      </c>
      <c r="K22" s="205">
        <f>'ISIRF RAW'!O11</f>
        <v>-25.817905723921502</v>
      </c>
      <c r="L22" s="251"/>
      <c r="M22" s="193"/>
      <c r="N22" s="241"/>
      <c r="O22" s="241"/>
      <c r="P22" s="241"/>
      <c r="Q22" s="241"/>
      <c r="R22" s="241"/>
    </row>
    <row r="23" spans="1:18">
      <c r="A23" s="500">
        <f>'ISIRF RAW'!S36</f>
        <v>45740.923414351855</v>
      </c>
      <c r="B23" s="491" t="str">
        <f>'ISIRF RAW'!T36</f>
        <v>IC15N-241218-10KansasRoarCarbon-3_31.raw</v>
      </c>
      <c r="C23" s="492"/>
      <c r="D23" s="206" t="str">
        <f>'ISIRF RAW'!A36</f>
        <v>NBS 1575 Pine Needles</v>
      </c>
      <c r="E23" s="206" t="s">
        <v>130</v>
      </c>
      <c r="F23" s="204">
        <f>'ISIRF RAW'!B36</f>
        <v>37</v>
      </c>
      <c r="G23" s="205">
        <f>'ISIRF RAW'!C36</f>
        <v>6.5739999999999998</v>
      </c>
      <c r="H23" s="205">
        <f>'ISIRF RAW'!F36</f>
        <v>34.086204000000002</v>
      </c>
      <c r="I23" s="510">
        <f>'ISIRF RAW'!G36</f>
        <v>485313664</v>
      </c>
      <c r="J23" s="205">
        <f>'ISIRF RAW'!M36</f>
        <v>51.494597783700002</v>
      </c>
      <c r="K23" s="205">
        <f>'ISIRF RAW'!O36</f>
        <v>-25.888578046905543</v>
      </c>
      <c r="L23" s="252"/>
      <c r="M23" s="193"/>
      <c r="N23" s="241"/>
      <c r="O23" s="241"/>
      <c r="P23" s="241"/>
      <c r="Q23" s="241"/>
      <c r="R23" s="241"/>
    </row>
    <row r="24" spans="1:18" ht="12.75" thickBot="1">
      <c r="A24" s="503">
        <f>'ISIRF RAW'!S61</f>
        <v>45741.119791666664</v>
      </c>
      <c r="B24" s="497" t="str">
        <f>'ISIRF RAW'!T61</f>
        <v>IC15N-241218-10KansasRoarCarbon-3_56.raw</v>
      </c>
      <c r="C24" s="498"/>
      <c r="D24" s="536" t="str">
        <f>'ISIRF RAW'!A61</f>
        <v>NBS 1575 Pine Needles</v>
      </c>
      <c r="E24" s="536" t="s">
        <v>130</v>
      </c>
      <c r="F24" s="537">
        <f>'ISIRF RAW'!B61</f>
        <v>62</v>
      </c>
      <c r="G24" s="538">
        <f>'ISIRF RAW'!C61</f>
        <v>6.8730000000000002</v>
      </c>
      <c r="H24" s="538">
        <f>'ISIRF RAW'!F61</f>
        <v>34.458419999999997</v>
      </c>
      <c r="I24" s="539">
        <f>'ISIRF RAW'!G61</f>
        <v>507203456</v>
      </c>
      <c r="J24" s="538">
        <f>'ISIRF RAW'!M61</f>
        <v>51.620329659599996</v>
      </c>
      <c r="K24" s="538">
        <f>'ISIRF RAW'!O61</f>
        <v>-25.966104607208923</v>
      </c>
      <c r="L24" s="540"/>
      <c r="M24" s="193"/>
      <c r="N24" s="241"/>
      <c r="O24" s="241"/>
      <c r="P24" s="241"/>
      <c r="Q24" s="241"/>
      <c r="R24" s="241"/>
    </row>
    <row r="25" spans="1:18" ht="12.75" thickBot="1">
      <c r="A25" s="193"/>
      <c r="B25" s="193"/>
      <c r="C25" s="193"/>
      <c r="D25" s="193"/>
      <c r="E25" s="193"/>
      <c r="F25" s="193"/>
      <c r="G25" s="193"/>
      <c r="H25" s="244"/>
      <c r="I25" s="244"/>
      <c r="J25" s="244"/>
      <c r="K25" s="193"/>
      <c r="L25" s="193"/>
      <c r="M25" s="193"/>
      <c r="N25" s="193"/>
      <c r="O25" s="193"/>
      <c r="P25" s="193"/>
      <c r="Q25" s="193"/>
    </row>
    <row r="26" spans="1:18">
      <c r="A26" s="211" t="s">
        <v>69</v>
      </c>
      <c r="B26" s="253" t="s">
        <v>4</v>
      </c>
      <c r="C26" s="254"/>
      <c r="D26" s="255"/>
      <c r="E26" s="253" t="s">
        <v>6</v>
      </c>
      <c r="F26" s="254"/>
      <c r="G26" s="255"/>
      <c r="H26" s="256" t="s">
        <v>2</v>
      </c>
      <c r="I26" s="240"/>
      <c r="J26" s="257"/>
      <c r="K26" s="257"/>
      <c r="L26" s="193"/>
      <c r="M26" s="193"/>
      <c r="N26" s="193"/>
      <c r="O26" s="193"/>
      <c r="P26" s="193"/>
      <c r="Q26" s="193"/>
    </row>
    <row r="27" spans="1:18" ht="12.75" thickBot="1">
      <c r="A27" s="218"/>
      <c r="B27" s="258" t="s">
        <v>131</v>
      </c>
      <c r="C27" s="259" t="s">
        <v>134</v>
      </c>
      <c r="D27" s="260" t="s">
        <v>5</v>
      </c>
      <c r="E27" s="258" t="s">
        <v>1</v>
      </c>
      <c r="F27" s="259" t="s">
        <v>134</v>
      </c>
      <c r="G27" s="260" t="s">
        <v>232</v>
      </c>
      <c r="H27" s="261" t="s">
        <v>3</v>
      </c>
      <c r="I27" s="240"/>
      <c r="J27" s="257"/>
      <c r="K27" s="257"/>
      <c r="L27" s="193"/>
      <c r="M27" s="193"/>
      <c r="N27" s="193"/>
      <c r="O27" s="193"/>
      <c r="P27" s="193"/>
      <c r="Q27" s="193"/>
    </row>
    <row r="28" spans="1:18" ht="12.75" thickTop="1">
      <c r="A28" s="223" t="s">
        <v>25</v>
      </c>
      <c r="B28" s="262">
        <f>AVERAGE('ISIRF RAW'!O12,'ISIRF RAW'!O56)</f>
        <v>-17.516796774932899</v>
      </c>
      <c r="C28" s="263">
        <f>VAR('ISIRF RAW'!O12,'ISIRF RAW'!O56)</f>
        <v>1.6548726563949713E-2</v>
      </c>
      <c r="D28" s="423">
        <f>STDEV('ISIRF RAW'!O12,'ISIRF RAW'!O56)</f>
        <v>0.12864185385771504</v>
      </c>
      <c r="E28" s="264">
        <f>AVERAGE('ISIRF RAW'!M12,'ISIRF RAW'!M56)</f>
        <v>1.4473969760999998</v>
      </c>
      <c r="F28" s="264">
        <f>VAR('ISIRF RAW'!M12,'ISIRF RAW'!M56)</f>
        <v>8.521865692779091E-3</v>
      </c>
      <c r="G28" s="423">
        <f>(STDEV('ISIRF RAW'!M12,'ISIRF RAW'!M56))/E28</f>
        <v>6.3779290202914424E-2</v>
      </c>
      <c r="H28" s="227">
        <f>COUNT('ISIRF RAW'!M12,'ISIRF RAW'!M56)</f>
        <v>2</v>
      </c>
      <c r="I28" s="242"/>
      <c r="J28" s="241"/>
      <c r="K28" s="241"/>
      <c r="L28" s="193"/>
      <c r="M28" s="193"/>
      <c r="N28" s="193"/>
      <c r="O28" s="193"/>
      <c r="P28" s="193"/>
      <c r="Q28" s="193"/>
    </row>
    <row r="29" spans="1:18" ht="12.75" thickBot="1">
      <c r="A29" s="223" t="s">
        <v>26</v>
      </c>
      <c r="B29" s="265">
        <f>AVERAGE('ISIRF RAW'!O26:O27)</f>
        <v>-16.917573414540861</v>
      </c>
      <c r="C29" s="263">
        <f>VAR('ISIRF RAW'!O26:O27)</f>
        <v>6.9901302014033061E-3</v>
      </c>
      <c r="D29" s="423">
        <f>STDEV('ISIRF RAW'!O26:O27)</f>
        <v>8.3606998519282494E-2</v>
      </c>
      <c r="E29" s="264">
        <f>AVERAGE('ISIRF RAW'!M26:M27)</f>
        <v>2.6758165955999997</v>
      </c>
      <c r="F29" s="264">
        <f>VAR('ISIRF RAW'!M26:M27)</f>
        <v>4.0167671779187876E-2</v>
      </c>
      <c r="G29" s="423">
        <f>(STDEV('ISIRF RAW'!M26:M27))/E29</f>
        <v>7.4900029178862057E-2</v>
      </c>
      <c r="H29" s="229">
        <f>COUNT('ISIRF RAW'!M26:M27)</f>
        <v>2</v>
      </c>
      <c r="I29" s="242"/>
      <c r="J29" s="241"/>
      <c r="K29" s="241"/>
      <c r="L29" s="193"/>
      <c r="M29" s="193"/>
      <c r="N29" s="193"/>
      <c r="O29" s="193"/>
      <c r="P29" s="193"/>
      <c r="Q29" s="193"/>
    </row>
    <row r="30" spans="1:18" ht="12.75" thickTop="1">
      <c r="A30" s="230" t="str">
        <f>B4</f>
        <v>QC.STD</v>
      </c>
      <c r="B30" s="262">
        <f>AVERAGE(K11:K15)</f>
        <v>-12.889083769786634</v>
      </c>
      <c r="C30" s="424">
        <f>VAR(K11:K15)</f>
        <v>2.4479140742987647E-2</v>
      </c>
      <c r="D30" s="267">
        <f>STDEV(K11:K15)</f>
        <v>0.15645811178391375</v>
      </c>
      <c r="E30" s="266">
        <f>AVERAGE(J11:J15)</f>
        <v>33.509498874300007</v>
      </c>
      <c r="F30" s="262">
        <f>VAR(J11:J15)</f>
        <v>0.82789450078229021</v>
      </c>
      <c r="G30" s="267">
        <f>(STDEV(J11:J15))/E30</f>
        <v>2.7153109175079748E-2</v>
      </c>
      <c r="H30" s="233">
        <f>COUNT(J11:J15)</f>
        <v>5</v>
      </c>
      <c r="I30" s="193"/>
      <c r="J30" s="193"/>
      <c r="K30" s="193"/>
      <c r="L30" s="193"/>
      <c r="M30" s="193"/>
      <c r="N30" s="193"/>
      <c r="O30" s="193"/>
      <c r="P30" s="193"/>
      <c r="Q30" s="193"/>
    </row>
    <row r="31" spans="1:18">
      <c r="A31" s="268" t="str">
        <f t="shared" ref="A31:A33" si="0">B5</f>
        <v>Cal-H.STD</v>
      </c>
      <c r="B31" s="265">
        <f>AVERAGE(K16:K18)</f>
        <v>-21.211343145148206</v>
      </c>
      <c r="C31" s="425">
        <f>VAR(K16:K18)</f>
        <v>1.5800555604598802E-2</v>
      </c>
      <c r="D31" s="270">
        <f>STDEV(K16:K18)</f>
        <v>0.12570026095676493</v>
      </c>
      <c r="E31" s="269">
        <f>AVERAGE(J16:J18)</f>
        <v>46.049389206600004</v>
      </c>
      <c r="F31" s="265">
        <f>VAR(J16:J18)</f>
        <v>0.43346430290354343</v>
      </c>
      <c r="G31" s="270">
        <f>(STDEV(J16:J18))/E31</f>
        <v>1.4297259333123872E-2</v>
      </c>
      <c r="H31" s="229">
        <f>COUNT(J16:J18)</f>
        <v>3</v>
      </c>
      <c r="I31" s="193"/>
      <c r="J31" s="193"/>
      <c r="K31" s="193"/>
      <c r="L31" s="193"/>
      <c r="M31" s="193"/>
      <c r="N31" s="193"/>
      <c r="O31" s="193"/>
      <c r="P31" s="193"/>
      <c r="Q31" s="193"/>
    </row>
    <row r="32" spans="1:18" ht="12.75" thickBot="1">
      <c r="A32" s="520" t="str">
        <f t="shared" si="0"/>
        <v>Cal-L.STD</v>
      </c>
      <c r="B32" s="521">
        <f>AVERAGE(K19:K21)</f>
        <v>-30.283739164838355</v>
      </c>
      <c r="C32" s="522">
        <f>VAR(K19:K21)</f>
        <v>1.3382332135689226E-2</v>
      </c>
      <c r="D32" s="523">
        <f>STDEV(K19:K21)</f>
        <v>0.11568203030587433</v>
      </c>
      <c r="E32" s="521">
        <f>AVERAGE(J19:J21)</f>
        <v>44.365153658100006</v>
      </c>
      <c r="F32" s="521">
        <f>VAR(J19:J21)</f>
        <v>0.90607347723393272</v>
      </c>
      <c r="G32" s="523">
        <f>(STDEV(J19:J21))/E32</f>
        <v>2.1455553310025015E-2</v>
      </c>
      <c r="H32" s="524">
        <f>COUNT(J19:J21)</f>
        <v>3</v>
      </c>
      <c r="I32" s="193"/>
      <c r="J32" s="193"/>
      <c r="K32" s="193"/>
      <c r="L32" s="193"/>
      <c r="M32" s="193"/>
      <c r="N32" s="272"/>
      <c r="O32" s="193"/>
      <c r="P32" s="193"/>
      <c r="Q32" s="193"/>
    </row>
    <row r="33" spans="1:17" ht="13.5" thickTop="1" thickBot="1">
      <c r="A33" s="525" t="str">
        <f t="shared" si="0"/>
        <v>Check QC</v>
      </c>
      <c r="B33" s="526">
        <f>AVERAGE(K22:K24)</f>
        <v>-25.890862792678657</v>
      </c>
      <c r="C33" s="527">
        <f>VAR(K22:K24)</f>
        <v>5.4946422993454608E-3</v>
      </c>
      <c r="D33" s="528">
        <f>STDEV(K22:K24)</f>
        <v>7.4125854459462792E-2</v>
      </c>
      <c r="E33" s="526">
        <f>AVERAGE(J22:J24)</f>
        <v>51.553406165700004</v>
      </c>
      <c r="F33" s="527">
        <f>VAR(J22:J24)</f>
        <v>4.0015174351950272E-3</v>
      </c>
      <c r="G33" s="529">
        <f>(STDEV(J22:J24))/E33</f>
        <v>1.2270294661244415E-3</v>
      </c>
      <c r="H33" s="530">
        <f>COUNT(J22:J24)</f>
        <v>3</v>
      </c>
      <c r="I33" s="271"/>
      <c r="J33" s="271"/>
      <c r="K33" s="272"/>
      <c r="L33" s="272"/>
      <c r="M33" s="272"/>
      <c r="N33" s="193"/>
      <c r="O33" s="193"/>
      <c r="P33" s="193"/>
      <c r="Q33" s="193"/>
    </row>
    <row r="34" spans="1:17">
      <c r="A34" s="193"/>
      <c r="B34" s="193"/>
      <c r="C34" s="193"/>
      <c r="D34" s="193"/>
      <c r="E34" s="193"/>
      <c r="F34" s="193"/>
      <c r="G34" s="193"/>
      <c r="H34" s="244"/>
      <c r="I34" s="244"/>
      <c r="J34" s="244"/>
      <c r="K34" s="193"/>
      <c r="L34" s="193"/>
      <c r="M34" s="193"/>
      <c r="N34" s="193"/>
      <c r="O34" s="193"/>
      <c r="P34" s="193"/>
      <c r="Q34" s="193"/>
    </row>
    <row r="35" spans="1:17">
      <c r="A35" s="193"/>
      <c r="B35" s="273" t="s">
        <v>96</v>
      </c>
      <c r="C35" s="193"/>
      <c r="D35" s="193"/>
      <c r="E35" s="193"/>
      <c r="F35" s="193"/>
      <c r="G35" s="193"/>
      <c r="H35" s="244"/>
      <c r="I35" s="244"/>
      <c r="J35" s="244"/>
      <c r="K35" s="193"/>
      <c r="L35" s="193"/>
      <c r="M35" s="193"/>
      <c r="N35" s="193"/>
      <c r="O35" s="193"/>
      <c r="P35" s="193"/>
      <c r="Q35" s="193"/>
    </row>
    <row r="36" spans="1:17">
      <c r="A36" s="193"/>
      <c r="B36" s="193"/>
      <c r="C36" s="193"/>
      <c r="D36" s="193"/>
      <c r="E36" s="193"/>
      <c r="F36" s="193"/>
      <c r="G36" s="193"/>
      <c r="H36" s="244"/>
      <c r="I36" s="244"/>
      <c r="J36" s="244"/>
      <c r="K36" s="193"/>
      <c r="L36" s="193"/>
      <c r="M36" s="193"/>
      <c r="N36" s="193"/>
      <c r="O36" s="193"/>
      <c r="P36" s="193"/>
      <c r="Q36" s="193"/>
    </row>
    <row r="37" spans="1:17">
      <c r="A37" s="193"/>
      <c r="B37" s="193"/>
      <c r="C37" s="193"/>
      <c r="D37" s="193"/>
      <c r="E37" s="193"/>
      <c r="F37" s="193"/>
      <c r="G37" s="193"/>
      <c r="H37" s="244"/>
      <c r="I37" s="244"/>
      <c r="J37" s="244"/>
      <c r="K37" s="193"/>
      <c r="L37" s="193"/>
      <c r="M37" s="193"/>
      <c r="N37" s="193"/>
      <c r="O37" s="193"/>
      <c r="P37" s="193"/>
      <c r="Q37" s="193"/>
    </row>
    <row r="38" spans="1:17">
      <c r="A38" s="193"/>
      <c r="B38" s="193"/>
      <c r="C38" s="193"/>
      <c r="D38" s="193"/>
      <c r="E38" s="193"/>
      <c r="F38" s="193"/>
      <c r="G38" s="193"/>
      <c r="H38" s="244"/>
      <c r="I38" s="244"/>
      <c r="J38" s="244"/>
      <c r="K38" s="193"/>
      <c r="L38" s="193"/>
      <c r="M38" s="193"/>
      <c r="N38" s="193"/>
      <c r="O38" s="193"/>
      <c r="P38" s="193"/>
      <c r="Q38" s="193"/>
    </row>
    <row r="39" spans="1:17">
      <c r="A39" s="193"/>
      <c r="B39" s="193"/>
      <c r="C39" s="193"/>
      <c r="D39" s="193"/>
      <c r="E39" s="193"/>
      <c r="F39" s="193"/>
      <c r="G39" s="193"/>
      <c r="H39" s="244"/>
      <c r="I39" s="244"/>
      <c r="J39" s="244"/>
      <c r="K39" s="193"/>
      <c r="L39" s="193"/>
      <c r="M39" s="193"/>
      <c r="N39" s="193"/>
      <c r="O39" s="193"/>
      <c r="P39" s="193"/>
      <c r="Q39" s="193"/>
    </row>
    <row r="40" spans="1:17">
      <c r="A40" s="193"/>
      <c r="B40" s="193"/>
      <c r="C40" s="193"/>
      <c r="D40" s="193"/>
      <c r="E40" s="193"/>
      <c r="F40" s="193"/>
      <c r="G40" s="193"/>
      <c r="H40" s="244"/>
      <c r="I40" s="244"/>
      <c r="J40" s="244"/>
      <c r="K40" s="193"/>
      <c r="L40" s="193"/>
      <c r="M40" s="193"/>
      <c r="N40" s="193"/>
      <c r="O40" s="193"/>
      <c r="P40" s="193"/>
      <c r="Q40" s="193"/>
    </row>
    <row r="41" spans="1:17">
      <c r="A41" s="193"/>
      <c r="B41" s="193"/>
      <c r="C41" s="193"/>
      <c r="D41" s="193"/>
      <c r="E41" s="193"/>
      <c r="F41" s="193"/>
      <c r="G41" s="193"/>
      <c r="H41" s="244"/>
      <c r="I41" s="244"/>
      <c r="J41" s="244"/>
      <c r="K41" s="193"/>
      <c r="L41" s="193"/>
      <c r="M41" s="193"/>
      <c r="N41" s="193"/>
      <c r="O41" s="193"/>
      <c r="P41" s="193"/>
      <c r="Q41" s="193"/>
    </row>
    <row r="42" spans="1:17">
      <c r="A42" s="193"/>
      <c r="B42" s="193"/>
      <c r="C42" s="193"/>
      <c r="D42" s="193"/>
      <c r="E42" s="193"/>
      <c r="F42" s="193"/>
      <c r="G42" s="193"/>
      <c r="H42" s="244"/>
      <c r="I42" s="244"/>
      <c r="J42" s="244"/>
      <c r="K42" s="193"/>
      <c r="L42" s="193"/>
      <c r="M42" s="193"/>
      <c r="N42" s="193"/>
      <c r="O42" s="193"/>
      <c r="P42" s="193"/>
      <c r="Q42" s="193"/>
    </row>
    <row r="43" spans="1:17">
      <c r="A43" s="193"/>
      <c r="B43" s="193"/>
      <c r="C43" s="193"/>
      <c r="D43" s="193"/>
      <c r="E43" s="193"/>
      <c r="F43" s="193"/>
      <c r="G43" s="193"/>
      <c r="H43" s="244"/>
      <c r="I43" s="244"/>
      <c r="J43" s="244"/>
      <c r="K43" s="193"/>
      <c r="L43" s="193"/>
      <c r="M43" s="193"/>
      <c r="N43" s="193"/>
      <c r="O43" s="193"/>
      <c r="P43" s="193"/>
      <c r="Q43" s="193"/>
    </row>
    <row r="44" spans="1:17">
      <c r="A44" s="193"/>
      <c r="B44" s="193"/>
      <c r="C44" s="193"/>
      <c r="D44" s="193"/>
      <c r="E44" s="193"/>
      <c r="F44" s="193"/>
      <c r="G44" s="193"/>
      <c r="H44" s="244"/>
      <c r="I44" s="244"/>
      <c r="J44" s="244"/>
      <c r="K44" s="193"/>
      <c r="L44" s="193"/>
      <c r="M44" s="193"/>
      <c r="N44" s="193"/>
      <c r="O44" s="193"/>
      <c r="P44" s="193"/>
      <c r="Q44" s="193"/>
    </row>
    <row r="45" spans="1:17">
      <c r="A45" s="193"/>
      <c r="B45" s="193"/>
      <c r="C45" s="193"/>
      <c r="D45" s="193"/>
      <c r="E45" s="193"/>
      <c r="F45" s="193"/>
      <c r="G45" s="193"/>
      <c r="H45" s="244"/>
      <c r="I45" s="244"/>
      <c r="J45" s="244"/>
      <c r="K45" s="193"/>
      <c r="L45" s="193"/>
      <c r="M45" s="193"/>
      <c r="N45" s="193"/>
      <c r="O45" s="193"/>
      <c r="P45" s="193"/>
      <c r="Q45" s="193"/>
    </row>
    <row r="46" spans="1:17">
      <c r="A46" s="193"/>
      <c r="B46" s="193"/>
      <c r="C46" s="193"/>
      <c r="D46" s="193"/>
      <c r="E46" s="193"/>
      <c r="F46" s="193"/>
      <c r="G46" s="193"/>
      <c r="H46" s="244"/>
      <c r="I46" s="244"/>
      <c r="J46" s="244"/>
      <c r="K46" s="193"/>
      <c r="L46" s="193"/>
      <c r="M46" s="193"/>
      <c r="N46" s="193"/>
      <c r="O46" s="193"/>
      <c r="P46" s="193"/>
      <c r="Q46" s="193"/>
    </row>
    <row r="47" spans="1:17">
      <c r="A47" s="193"/>
      <c r="B47" s="193"/>
      <c r="C47" s="193"/>
      <c r="D47" s="193"/>
      <c r="E47" s="193"/>
      <c r="F47" s="193"/>
      <c r="G47" s="193"/>
      <c r="H47" s="244"/>
      <c r="I47" s="244"/>
      <c r="J47" s="244"/>
      <c r="K47" s="193"/>
      <c r="L47" s="193"/>
      <c r="M47" s="193"/>
      <c r="N47" s="193"/>
      <c r="O47" s="193"/>
      <c r="P47" s="193"/>
      <c r="Q47" s="193"/>
    </row>
    <row r="48" spans="1:17">
      <c r="A48" s="193"/>
      <c r="B48" s="193"/>
      <c r="C48" s="193"/>
      <c r="D48" s="193"/>
      <c r="E48" s="193"/>
      <c r="F48" s="193"/>
      <c r="G48" s="193"/>
      <c r="H48" s="244"/>
      <c r="I48" s="244"/>
      <c r="J48" s="244"/>
      <c r="K48" s="193"/>
      <c r="L48" s="193"/>
      <c r="M48" s="193"/>
      <c r="N48" s="193"/>
      <c r="O48" s="193"/>
      <c r="P48" s="193"/>
      <c r="Q48" s="193"/>
    </row>
    <row r="49" spans="1:17">
      <c r="A49" s="193"/>
      <c r="B49" s="193"/>
      <c r="C49" s="193"/>
      <c r="D49" s="193"/>
      <c r="E49" s="193"/>
      <c r="F49" s="193"/>
      <c r="G49" s="193"/>
      <c r="H49" s="244"/>
      <c r="I49" s="244"/>
      <c r="J49" s="244"/>
      <c r="K49" s="193"/>
      <c r="L49" s="193"/>
      <c r="M49" s="193"/>
      <c r="N49" s="193"/>
      <c r="O49" s="193"/>
      <c r="P49" s="193"/>
      <c r="Q49" s="193"/>
    </row>
    <row r="50" spans="1:17">
      <c r="A50" s="193"/>
      <c r="B50" s="193"/>
      <c r="C50" s="193"/>
      <c r="D50" s="193"/>
      <c r="E50" s="193"/>
      <c r="F50" s="193"/>
      <c r="G50" s="193"/>
      <c r="H50" s="244"/>
      <c r="I50" s="244"/>
      <c r="J50" s="244"/>
      <c r="K50" s="193"/>
      <c r="L50" s="193"/>
      <c r="M50" s="193"/>
      <c r="N50" s="193"/>
      <c r="O50" s="193"/>
      <c r="P50" s="193"/>
      <c r="Q50" s="193"/>
    </row>
    <row r="51" spans="1:17">
      <c r="A51" s="193"/>
      <c r="B51" s="193"/>
      <c r="C51" s="193"/>
      <c r="D51" s="193"/>
      <c r="E51" s="193"/>
      <c r="F51" s="193"/>
      <c r="G51" s="193"/>
      <c r="H51" s="244"/>
      <c r="I51" s="244"/>
      <c r="J51" s="244"/>
      <c r="K51" s="193"/>
      <c r="L51" s="193"/>
      <c r="M51" s="193"/>
      <c r="N51" s="193"/>
      <c r="O51" s="193"/>
      <c r="P51" s="193"/>
      <c r="Q51" s="193"/>
    </row>
    <row r="52" spans="1:17">
      <c r="A52" s="193"/>
      <c r="B52" s="193"/>
      <c r="C52" s="193"/>
      <c r="D52" s="193"/>
      <c r="E52" s="193"/>
      <c r="F52" s="193"/>
      <c r="G52" s="193"/>
      <c r="H52" s="244"/>
      <c r="I52" s="244"/>
      <c r="J52" s="244"/>
      <c r="K52" s="193"/>
      <c r="L52" s="193"/>
      <c r="M52" s="193"/>
      <c r="N52" s="193"/>
      <c r="O52" s="193"/>
      <c r="P52" s="193"/>
      <c r="Q52" s="193"/>
    </row>
    <row r="53" spans="1:17">
      <c r="A53" s="193"/>
      <c r="B53" s="193"/>
      <c r="C53" s="193"/>
      <c r="D53" s="193"/>
      <c r="E53" s="193"/>
      <c r="F53" s="193"/>
      <c r="G53" s="193"/>
      <c r="H53" s="244"/>
      <c r="I53" s="244"/>
      <c r="J53" s="244"/>
      <c r="K53" s="193"/>
      <c r="L53" s="193"/>
      <c r="M53" s="193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75"/>
  <cols>
    <col min="1" max="1" width="25.28515625" bestFit="1" customWidth="1"/>
    <col min="2" max="2" width="21.28515625" bestFit="1" customWidth="1"/>
    <col min="3" max="3" width="6.42578125" bestFit="1" customWidth="1"/>
    <col min="5" max="5" width="12.42578125" bestFit="1" customWidth="1"/>
    <col min="6" max="6" width="12.85546875" bestFit="1" customWidth="1"/>
    <col min="7" max="7" width="11.28515625" bestFit="1" customWidth="1"/>
    <col min="8" max="8" width="12.85546875" bestFit="1" customWidth="1"/>
    <col min="9" max="9" width="20.28515625" bestFit="1" customWidth="1"/>
    <col min="10" max="10" width="25" bestFit="1" customWidth="1"/>
    <col min="11" max="11" width="9" bestFit="1" customWidth="1"/>
    <col min="14" max="14" width="19.5703125" bestFit="1" customWidth="1"/>
  </cols>
  <sheetData>
    <row r="1" spans="1:11" ht="30.75" customHeight="1" thickTop="1">
      <c r="A1" s="583" t="s">
        <v>236</v>
      </c>
      <c r="B1" s="584" t="s">
        <v>0</v>
      </c>
      <c r="C1" s="638" t="s">
        <v>335</v>
      </c>
      <c r="E1" s="594" t="s">
        <v>257</v>
      </c>
      <c r="F1" s="595" t="s">
        <v>258</v>
      </c>
      <c r="G1" s="595" t="s">
        <v>259</v>
      </c>
      <c r="H1" s="595" t="s">
        <v>260</v>
      </c>
      <c r="I1" s="596" t="s">
        <v>261</v>
      </c>
      <c r="J1" s="596" t="s">
        <v>262</v>
      </c>
      <c r="K1" s="597" t="s">
        <v>263</v>
      </c>
    </row>
    <row r="2" spans="1:11">
      <c r="A2" s="589" t="s">
        <v>352</v>
      </c>
      <c r="B2" s="590" t="s">
        <v>251</v>
      </c>
      <c r="C2" s="635">
        <v>3</v>
      </c>
      <c r="E2" s="598" t="s">
        <v>264</v>
      </c>
      <c r="F2" s="599" t="s">
        <v>265</v>
      </c>
      <c r="G2" s="599" t="s">
        <v>266</v>
      </c>
      <c r="H2" s="600">
        <v>11</v>
      </c>
      <c r="I2" s="601" t="s">
        <v>267</v>
      </c>
      <c r="J2" s="602" t="s">
        <v>268</v>
      </c>
      <c r="K2" s="603">
        <v>4791</v>
      </c>
    </row>
    <row r="3" spans="1:11" ht="15">
      <c r="A3" s="587" t="s">
        <v>353</v>
      </c>
      <c r="B3" s="588" t="s">
        <v>246</v>
      </c>
      <c r="C3" s="636">
        <v>3</v>
      </c>
      <c r="E3" s="598" t="s">
        <v>269</v>
      </c>
      <c r="F3" s="599" t="s">
        <v>270</v>
      </c>
      <c r="G3" s="599" t="s">
        <v>266</v>
      </c>
      <c r="H3" s="599">
        <v>8</v>
      </c>
      <c r="I3" s="604" t="s">
        <v>271</v>
      </c>
      <c r="J3" s="602" t="s">
        <v>272</v>
      </c>
      <c r="K3" s="603">
        <v>4684</v>
      </c>
    </row>
    <row r="4" spans="1:11">
      <c r="A4" s="585" t="s">
        <v>254</v>
      </c>
      <c r="B4" s="586" t="s">
        <v>238</v>
      </c>
      <c r="C4" s="637">
        <v>1.5</v>
      </c>
      <c r="E4" s="598" t="s">
        <v>273</v>
      </c>
      <c r="F4" s="599" t="s">
        <v>274</v>
      </c>
      <c r="G4" s="599" t="s">
        <v>275</v>
      </c>
      <c r="H4" s="599">
        <v>10</v>
      </c>
      <c r="I4" s="604" t="s">
        <v>276</v>
      </c>
      <c r="J4" s="602" t="s">
        <v>277</v>
      </c>
      <c r="K4" s="603">
        <v>4620</v>
      </c>
    </row>
    <row r="5" spans="1:11">
      <c r="A5" s="585" t="s">
        <v>354</v>
      </c>
      <c r="B5" s="586" t="s">
        <v>239</v>
      </c>
      <c r="C5" s="637">
        <v>1</v>
      </c>
      <c r="E5" s="598" t="s">
        <v>278</v>
      </c>
      <c r="F5" s="599" t="s">
        <v>279</v>
      </c>
      <c r="G5" s="599" t="s">
        <v>280</v>
      </c>
      <c r="H5" s="599">
        <v>19</v>
      </c>
      <c r="I5" s="604" t="s">
        <v>281</v>
      </c>
      <c r="J5" s="602" t="s">
        <v>282</v>
      </c>
      <c r="K5" s="603">
        <v>4029</v>
      </c>
    </row>
    <row r="6" spans="1:11">
      <c r="A6" s="585" t="s">
        <v>255</v>
      </c>
      <c r="B6" s="586" t="s">
        <v>240</v>
      </c>
      <c r="C6" s="637">
        <v>1</v>
      </c>
      <c r="E6" s="598" t="s">
        <v>283</v>
      </c>
      <c r="F6" s="599" t="s">
        <v>284</v>
      </c>
      <c r="G6" s="599" t="s">
        <v>285</v>
      </c>
      <c r="H6" s="599">
        <v>23</v>
      </c>
      <c r="I6" s="604"/>
      <c r="J6" s="602"/>
      <c r="K6" s="603"/>
    </row>
    <row r="7" spans="1:11">
      <c r="A7" s="585" t="s">
        <v>355</v>
      </c>
      <c r="B7" s="586" t="s">
        <v>241</v>
      </c>
      <c r="C7" s="637">
        <v>2</v>
      </c>
      <c r="E7" s="598" t="s">
        <v>286</v>
      </c>
      <c r="F7" s="599" t="s">
        <v>287</v>
      </c>
      <c r="G7" s="599" t="s">
        <v>285</v>
      </c>
      <c r="H7" s="599">
        <v>22</v>
      </c>
      <c r="I7" s="604"/>
      <c r="J7" s="602"/>
      <c r="K7" s="603"/>
    </row>
    <row r="8" spans="1:11">
      <c r="A8" s="585" t="s">
        <v>356</v>
      </c>
      <c r="B8" s="586" t="s">
        <v>242</v>
      </c>
      <c r="C8" s="637">
        <v>6.5</v>
      </c>
      <c r="E8" s="598" t="s">
        <v>288</v>
      </c>
      <c r="F8" s="599" t="s">
        <v>289</v>
      </c>
      <c r="G8" s="599" t="s">
        <v>266</v>
      </c>
      <c r="H8" s="599">
        <v>2</v>
      </c>
      <c r="I8" s="604" t="s">
        <v>290</v>
      </c>
      <c r="J8" s="602" t="s">
        <v>291</v>
      </c>
      <c r="K8" s="603">
        <v>4696</v>
      </c>
    </row>
    <row r="9" spans="1:11">
      <c r="A9" s="585" t="s">
        <v>357</v>
      </c>
      <c r="B9" s="586" t="s">
        <v>245</v>
      </c>
      <c r="C9" s="637">
        <v>6.5</v>
      </c>
      <c r="E9" s="598" t="s">
        <v>292</v>
      </c>
      <c r="F9" s="599" t="s">
        <v>293</v>
      </c>
      <c r="G9" s="599" t="s">
        <v>294</v>
      </c>
      <c r="H9" s="599">
        <v>16</v>
      </c>
      <c r="I9" s="604" t="s">
        <v>295</v>
      </c>
      <c r="J9" s="602" t="s">
        <v>296</v>
      </c>
      <c r="K9" s="603">
        <v>4026</v>
      </c>
    </row>
    <row r="10" spans="1:11">
      <c r="A10" s="587" t="s">
        <v>350</v>
      </c>
      <c r="B10" s="588" t="s">
        <v>243</v>
      </c>
      <c r="C10" s="636">
        <v>0.5</v>
      </c>
      <c r="E10" s="598" t="s">
        <v>297</v>
      </c>
      <c r="F10" s="599" t="s">
        <v>298</v>
      </c>
      <c r="G10" s="599" t="s">
        <v>266</v>
      </c>
      <c r="H10" s="599">
        <v>17</v>
      </c>
      <c r="I10" s="604" t="s">
        <v>299</v>
      </c>
      <c r="J10" s="602"/>
      <c r="K10" s="603">
        <v>4832</v>
      </c>
    </row>
    <row r="11" spans="1:11">
      <c r="A11" s="587" t="s">
        <v>351</v>
      </c>
      <c r="B11" s="588" t="s">
        <v>247</v>
      </c>
      <c r="C11" s="636">
        <v>1</v>
      </c>
      <c r="E11" s="598" t="s">
        <v>300</v>
      </c>
      <c r="F11" s="599" t="s">
        <v>301</v>
      </c>
      <c r="G11" s="599" t="s">
        <v>266</v>
      </c>
      <c r="H11" s="599">
        <v>14</v>
      </c>
      <c r="I11" s="604" t="s">
        <v>302</v>
      </c>
      <c r="J11" s="602"/>
      <c r="K11" s="603">
        <v>4631</v>
      </c>
    </row>
    <row r="12" spans="1:11">
      <c r="A12" s="587" t="s">
        <v>348</v>
      </c>
      <c r="B12" s="588" t="s">
        <v>237</v>
      </c>
      <c r="C12" s="636">
        <v>0.5</v>
      </c>
      <c r="E12" s="598" t="s">
        <v>303</v>
      </c>
      <c r="F12" s="599" t="s">
        <v>304</v>
      </c>
      <c r="G12" s="599" t="s">
        <v>275</v>
      </c>
      <c r="H12" s="599">
        <v>24</v>
      </c>
      <c r="I12" s="604" t="s">
        <v>347</v>
      </c>
      <c r="J12" s="602" t="s">
        <v>256</v>
      </c>
      <c r="K12" s="603">
        <v>4581</v>
      </c>
    </row>
    <row r="13" spans="1:11">
      <c r="A13" s="587" t="s">
        <v>349</v>
      </c>
      <c r="B13" s="588" t="s">
        <v>237</v>
      </c>
      <c r="C13" s="636">
        <v>0.5</v>
      </c>
      <c r="E13" s="598" t="s">
        <v>305</v>
      </c>
      <c r="F13" s="599" t="s">
        <v>306</v>
      </c>
      <c r="G13" s="599" t="s">
        <v>266</v>
      </c>
      <c r="H13" s="599">
        <v>13</v>
      </c>
      <c r="I13" s="604" t="s">
        <v>307</v>
      </c>
      <c r="J13" s="602"/>
      <c r="K13" s="603">
        <v>4397</v>
      </c>
    </row>
    <row r="14" spans="1:11">
      <c r="A14" s="587" t="s">
        <v>358</v>
      </c>
      <c r="B14" s="588" t="s">
        <v>244</v>
      </c>
      <c r="C14" s="636">
        <v>0.5</v>
      </c>
      <c r="E14" s="605" t="s">
        <v>308</v>
      </c>
      <c r="F14" s="606" t="s">
        <v>309</v>
      </c>
      <c r="G14" s="606" t="s">
        <v>310</v>
      </c>
      <c r="H14" s="606">
        <v>0</v>
      </c>
      <c r="I14" s="607" t="s">
        <v>345</v>
      </c>
      <c r="J14" s="608" t="s">
        <v>311</v>
      </c>
      <c r="K14" s="609">
        <v>4604</v>
      </c>
    </row>
    <row r="15" spans="1:11">
      <c r="A15" s="587" t="s">
        <v>359</v>
      </c>
      <c r="B15" s="588" t="s">
        <v>244</v>
      </c>
      <c r="C15" s="636">
        <v>0.5</v>
      </c>
      <c r="E15" s="605" t="s">
        <v>344</v>
      </c>
      <c r="F15" s="606" t="s">
        <v>309</v>
      </c>
      <c r="G15" s="606" t="s">
        <v>310</v>
      </c>
      <c r="H15" s="606">
        <v>0</v>
      </c>
      <c r="I15" s="607" t="s">
        <v>345</v>
      </c>
      <c r="J15" s="602" t="s">
        <v>346</v>
      </c>
      <c r="K15" s="609"/>
    </row>
    <row r="16" spans="1:11">
      <c r="A16" s="585" t="s">
        <v>249</v>
      </c>
      <c r="B16" s="586" t="s">
        <v>250</v>
      </c>
      <c r="C16" s="637">
        <v>1.2</v>
      </c>
      <c r="E16" s="605" t="s">
        <v>312</v>
      </c>
      <c r="F16" s="606" t="s">
        <v>313</v>
      </c>
      <c r="G16" s="606" t="s">
        <v>314</v>
      </c>
      <c r="H16" s="606">
        <v>25</v>
      </c>
      <c r="I16" s="610" t="s">
        <v>315</v>
      </c>
      <c r="J16" s="608" t="s">
        <v>316</v>
      </c>
      <c r="K16" s="611"/>
    </row>
    <row r="17" spans="1:8" ht="13.5" thickBot="1">
      <c r="A17" s="645" t="s">
        <v>360</v>
      </c>
      <c r="B17" s="646" t="s">
        <v>248</v>
      </c>
      <c r="C17" s="647">
        <v>0.6</v>
      </c>
    </row>
    <row r="18" spans="1:8" ht="15.75" thickTop="1">
      <c r="E18" s="612" t="s">
        <v>317</v>
      </c>
      <c r="H18" s="620" t="s">
        <v>322</v>
      </c>
    </row>
    <row r="19" spans="1:8" ht="15">
      <c r="E19" s="613" t="s">
        <v>318</v>
      </c>
      <c r="H19" s="621" t="s">
        <v>323</v>
      </c>
    </row>
    <row r="20" spans="1:8" ht="15.75" thickBot="1">
      <c r="E20" s="614" t="s">
        <v>319</v>
      </c>
      <c r="H20" s="621" t="s">
        <v>324</v>
      </c>
    </row>
    <row r="21" spans="1:8" ht="13.5" thickTop="1">
      <c r="E21" s="615"/>
      <c r="H21" s="622" t="s">
        <v>325</v>
      </c>
    </row>
    <row r="22" spans="1:8">
      <c r="E22" s="615"/>
    </row>
    <row r="23" spans="1:8">
      <c r="E23" s="615" t="s">
        <v>320</v>
      </c>
      <c r="H23" s="620" t="s">
        <v>326</v>
      </c>
    </row>
    <row r="24" spans="1:8">
      <c r="E24" s="616">
        <f ca="1">TODAY()</f>
        <v>44279</v>
      </c>
      <c r="H24" s="621" t="s">
        <v>327</v>
      </c>
    </row>
    <row r="25" spans="1:8">
      <c r="E25" s="615"/>
      <c r="H25" s="621" t="s">
        <v>328</v>
      </c>
    </row>
    <row r="26" spans="1:8">
      <c r="E26" s="615"/>
      <c r="H26" s="622" t="s">
        <v>329</v>
      </c>
    </row>
    <row r="27" spans="1:8">
      <c r="E27" s="676" t="s">
        <v>321</v>
      </c>
      <c r="F27" s="677"/>
    </row>
    <row r="28" spans="1:8">
      <c r="E28" s="617" t="str">
        <f ca="1">TEXT(E24,"yymmdd")</f>
        <v>250325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75"/>
  <cols>
    <col min="1" max="1" width="10.140625" bestFit="1" customWidth="1"/>
    <col min="2" max="2" width="90.85546875" bestFit="1" customWidth="1"/>
  </cols>
  <sheetData>
    <row r="1" spans="1:3" ht="15">
      <c r="A1" s="640" t="s">
        <v>9</v>
      </c>
      <c r="B1" s="640" t="s">
        <v>338</v>
      </c>
      <c r="C1" s="640" t="s">
        <v>339</v>
      </c>
    </row>
    <row r="2" spans="1:3">
      <c r="A2" s="426">
        <v>42542</v>
      </c>
      <c r="B2" t="s">
        <v>336</v>
      </c>
      <c r="C2" t="s">
        <v>337</v>
      </c>
    </row>
    <row r="3" spans="1:3">
      <c r="A3" s="426"/>
    </row>
    <row r="4" spans="1:3">
      <c r="A4" s="426"/>
    </row>
    <row r="5" spans="1:3">
      <c r="A5" s="426"/>
    </row>
    <row r="6" spans="1:3">
      <c r="A6" s="426"/>
    </row>
    <row r="7" spans="1:3">
      <c r="A7" s="426"/>
    </row>
    <row r="8" spans="1:3">
      <c r="A8" s="426"/>
    </row>
    <row r="9" spans="1:3">
      <c r="A9" s="426"/>
    </row>
    <row r="10" spans="1:3">
      <c r="A10" s="4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ISIRF RAW</vt:lpstr>
      <vt:lpstr>Investigator QA Data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Trine, Lisandra</cp:lastModifiedBy>
  <cp:lastPrinted>2025-03-17T21:53:12Z</cp:lastPrinted>
  <dcterms:created xsi:type="dcterms:W3CDTF">2000-03-01T21:58:50Z</dcterms:created>
  <dcterms:modified xsi:type="dcterms:W3CDTF">2025-03-25T15:54:42Z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