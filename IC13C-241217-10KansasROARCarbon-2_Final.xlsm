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PRIV\CPHEA\PESD\COR\CORFILES\Projects\ISIRF\Processed Isocube files\EA FY25 (Oct24-Sep25)\"/>
    </mc:Choice>
  </mc:AlternateContent>
  <xr:revisionPtr revIDLastSave="0" documentId="13_ncr:1_{85076EFD-BCA9-4A33-B056-18EC8D126CA5}" xr6:coauthVersionLast="47" xr6:coauthVersionMax="47" xr10:uidLastSave="{00000000-0000-0000-0000-000000000000}"/>
  <bookViews>
    <workbookView xWindow="-120" yWindow="-120" windowWidth="29040" windowHeight="15720" tabRatio="679" activeTab="1" xr2:uid="{00000000-000D-0000-FFFF-FFFF00000000}"/>
  </bookViews>
  <sheets>
    <sheet name="COVER" sheetId="6394" r:id="rId1"/>
    <sheet name="Investigator Data" sheetId="6399" r:id="rId2"/>
    <sheet name="Weigh Sheet" sheetId="6393" r:id="rId3"/>
    <sheet name="Investigator QA Data" sheetId="6395" r:id="rId4"/>
    <sheet name="ISIRF RAW" sheetId="6397" r:id="rId5"/>
    <sheet name="ISIRF 15N" sheetId="6396" r:id="rId6"/>
    <sheet name="ISIRF 13C" sheetId="6398" r:id="rId7"/>
    <sheet name="Tables" sheetId="6401" r:id="rId8"/>
    <sheet name="Revisions" sheetId="6400" r:id="rId9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2">'Weigh Sheet'!$A$1:$G$72</definedName>
    <definedName name="_xlnm.Print_Titles" localSheetId="2">'Weigh Sheet'!$16:$16</definedName>
    <definedName name="Standards">Tables!$A$2:$A$17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4" i="6399" l="1"/>
  <c r="F4" i="6399"/>
  <c r="E4" i="6399"/>
  <c r="D4" i="6399"/>
  <c r="H4" i="6399" l="1"/>
  <c r="G19" i="6399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6" i="6399"/>
  <c r="F36" i="6399"/>
  <c r="E36" i="6399"/>
  <c r="D36" i="6399"/>
  <c r="G35" i="6399"/>
  <c r="F35" i="6399"/>
  <c r="E35" i="6399"/>
  <c r="D35" i="6399"/>
  <c r="G34" i="6399"/>
  <c r="F34" i="6399"/>
  <c r="E34" i="6399"/>
  <c r="D34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8" i="6399"/>
  <c r="F28" i="6399"/>
  <c r="E28" i="6399"/>
  <c r="D28" i="6399"/>
  <c r="G27" i="6399"/>
  <c r="F27" i="6399"/>
  <c r="E27" i="6399"/>
  <c r="D27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2" i="6399"/>
  <c r="F22" i="6399"/>
  <c r="E22" i="6399"/>
  <c r="D22" i="6399"/>
  <c r="G21" i="6399"/>
  <c r="F21" i="6399"/>
  <c r="E21" i="6399"/>
  <c r="D21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O48" i="6395"/>
  <c r="N48" i="6395"/>
  <c r="M48" i="6395"/>
  <c r="L48" i="6395"/>
  <c r="K48" i="6395"/>
  <c r="J48" i="6395"/>
  <c r="I48" i="6395"/>
  <c r="H48" i="6395"/>
  <c r="G48" i="6395"/>
  <c r="F48" i="6395"/>
  <c r="B48" i="6395"/>
  <c r="O47" i="6395"/>
  <c r="N47" i="6395"/>
  <c r="K47" i="6395"/>
  <c r="M47" i="6395"/>
  <c r="L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1" i="6399"/>
  <c r="H24" i="6399"/>
  <c r="H26" i="6399"/>
  <c r="H28" i="6399"/>
  <c r="H30" i="6399"/>
  <c r="H32" i="6399"/>
  <c r="H34" i="6399"/>
  <c r="H36" i="6399"/>
  <c r="H38" i="6399"/>
  <c r="G33" i="6398"/>
  <c r="K6" i="6395" s="1"/>
  <c r="H12" i="6399"/>
  <c r="H14" i="6399"/>
  <c r="H16" i="6399"/>
  <c r="H18" i="6399"/>
  <c r="H20" i="6399"/>
  <c r="H22" i="6399"/>
  <c r="H25" i="6399"/>
  <c r="H27" i="6399"/>
  <c r="H29" i="6399"/>
  <c r="H31" i="6399"/>
  <c r="H33" i="6399"/>
  <c r="H35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O9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<sst xmlns="http://schemas.openxmlformats.org/spreadsheetml/2006/main" count="627" uniqueCount="463">
  <si>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</si>
  <si>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</si>
  <si>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</si>
  <si>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</si>
  <si>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</si>
  <si>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</si>
  <si>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</si>
  <si>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</si>
  <si>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</si>
  <si>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</si>
  <si>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</si>
  <si>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</si>
  <si>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</si>
  <si>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</si>
  <si>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</si>
  <si>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</si>
  <si>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</si>
  <si>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</si>
  <si>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</si>
  <si>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</si>
  <si>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</si>
  <si>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</si>
  <si>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</si>
  <si>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</si>
  <si>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</si>
  <si>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</si>
  <si>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</si>
  <si>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</si>
  <si>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</si>
  <si>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</si>
  <si>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</si>
  <si>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</si>
  <si>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</si>
  <si>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</si>
  <si>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</si>
  <si>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</si>
  <si>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</si>
  <si>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</si>
  <si>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</si>
  <si>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</si>
  <si>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</si>
  <si>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</si>
  <si>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</si>
  <si>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</si>
  <si>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</si>
  <si>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</si>
  <si>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</si>
  <si>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</si>
  <si>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</si>
  <si>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</si>
  <si>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</si>
  <si>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</si>
  <si>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</si>
  <si>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</si>
  <si>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</si>
  <si>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</si>
  <si>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</si>
  <si>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</si>
  <si>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</si>
  <si>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</si>
  <si>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</si>
  <si>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</si>
  <si>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</si>
  <si>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</si>
  <si>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</si>
  <si>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</si>
  <si>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</si>
  <si>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</si>
  <si>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</si>
  <si>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</si>
  <si>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</si>
  <si>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</si>
  <si>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</si>
  <si>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</si>
  <si>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</si>
  <si>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</si>
  <si>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</si>
  <si>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</si>
  <si>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</si>
  <si>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</si>
  <si>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</si>
  <si>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</si>
  <si>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</si>
  <si>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</si>
  <si>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</si>
  <si>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</si>
  <si>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</si>
  <si>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</si>
  <si>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</si>
  <si>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</si>
  <si>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</si>
  <si>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</si>
  <si>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</si>
  <si>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</si>
  <si>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</si>
  <si>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</si>
  <si>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</si>
  <si>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</si>
  <si>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</si>
  <si>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</si>
  <si>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</si>
  <si>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</si>
  <si>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</si>
  <si>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</si>
  <si>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</si>
  <si>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</si>
  <si>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</si>
  <si>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</si>
  <si>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</si>
  <si>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</si>
  <si>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</si>
  <si>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</si>
  <si>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</si>
  <si>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</si>
  <si>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</si>
  <si>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</si>
  <si>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</si>
  <si>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</si>
  <si>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</si>
  <si>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</si>
  <si>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</si>
  <si>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</si>
  <si>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</si>
  <si>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</si>
  <si>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</si>
  <si>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</si>
  <si>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</si>
  <si>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</si>
  <si>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</si>
  <si>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</si>
  <si>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</si>
  <si>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</si>
  <si>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</si>
  <si>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</si>
  <si>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</si>
  <si>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</si>
  <si>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</si>
  <si>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</si>
  <si>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</si>
  <si>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</si>
  <si>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</si>
  <si>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</si>
  <si>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</si>
  <si>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</si>
  <si>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</si>
  <si>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</si>
  <si>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</si>
  <si>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</si>
  <si>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</si>
  <si>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</si>
  <si>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</si>
  <si>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</si>
  <si>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</si>
  <si>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</si>
  <si>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</si>
  <si>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</si>
  <si>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</si>
  <si>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</si>
  <si>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</si>
  <si>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</si>
  <si>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</si>
  <si>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</si>
  <si>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</si>
  <si>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</si>
  <si>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</si>
  <si>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</si>
  <si>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</si>
  <si>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</si>
  <si>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</si>
  <si>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</si>
  <si>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</si>
  <si>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</si>
  <si>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</si>
  <si>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</si>
  <si>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</si>
  <si>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</si>
  <si>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</si>
  <si>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</si>
  <si>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</si>
  <si>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</si>
  <si>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</si>
  <si>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</si>
  <si>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</si>
  <si>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</si>
  <si>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</si>
  <si>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</si>
  <si>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</si>
  <si>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</si>
  <si>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</si>
  <si>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</si>
  <si>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</si>
  <si>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</si>
  <si>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</si>
  <si>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</si>
  <si>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</si>
  <si>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</si>
  <si>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</si>
  <si>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</si>
  <si>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</si>
  <si>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</si>
  <si>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</si>
  <si>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</si>
  <si>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</si>
  <si>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</si>
  <si>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</si>
  <si>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</si>
  <si>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</si>
  <si>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</si>
  <si>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</si>
  <si>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</si>
  <si>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</si>
  <si>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</si>
  <si>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</si>
  <si>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</si>
  <si>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</si>
  <si>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</si>
  <si>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</si>
  <si>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</si>
  <si>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</si>
  <si>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</si>
  <si>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</si>
  <si>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</si>
  <si>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</si>
  <si>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</si>
  <si>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</si>
  <si>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</si>
  <si>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</si>
  <si>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</si>
  <si>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</si>
  <si>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</si>
  <si>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</si>
  <si>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</si>
  <si>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</si>
  <si>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</si>
  <si>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</si>
  <si>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</si>
  <si>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</si>
  <si>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</si>
  <si>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</si>
  <si>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</si>
  <si>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</si>
  <si>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</si>
  <si>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</si>
  <si>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</si>
  <si>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</si>
  <si>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</si>
  <si>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</si>
  <si>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</si>
  <si>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</si>
  <si>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</si>
  <si>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</si>
  <si>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</si>
  <si>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</si>
  <si>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</si>
  <si>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</si>
  <si>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</si>
  <si>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</si>
  <si>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</si>
  <si>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</si>
  <si>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</si>
  <si>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</si>
  <si>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</si>
  <si>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</si>
  <si>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</si>
  <si>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</si>
  <si>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</si>
  <si>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</si>
  <si>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</si>
  <si>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</si>
  <si>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</si>
  <si>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</si>
  <si>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</si>
  <si>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</si>
  <si>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</si>
  <si>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</si>
  <si>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</si>
  <si>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</si>
  <si>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</si>
  <si>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</si>
  <si>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</si>
  <si>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</si>
  <si>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</si>
  <si>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</si>
  <si>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</si>
  <si>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</si>
  <si>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</si>
  <si>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</si>
  <si>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</si>
  <si>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</si>
  <si>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</si>
  <si>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</si>
  <si>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</si>
  <si>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</si>
  <si>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</si>
  <si>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</si>
  <si>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</si>
  <si>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</si>
  <si>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</si>
  <si>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</si>
  <si>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</si>
  <si>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</si>
  <si>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</si>
  <si>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</si>
  <si>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</si>
  <si>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</si>
  <si>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</si>
  <si>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</si>
  <si>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</si>
  <si>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</si>
  <si>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</si>
  <si>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</si>
  <si>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</si>
  <si>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</si>
  <si>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</si>
  <si>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</si>
  <si>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</si>
  <si>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</si>
  <si>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</si>
  <si>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</si>
  <si>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</si>
  <si>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</si>
  <si>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</si>
  <si>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</si>
  <si>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</si>
  <si>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</si>
  <si>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</si>
  <si>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</si>
  <si>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</si>
  <si>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</si>
  <si>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</si>
  <si>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</si>
  <si>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</si>
  <si>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</si>
  <si>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</si>
  <si>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</si>
  <si>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</si>
  <si>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</si>
  <si>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</si>
  <si>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</si>
  <si>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</si>
  <si>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</si>
  <si>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</si>
  <si>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</si>
  <si>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</si>
  <si>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</si>
  <si>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</si>
  <si>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</si>
  <si>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</si>
  <si>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</si>
  <si>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</si>
  <si>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</si>
  <si>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</si>
  <si>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</si>
  <si>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</si>
  <si>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</si>
  <si>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</si>
  <si>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</si>
  <si>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</si>
  <si>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</si>
  <si>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</si>
  <si>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</si>
  <si>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</si>
  <si>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</si>
  <si>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Kansas ROAR Project</t>
  </si>
  <si>
    <t xml:space="preserve">20231120_S3_A </t>
  </si>
  <si>
    <t xml:space="preserve">20231120_S3_B </t>
  </si>
  <si>
    <t xml:space="preserve">20231120_S3_C </t>
  </si>
  <si>
    <t xml:space="preserve">20231120_S3_D </t>
  </si>
  <si>
    <t>20231120_S3_E</t>
  </si>
  <si>
    <t>20231120_S3_F</t>
  </si>
  <si>
    <t>20231120_S3_F_Dup</t>
  </si>
  <si>
    <t xml:space="preserve">20231120_S4_A </t>
  </si>
  <si>
    <t xml:space="preserve">20231120_S4_B </t>
  </si>
  <si>
    <t xml:space="preserve">20231120_S4_C </t>
  </si>
  <si>
    <t xml:space="preserve">20231120_S4_D </t>
  </si>
  <si>
    <t xml:space="preserve">20231120_S4_E </t>
  </si>
  <si>
    <t xml:space="preserve">20231120_S4_F </t>
  </si>
  <si>
    <t>20231120_S4_F _Dup</t>
  </si>
  <si>
    <t xml:space="preserve">20231120_S4_G </t>
  </si>
  <si>
    <t xml:space="preserve">20231120_S4_H </t>
  </si>
  <si>
    <t>20231120_S4_I</t>
  </si>
  <si>
    <t>20231120_S4_J</t>
  </si>
  <si>
    <t xml:space="preserve">20231120_SS1_A </t>
  </si>
  <si>
    <t xml:space="preserve">20231120_SS1_B </t>
  </si>
  <si>
    <t xml:space="preserve">20231120_SS1_C </t>
  </si>
  <si>
    <t xml:space="preserve">20231120_SS1_D </t>
  </si>
  <si>
    <t xml:space="preserve">20231120_SS1_E </t>
  </si>
  <si>
    <t xml:space="preserve">20231120_SS1_F </t>
  </si>
  <si>
    <t xml:space="preserve">20231120_SS1_G </t>
  </si>
  <si>
    <t xml:space="preserve">20231120_SS1_H </t>
  </si>
  <si>
    <t xml:space="preserve">20231120_SS1_I </t>
  </si>
  <si>
    <t xml:space="preserve">20231120_SS1_J </t>
  </si>
  <si>
    <t>20231120_SS1_K</t>
  </si>
  <si>
    <t xml:space="preserve">20231120_W1_A </t>
  </si>
  <si>
    <t xml:space="preserve">20231120_W1_B </t>
  </si>
  <si>
    <t xml:space="preserve">20231120_W1_C </t>
  </si>
  <si>
    <t xml:space="preserve">20231120_W1_D </t>
  </si>
  <si>
    <t xml:space="preserve">20231120_W1_E </t>
  </si>
  <si>
    <t xml:space="preserve">20231120_W1_F </t>
  </si>
  <si>
    <t xml:space="preserve">20231120_W1_G </t>
  </si>
  <si>
    <t>10 X 9</t>
  </si>
  <si>
    <t>The Kansas ROAR projects investigates soil health practices influences over nitrate leaching (Soil Samples collected from 0-8 inches in Kansas farmlands)</t>
  </si>
  <si>
    <t>Soil</t>
  </si>
  <si>
    <t>-</t>
  </si>
  <si>
    <t>KansasROAR-2Carbon</t>
  </si>
  <si>
    <t>241217</t>
  </si>
  <si>
    <t>IC15N-241218-10KansasRoarCarbon-2_1.raw</t>
  </si>
  <si>
    <t>IC15N-241218-10KansasRoarCarbon-2_2.raw</t>
  </si>
  <si>
    <t>IC15N-241218-10KansasRoarCarbon-2_3.raw</t>
  </si>
  <si>
    <t>IC15N-241218-10KansasRoarCarbon-2_4.raw</t>
  </si>
  <si>
    <t>IC15N-241218-10KansasRoarCarbon-2_5.raw</t>
  </si>
  <si>
    <t>IC15N-241218-10KansasRoarCarbon-2_6.raw</t>
  </si>
  <si>
    <t>IC15N-241218-10KansasRoarCarbon-2_7.raw</t>
  </si>
  <si>
    <t>IC15N-241218-10KansasRoarCarbon-2_8.raw</t>
  </si>
  <si>
    <t>IC15N-241218-10KansasRoarCarbon-2_9.raw</t>
  </si>
  <si>
    <t>IC15N-241218-10KansasRoarCarbon-2_10.raw</t>
  </si>
  <si>
    <t>IC15N-241218-10KansasRoarCarbon-2_11.raw</t>
  </si>
  <si>
    <t>IC15N-241218-10KansasRoarCarbon-2_12.raw</t>
  </si>
  <si>
    <t>IC15N-241218-10KansasRoarCarbon-2_13.raw</t>
  </si>
  <si>
    <t>IC15N-241218-10KansasRoarCarbon-2_14.raw</t>
  </si>
  <si>
    <t>IC15N-241218-10KansasRoarCarbon-2_15.raw</t>
  </si>
  <si>
    <t>IC15N-241218-10KansasRoarCarbon-2_16.raw</t>
  </si>
  <si>
    <t>IC15N-241218-10KansasRoarCarbon-2_17.raw</t>
  </si>
  <si>
    <t>IC15N-241218-10KansasRoarCarbon-2_18.raw</t>
  </si>
  <si>
    <t>IC15N-241218-10KansasRoarCarbon-2_19.raw</t>
  </si>
  <si>
    <t>IC15N-241218-10KansasRoarCarbon-2_20.raw</t>
  </si>
  <si>
    <t>IC15N-241218-10KansasRoarCarbon-2_21.raw</t>
  </si>
  <si>
    <t>IC15N-241218-10KansasRoarCarbon-2_22.raw</t>
  </si>
  <si>
    <t>IC15N-241218-10KansasRoarCarbon-2_23.raw</t>
  </si>
  <si>
    <t>IC15N-241218-10KansasRoarCarbon-2_24.raw</t>
  </si>
  <si>
    <t>IC15N-241218-10KansasRoarCarbon-2_25.raw</t>
  </si>
  <si>
    <t>IC15N-241218-10KansasRoarCarbon-2_26.raw</t>
  </si>
  <si>
    <t>IC15N-241218-10KansasRoarCarbon-2_27.raw</t>
  </si>
  <si>
    <t>IC15N-241218-10KansasRoarCarbon-2_28.raw</t>
  </si>
  <si>
    <t>IC15N-241218-10KansasRoarCarbon-2_29.raw</t>
  </si>
  <si>
    <t>IC15N-241218-10KansasRoarCarbon-2_30.raw</t>
  </si>
  <si>
    <t>IC15N-241218-10KansasRoarCarbon-2_31.raw</t>
  </si>
  <si>
    <t>IC15N-241218-10KansasRoarCarbon-2_32.raw</t>
  </si>
  <si>
    <t>IC15N-241218-10KansasRoarCarbon-2_33.raw</t>
  </si>
  <si>
    <t>IC15N-241218-10KansasRoarCarbon-2_34.raw</t>
  </si>
  <si>
    <t>IC15N-241218-10KansasRoarCarbon-2_35.raw</t>
  </si>
  <si>
    <t>IC15N-241218-10KansasRoarCarbon-2_36.raw</t>
  </si>
  <si>
    <t>IC15N-241218-10KansasRoarCarbon-2_37.raw</t>
  </si>
  <si>
    <t>IC15N-241218-10KansasRoarCarbon-2_38.raw</t>
  </si>
  <si>
    <t>IC15N-241218-10KansasRoarCarbon-2_39.raw</t>
  </si>
  <si>
    <t>IC15N-241218-10KansasRoarCarbon-2_40.raw</t>
  </si>
  <si>
    <t>IC15N-241218-10KansasRoarCarbon-2_41.raw</t>
  </si>
  <si>
    <t>IC15N-241218-10KansasRoarCarbon-2_42.raw</t>
  </si>
  <si>
    <t>IC15N-241218-10KansasRoarCarbon-2_43.raw</t>
  </si>
  <si>
    <t>IC15N-241218-10KansasRoarCarbon-2_44.raw</t>
  </si>
  <si>
    <t>IC15N-241218-10KansasRoarCarbon-2_45.raw</t>
  </si>
  <si>
    <t>IC15N-241218-10KansasRoarCarbon-2_46.raw</t>
  </si>
  <si>
    <t>IC15N-241218-10KansasRoarCarbon-2_47.raw</t>
  </si>
  <si>
    <t>IC15N-241218-10KansasRoarCarbon-2_48.raw</t>
  </si>
  <si>
    <t>IC15N-241218-10KansasRoarCarbon-2_49.raw</t>
  </si>
  <si>
    <t>IC15N-241218-10KansasRoarCarbon-2_50.raw</t>
  </si>
  <si>
    <t>IC15N-241218-10KansasRoarCarbon-2_51.raw</t>
  </si>
  <si>
    <t>IC15N-241218-10KansasRoarCarbon-2_52.raw</t>
  </si>
  <si>
    <t>IC15N-241218-10KansasRoarCarbon-2_53.raw</t>
  </si>
  <si>
    <t>IC15N-241218-10KansasRoarCarbon-2_54.raw</t>
  </si>
  <si>
    <t>IC15N-241218-10KansasRoarCarbon-2_55.raw</t>
  </si>
  <si>
    <t>IC15N-241218-10KansasRoarCarbon-2_56.raw</t>
  </si>
  <si>
    <t>Isotope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</si>
</sst>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3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</fonts>
  <fills count="2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2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3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84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6" borderId="46" xfId="0" applyFont="1" applyFill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3" xfId="0" applyFont="1" applyFill="1" applyBorder="1" applyProtection="1"/>
    <xf numFmtId="2" fontId="11" fillId="6" borderId="173" xfId="0" applyNumberFormat="1" applyFont="1" applyFill="1" applyBorder="1" applyProtection="1"/>
    <xf numFmtId="0" fontId="11" fillId="4" borderId="174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176" xfId="0" applyFont="1" applyFill="1" applyBorder="1" applyProtection="1"/>
    <xf numFmtId="2" fontId="11" fillId="6" borderId="176" xfId="0" applyNumberFormat="1" applyFont="1" applyFill="1" applyBorder="1" applyProtection="1"/>
    <xf numFmtId="0" fontId="11" fillId="4" borderId="177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8" xfId="0" applyFont="1" applyFill="1" applyBorder="1" applyProtection="1"/>
    <xf numFmtId="0" fontId="11" fillId="6" borderId="179" xfId="0" applyFont="1" applyFill="1" applyBorder="1" applyProtection="1"/>
    <xf numFmtId="2" fontId="11" fillId="6" borderId="179" xfId="0" applyNumberFormat="1" applyFont="1" applyFill="1" applyBorder="1" applyProtection="1"/>
    <xf numFmtId="0" fontId="11" fillId="4" borderId="180" xfId="0" applyFont="1" applyFill="1" applyBorder="1" applyProtection="1"/>
    <xf numFmtId="0" fontId="7" fillId="5" borderId="46" xfId="0" applyFont="1" applyFill="1" applyBorder="1" applyAlignment="1" applyProtection="1">
      <alignment horizontal="center"/>
      <protection locked="0"/>
    </xf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3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9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6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81" xfId="0" applyFont="1" applyFill="1" applyBorder="1" applyProtection="1"/>
    <xf numFmtId="0" fontId="5" fillId="6" borderId="99" xfId="0" applyFont="1" applyFill="1" applyBorder="1" applyProtection="1"/>
    <xf numFmtId="165" fontId="11" fillId="6" borderId="182" xfId="0" applyNumberFormat="1" applyFont="1" applyFill="1" applyBorder="1" applyProtection="1"/>
    <xf numFmtId="165" fontId="11" fillId="6" borderId="183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6" xfId="0" applyFont="1" applyFill="1" applyBorder="1" applyProtection="1"/>
    <xf numFmtId="0" fontId="11" fillId="6" borderId="187" xfId="0" applyFont="1" applyFill="1" applyBorder="1" applyProtection="1"/>
    <xf numFmtId="167" fontId="11" fillId="6" borderId="173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9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6" xfId="0" applyNumberFormat="1" applyFont="1" applyFill="1" applyBorder="1" applyProtection="1"/>
    <xf numFmtId="167" fontId="0" fillId="4" borderId="5" xfId="0" applyNumberFormat="1" applyFill="1" applyBorder="1"/>
    <xf numFmtId="0" fontId="6" fillId="6" borderId="188" xfId="0" applyFont="1" applyFill="1" applyBorder="1" applyAlignment="1" applyProtection="1">
      <alignment horizontal="left"/>
    </xf>
    <xf numFmtId="2" fontId="7" fillId="6" borderId="189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91" xfId="0" applyFont="1" applyFill="1" applyBorder="1" applyProtection="1"/>
    <xf numFmtId="167" fontId="11" fillId="6" borderId="182" xfId="0" applyNumberFormat="1" applyFont="1" applyFill="1" applyBorder="1" applyProtection="1"/>
    <xf numFmtId="0" fontId="11" fillId="6" borderId="183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3" xfId="0" applyFont="1" applyFill="1" applyBorder="1" applyAlignment="1" applyProtection="1">
      <alignment horizontal="left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11" fillId="6" borderId="196" xfId="0" applyNumberFormat="1" applyFont="1" applyFill="1" applyBorder="1" applyAlignment="1" applyProtection="1">
      <alignment horizontal="center"/>
    </xf>
    <xf numFmtId="2" fontId="11" fillId="6" borderId="197" xfId="0" applyNumberFormat="1" applyFont="1" applyFill="1" applyBorder="1" applyAlignment="1" applyProtection="1">
      <alignment horizontal="center"/>
    </xf>
    <xf numFmtId="2" fontId="5" fillId="6" borderId="198" xfId="0" applyNumberFormat="1" applyFont="1" applyFill="1" applyBorder="1" applyAlignment="1" applyProtection="1">
      <alignment horizontal="left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5" fillId="6" borderId="201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2" fontId="11" fillId="6" borderId="203" xfId="0" applyNumberFormat="1" applyFont="1" applyFill="1" applyBorder="1" applyAlignment="1" applyProtection="1">
      <alignment horizontal="center"/>
    </xf>
    <xf numFmtId="2" fontId="5" fillId="6" borderId="193" xfId="0" applyNumberFormat="1" applyFont="1" applyFill="1" applyBorder="1" applyAlignment="1" applyProtection="1">
      <alignment horizontal="left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195" xfId="0" applyNumberFormat="1" applyFont="1" applyFill="1" applyBorder="1" applyAlignment="1" applyProtection="1">
      <alignment horizontal="center"/>
    </xf>
    <xf numFmtId="2" fontId="15" fillId="6" borderId="196" xfId="0" applyNumberFormat="1" applyFont="1" applyFill="1" applyBorder="1" applyAlignment="1" applyProtection="1">
      <alignment horizontal="center"/>
    </xf>
    <xf numFmtId="2" fontId="15" fillId="6" borderId="204" xfId="0" applyNumberFormat="1" applyFont="1" applyFill="1" applyBorder="1" applyAlignment="1" applyProtection="1">
      <alignment horizontal="center"/>
    </xf>
    <xf numFmtId="0" fontId="11" fillId="6" borderId="205" xfId="0" applyFont="1" applyFill="1" applyBorder="1" applyProtection="1"/>
    <xf numFmtId="0" fontId="11" fillId="6" borderId="206" xfId="0" applyFont="1" applyFill="1" applyBorder="1" applyProtection="1"/>
    <xf numFmtId="2" fontId="11" fillId="6" borderId="206" xfId="0" applyNumberFormat="1" applyFont="1" applyFill="1" applyBorder="1" applyProtection="1"/>
    <xf numFmtId="166" fontId="11" fillId="6" borderId="206" xfId="0" applyNumberFormat="1" applyFont="1" applyFill="1" applyBorder="1" applyProtection="1"/>
    <xf numFmtId="0" fontId="11" fillId="4" borderId="207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10" xfId="0" applyFont="1" applyFill="1" applyBorder="1" applyAlignment="1" applyProtection="1"/>
    <xf numFmtId="0" fontId="7" fillId="6" borderId="211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81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2" xfId="0" applyFont="1" applyFill="1" applyBorder="1" applyAlignment="1" applyProtection="1">
      <alignment horizontal="center"/>
    </xf>
    <xf numFmtId="1" fontId="7" fillId="6" borderId="192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2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2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2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172" xfId="0" applyBorder="1" applyAlignment="1"/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4" xfId="1" applyNumberFormat="1" applyFont="1" applyFill="1" applyBorder="1" applyAlignment="1" applyProtection="1">
      <alignment horizontal="center"/>
    </xf>
    <xf numFmtId="14" fontId="7" fillId="6" borderId="208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9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5" xfId="0" applyFont="1" applyFill="1" applyBorder="1" applyAlignment="1">
      <alignment horizontal="center"/>
    </xf>
    <xf numFmtId="0" fontId="37" fillId="10" borderId="173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6" xfId="0" applyFill="1" applyBorder="1"/>
    <xf numFmtId="0" fontId="0" fillId="4" borderId="217" xfId="0" applyFill="1" applyBorder="1"/>
    <xf numFmtId="0" fontId="0" fillId="4" borderId="217" xfId="0" applyFill="1" applyBorder="1" applyAlignment="1">
      <alignment horizontal="center"/>
    </xf>
    <xf numFmtId="0" fontId="0" fillId="17" borderId="217" xfId="0" applyFill="1" applyBorder="1" applyAlignment="1">
      <alignment horizontal="center"/>
    </xf>
    <xf numFmtId="0" fontId="0" fillId="17" borderId="218" xfId="0" applyFill="1" applyBorder="1"/>
    <xf numFmtId="0" fontId="0" fillId="4" borderId="218" xfId="0" applyFill="1" applyBorder="1" applyAlignment="1">
      <alignment horizontal="center"/>
    </xf>
    <xf numFmtId="0" fontId="0" fillId="17" borderId="195" xfId="0" applyFill="1" applyBorder="1"/>
    <xf numFmtId="0" fontId="40" fillId="12" borderId="219" xfId="3" applyBorder="1" applyAlignment="1">
      <alignment horizontal="center"/>
    </xf>
    <xf numFmtId="0" fontId="1" fillId="13" borderId="220" xfId="4" applyBorder="1" applyAlignment="1">
      <alignment horizontal="center"/>
    </xf>
    <xf numFmtId="0" fontId="1" fillId="13" borderId="221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3" xfId="0" applyBorder="1"/>
    <xf numFmtId="0" fontId="0" fillId="0" borderId="49" xfId="0" applyBorder="1"/>
    <xf numFmtId="0" fontId="0" fillId="0" borderId="179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223" xfId="0" applyNumberFormat="1" applyFont="1" applyFill="1" applyBorder="1"/>
    <xf numFmtId="2" fontId="37" fillId="10" borderId="164" xfId="0" applyNumberFormat="1" applyFont="1" applyFill="1" applyBorder="1"/>
    <xf numFmtId="2" fontId="33" fillId="10" borderId="164" xfId="0" applyNumberFormat="1" applyFont="1" applyFill="1" applyBorder="1"/>
    <xf numFmtId="2" fontId="42" fillId="10" borderId="224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5" xfId="0" applyFont="1" applyFill="1" applyBorder="1" applyAlignment="1">
      <alignment horizontal="left"/>
    </xf>
    <xf numFmtId="0" fontId="6" fillId="0" borderId="215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2" fontId="37" fillId="10" borderId="149" xfId="0" applyNumberFormat="1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0" fontId="6" fillId="0" borderId="17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2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2" xfId="0" applyFont="1" applyBorder="1" applyAlignment="1">
      <alignment horizontal="center"/>
    </xf>
    <xf numFmtId="0" fontId="8" fillId="0" borderId="218" xfId="0" applyFont="1" applyFill="1" applyBorder="1" applyAlignment="1">
      <alignment horizontal="center"/>
    </xf>
    <xf numFmtId="0" fontId="8" fillId="0" borderId="226" xfId="0" applyFont="1" applyFill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8" fillId="0" borderId="223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6" fillId="9" borderId="171" xfId="0" applyFont="1" applyFill="1" applyBorder="1" applyAlignment="1">
      <alignment horizontal="left"/>
    </xf>
    <xf numFmtId="0" fontId="6" fillId="9" borderId="89" xfId="0" applyFont="1" applyFill="1" applyBorder="1" applyAlignment="1">
      <alignment horizontal="left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6" fillId="19" borderId="49" xfId="0" applyFont="1" applyFill="1" applyBorder="1" applyAlignment="1">
      <alignment horizontal="center"/>
    </xf>
    <xf numFmtId="2" fontId="7" fillId="19" borderId="49" xfId="0" applyNumberFormat="1" applyFont="1" applyFill="1" applyBorder="1" applyAlignment="1">
      <alignment horizontal="center"/>
    </xf>
    <xf numFmtId="2" fontId="7" fillId="19" borderId="151" xfId="0" applyNumberFormat="1" applyFont="1" applyFill="1" applyBorder="1" applyAlignment="1">
      <alignment horizontal="center"/>
    </xf>
    <xf numFmtId="2" fontId="7" fillId="19" borderId="148" xfId="0" applyNumberFormat="1" applyFont="1" applyFill="1" applyBorder="1" applyAlignment="1">
      <alignment horizontal="center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25"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11" dataDxfId="9" headerRowBorderDxfId="10" tableBorderDxfId="8" totalsRowBorderDxfId="7" headerRowCellStyle="Accent3">
  <autoFilter ref="E1:K16" xr:uid="{B118AAE5-6314-4991-BDCF-17CA9FBC3FF9}"/>
  <tableColumns count="7">
    <tableColumn id="1" xr3:uid="{5D36B30D-77B8-4D5D-9895-480D061267C8}" name="Last Name" dataDxfId="6"/>
    <tableColumn id="2" xr3:uid="{A6E9D35F-FE71-4119-B014-9E48C54984B4}" name="First Name" dataDxfId="5"/>
    <tableColumn id="3" xr3:uid="{3999A4BB-7307-470B-A6E4-445EE30963B1}" name="Branch" dataDxfId="4"/>
    <tableColumn id="4" xr3:uid="{7CB69ADB-FD93-4D3B-B155-F71BE7E3770F}" name="ID Number" dataDxfId="3"/>
    <tableColumn id="5" xr3:uid="{940639FA-9D60-4218-AF21-AAC1E4B69678}" name="Address" dataDxfId="2"/>
    <tableColumn id="6" xr3:uid="{6B88A187-DB08-469F-9EAA-D4B0D564CB1A}" name="email Address" dataDxfId="1"/>
    <tableColumn id="7" xr3:uid="{2758765F-F6B7-49E9-A496-3CB036C89C91}" name="Phon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topLeftCell="A7" workbookViewId="0">
      <selection activeCell="C23" sqref="C23"/>
    </sheetView>
  </sheetViews>
  <sheetFormatPr defaultColWidth="9.140625" defaultRowHeight="12.75"/>
  <cols>
    <col min="1" max="1" width="2.7109375" style="14" customWidth="1"/>
    <col min="2" max="2" width="36.5703125" style="14" customWidth="1"/>
    <col min="3" max="3" width="69.28515625" style="14" customWidth="1"/>
    <col min="4" max="16384" width="9.140625" style="14"/>
  </cols>
  <sheetData>
    <row r="1" spans="2:16" s="5" customFormat="1" ht="13.5" thickBot="1"/>
    <row r="2" spans="2:16" s="23" customFormat="1" ht="15.75" thickBot="1">
      <c r="B2" s="16" t="s">
        <v>10</v>
      </c>
      <c r="C2" s="627" t="str">
        <f>"IC"&amp;C15&amp;"-"&amp;C23&amp;"-"&amp;C22&amp;C8</f>
        <v>IC13C-241217-10KansasROAR-2Carbon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>
      <c r="B4" s="28" t="s">
        <v>362</v>
      </c>
      <c r="D4" s="29"/>
      <c r="E4" s="29"/>
      <c r="F4" s="29"/>
      <c r="G4" s="29"/>
      <c r="H4" s="29"/>
    </row>
    <row r="5" spans="2:16" ht="13.5" thickBot="1"/>
    <row r="6" spans="2:16" ht="13.5" thickTop="1">
      <c r="B6" s="36" t="s">
        <v>360</v>
      </c>
      <c r="C6" s="620" t="s">
        <v>363</v>
      </c>
      <c r="D6" s="15"/>
      <c r="E6" s="13"/>
      <c r="F6" s="15"/>
      <c r="G6" s="15"/>
      <c r="H6" s="15"/>
      <c r="I6" s="15"/>
    </row>
    <row r="7" spans="2:16" ht="25.5">
      <c r="B7" s="37" t="s">
        <v>20</v>
      </c>
      <c r="C7" s="649" t="s">
        <v>401</v>
      </c>
      <c r="D7" s="13"/>
      <c r="E7" s="15"/>
      <c r="F7" s="15"/>
      <c r="G7" s="15"/>
      <c r="H7" s="15"/>
      <c r="I7" s="15"/>
    </row>
    <row r="8" spans="2:16">
      <c r="B8" s="37" t="s">
        <v>150</v>
      </c>
      <c r="C8" s="619" t="s">
        <v>404</v>
      </c>
      <c r="D8" s="13"/>
      <c r="E8" s="15"/>
      <c r="F8" s="15"/>
      <c r="G8" s="15"/>
      <c r="H8" s="15"/>
      <c r="I8" s="15"/>
    </row>
    <row r="9" spans="2:16">
      <c r="B9" s="37" t="s">
        <v>23</v>
      </c>
      <c r="C9" s="619" t="s">
        <v>272</v>
      </c>
      <c r="D9" s="15"/>
      <c r="E9" s="15"/>
      <c r="F9" s="15"/>
      <c r="G9" s="15"/>
      <c r="H9" s="15"/>
      <c r="I9" s="15"/>
    </row>
    <row r="10" spans="2:16" ht="15">
      <c r="B10" s="37" t="s">
        <v>16</v>
      </c>
      <c r="C10" s="624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5">
      <c r="B11" s="37" t="s">
        <v>19</v>
      </c>
      <c r="C11" s="624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5">
      <c r="B12" s="37" t="s">
        <v>17</v>
      </c>
      <c r="C12" s="624" t="str">
        <f>VLOOKUP($C$9,Table1[],6)</f>
        <v>compton.jana@epa.gov</v>
      </c>
      <c r="D12" s="15"/>
      <c r="E12" s="15"/>
      <c r="F12" s="15"/>
      <c r="G12" s="15"/>
      <c r="H12" s="15"/>
      <c r="I12" s="15"/>
      <c r="J12" s="577"/>
    </row>
    <row r="13" spans="2:16" ht="15">
      <c r="B13" s="37" t="s">
        <v>18</v>
      </c>
      <c r="C13" s="624">
        <f>VLOOKUP($C$9,Table1[],7)</f>
        <v>4620</v>
      </c>
      <c r="D13" s="15"/>
      <c r="E13" s="15"/>
      <c r="F13" s="15"/>
      <c r="G13" s="15"/>
      <c r="H13" s="15"/>
      <c r="I13" s="15"/>
    </row>
    <row r="14" spans="2:16">
      <c r="B14" s="37" t="s">
        <v>29</v>
      </c>
      <c r="C14" s="625" t="s">
        <v>325</v>
      </c>
      <c r="D14" s="15"/>
      <c r="E14" s="15"/>
      <c r="F14" s="15"/>
      <c r="G14" s="15"/>
      <c r="H14" s="15"/>
      <c r="I14" s="15"/>
    </row>
    <row r="15" spans="2:16">
      <c r="B15" s="37" t="s">
        <v>177</v>
      </c>
      <c r="C15" s="619" t="s">
        <v>321</v>
      </c>
      <c r="D15" s="15"/>
      <c r="E15" s="15"/>
      <c r="F15" s="15"/>
      <c r="G15" s="15"/>
      <c r="H15" s="15"/>
      <c r="I15" s="15"/>
    </row>
    <row r="16" spans="2:16">
      <c r="B16" s="37" t="s">
        <v>332</v>
      </c>
      <c r="C16" s="619"/>
      <c r="D16" s="15"/>
      <c r="E16" s="15"/>
      <c r="F16" s="15"/>
      <c r="G16" s="15"/>
      <c r="H16" s="15"/>
      <c r="I16" s="15"/>
    </row>
    <row r="17" spans="2:9">
      <c r="B17" s="37" t="s">
        <v>331</v>
      </c>
      <c r="C17" s="619"/>
      <c r="D17" s="15"/>
      <c r="E17" s="15"/>
      <c r="F17" s="15"/>
      <c r="G17" s="15"/>
      <c r="H17" s="15"/>
      <c r="I17" s="15"/>
    </row>
    <row r="18" spans="2:9">
      <c r="B18" s="37" t="s">
        <v>333</v>
      </c>
      <c r="C18" s="619"/>
      <c r="D18" s="15"/>
      <c r="E18" s="15"/>
      <c r="F18" s="15"/>
      <c r="G18" s="15"/>
      <c r="H18" s="15"/>
      <c r="I18" s="15"/>
    </row>
    <row r="19" spans="2:9">
      <c r="B19" s="37" t="s">
        <v>153</v>
      </c>
      <c r="C19" s="619" t="s">
        <v>402</v>
      </c>
      <c r="D19" s="15"/>
      <c r="E19" s="15"/>
      <c r="F19" s="15"/>
      <c r="G19" s="15"/>
      <c r="H19" s="15"/>
      <c r="I19" s="15"/>
    </row>
    <row r="20" spans="2:9">
      <c r="B20" s="37" t="s">
        <v>71</v>
      </c>
      <c r="C20" s="619" t="s">
        <v>318</v>
      </c>
      <c r="D20" s="15"/>
      <c r="E20" s="15"/>
      <c r="F20" s="15"/>
      <c r="G20" s="15"/>
      <c r="H20" s="15"/>
      <c r="I20" s="15"/>
    </row>
    <row r="21" spans="2:9">
      <c r="B21" s="37" t="s">
        <v>72</v>
      </c>
      <c r="C21" s="619" t="s">
        <v>318</v>
      </c>
      <c r="D21" s="15"/>
      <c r="E21" s="15"/>
      <c r="F21" s="15"/>
      <c r="G21" s="15"/>
      <c r="H21" s="15"/>
      <c r="I21" s="15"/>
    </row>
    <row r="22" spans="2:9" ht="15">
      <c r="B22" s="37" t="s">
        <v>151</v>
      </c>
      <c r="C22" s="624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6" t="s">
        <v>405</v>
      </c>
      <c r="D23" s="15"/>
      <c r="E23" s="15"/>
      <c r="F23" s="15"/>
      <c r="G23" s="15"/>
      <c r="H23" s="15"/>
      <c r="I23" s="15"/>
    </row>
    <row r="24" spans="2:9" ht="13.5" thickTop="1">
      <c r="C24" s="5"/>
    </row>
    <row r="26" spans="2:9">
      <c r="B26" s="13" t="s">
        <v>27</v>
      </c>
    </row>
    <row r="27" spans="2:9">
      <c r="B27" s="15" t="s">
        <v>73</v>
      </c>
      <c r="C27" s="13"/>
    </row>
    <row r="28" spans="2:9">
      <c r="B28" s="15" t="s">
        <v>163</v>
      </c>
      <c r="C28" s="15"/>
    </row>
    <row r="29" spans="2:9">
      <c r="B29" s="15" t="s">
        <v>361</v>
      </c>
      <c r="C29" s="15"/>
    </row>
    <row r="30" spans="2:9">
      <c r="B30" s="15" t="s">
        <v>329</v>
      </c>
      <c r="C30" s="15"/>
    </row>
    <row r="31" spans="2:9">
      <c r="B31" s="15" t="s">
        <v>330</v>
      </c>
      <c r="C31" s="15"/>
    </row>
    <row r="32" spans="2:9">
      <c r="B32" s="15" t="s">
        <v>154</v>
      </c>
      <c r="C32" s="15"/>
    </row>
    <row r="33" spans="2:4" ht="13.5" thickBot="1">
      <c r="C33" s="15"/>
    </row>
    <row r="34" spans="2:4" s="5" customFormat="1" ht="13.5" thickTop="1">
      <c r="B34" s="651" t="s">
        <v>98</v>
      </c>
      <c r="C34" s="652"/>
      <c r="D34" s="653"/>
    </row>
    <row r="35" spans="2:4">
      <c r="B35" s="34" t="s">
        <v>100</v>
      </c>
      <c r="C35" s="656" t="s">
        <v>99</v>
      </c>
      <c r="D35" s="657"/>
    </row>
    <row r="36" spans="2:4">
      <c r="B36" s="35" t="s">
        <v>105</v>
      </c>
      <c r="C36" s="658" t="s">
        <v>104</v>
      </c>
      <c r="D36" s="659"/>
    </row>
    <row r="37" spans="2:4">
      <c r="B37" s="35" t="s">
        <v>120</v>
      </c>
      <c r="C37" s="658" t="s">
        <v>122</v>
      </c>
      <c r="D37" s="659"/>
    </row>
    <row r="38" spans="2:4">
      <c r="B38" s="48" t="s">
        <v>121</v>
      </c>
      <c r="C38" s="658" t="s">
        <v>106</v>
      </c>
      <c r="D38" s="659"/>
    </row>
    <row r="39" spans="2:4">
      <c r="B39" s="642" t="s">
        <v>146</v>
      </c>
      <c r="C39" s="660" t="s">
        <v>108</v>
      </c>
      <c r="D39" s="661"/>
    </row>
    <row r="40" spans="2:4">
      <c r="B40" s="643" t="s">
        <v>101</v>
      </c>
      <c r="C40" s="664" t="s">
        <v>107</v>
      </c>
      <c r="D40" s="665"/>
    </row>
    <row r="41" spans="2:4" ht="14.25">
      <c r="B41" s="435" t="s">
        <v>102</v>
      </c>
      <c r="C41" s="666" t="s">
        <v>147</v>
      </c>
      <c r="D41" s="667"/>
    </row>
    <row r="42" spans="2:4" ht="14.25">
      <c r="B42" s="435" t="s">
        <v>103</v>
      </c>
      <c r="C42" s="666" t="s">
        <v>148</v>
      </c>
      <c r="D42" s="667"/>
    </row>
    <row r="43" spans="2:4" ht="14.25">
      <c r="B43" s="435" t="s">
        <v>178</v>
      </c>
      <c r="C43" s="668" t="s">
        <v>179</v>
      </c>
      <c r="D43" s="669"/>
    </row>
    <row r="44" spans="2:4">
      <c r="B44" s="644" t="s">
        <v>339</v>
      </c>
      <c r="C44" s="654" t="s">
        <v>341</v>
      </c>
      <c r="D44" s="655"/>
    </row>
    <row r="45" spans="2:4" ht="13.5" thickBot="1">
      <c r="B45" s="645" t="s">
        <v>340</v>
      </c>
      <c r="C45" s="662" t="s">
        <v>342</v>
      </c>
      <c r="D45" s="663"/>
    </row>
    <row r="46" spans="2:4" ht="13.5" thickTop="1">
      <c r="B46" s="47"/>
      <c r="C46" s="29"/>
    </row>
  </sheetData>
  <protectedRanges>
    <protectedRange password="94AB" sqref="C6:C23" name="Cover data_1_1_1"/>
  </protectedRanges>
  <mergeCells count="12">
    <mergeCell ref="C45:D45"/>
    <mergeCell ref="C40:D40"/>
    <mergeCell ref="C41:D41"/>
    <mergeCell ref="C42:D42"/>
    <mergeCell ref="C43:D43"/>
    <mergeCell ref="B34:D34"/>
    <mergeCell ref="C44:D44"/>
    <mergeCell ref="C35:D35"/>
    <mergeCell ref="C36:D36"/>
    <mergeCell ref="C37:D37"/>
    <mergeCell ref="C38:D38"/>
    <mergeCell ref="C39:D39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workbookViewId="0">
      <selection activeCell="K19" sqref="K19"/>
    </sheetView>
  </sheetViews>
  <sheetFormatPr defaultColWidth="11.42578125" defaultRowHeight="12.75"/>
  <cols>
    <col min="1" max="1" width="8.28515625" style="15" customWidth="1"/>
    <col min="2" max="2" width="26" style="411" customWidth="1"/>
    <col min="3" max="3" width="19.140625" style="411" customWidth="1"/>
    <col min="4" max="4" width="12.5703125" style="411" customWidth="1"/>
    <col min="5" max="6" width="10.85546875" style="411" customWidth="1"/>
    <col min="7" max="8" width="12.7109375" style="411" customWidth="1"/>
    <col min="9" max="9" width="29.7109375" style="412" bestFit="1" customWidth="1"/>
    <col min="10" max="11" width="11.42578125" style="15" customWidth="1"/>
    <col min="12" max="12" width="9.5703125" style="15" customWidth="1"/>
    <col min="13" max="13" width="13" style="15" customWidth="1"/>
    <col min="14" max="14" width="9.28515625" style="15" customWidth="1"/>
    <col min="15" max="15" width="12.42578125" style="15" customWidth="1"/>
    <col min="16" max="16" width="11.140625" style="15" customWidth="1"/>
    <col min="17" max="17" width="7.7109375" style="15" customWidth="1"/>
    <col min="18" max="18" width="7.42578125" style="15" customWidth="1"/>
    <col min="19" max="19" width="6.85546875" style="15" customWidth="1"/>
    <col min="20" max="16384" width="11.42578125" style="15"/>
  </cols>
  <sheetData>
    <row r="1" spans="1:17" ht="13.5" thickBot="1"/>
    <row r="2" spans="1:17" s="23" customFormat="1" ht="13.5" thickTop="1">
      <c r="A2" s="408"/>
      <c r="B2" s="438" t="s">
        <v>10</v>
      </c>
      <c r="C2" s="670" t="str">
        <f>COVER!C2</f>
        <v>IC13C-241217-10KansasROAR-2Carbon</v>
      </c>
      <c r="D2" s="671"/>
      <c r="E2" s="576"/>
      <c r="F2" s="409"/>
      <c r="G2" s="409"/>
      <c r="H2" s="428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4.25">
      <c r="A3" s="414" t="s">
        <v>66</v>
      </c>
      <c r="B3" s="436" t="s">
        <v>21</v>
      </c>
      <c r="C3" s="650" t="s">
        <v>161</v>
      </c>
      <c r="D3" s="437" t="s">
        <v>67</v>
      </c>
      <c r="E3" s="437" t="s">
        <v>181</v>
      </c>
      <c r="F3" s="680" t="s">
        <v>68</v>
      </c>
      <c r="G3" s="680" t="s">
        <v>182</v>
      </c>
      <c r="H3" s="680" t="s">
        <v>252</v>
      </c>
      <c r="I3" s="594"/>
      <c r="J3" s="23"/>
    </row>
    <row r="4" spans="1:17" s="22" customFormat="1">
      <c r="A4" s="417" t="s">
        <v>74</v>
      </c>
      <c r="B4" s="572" t="s">
        <v>364</v>
      </c>
      <c r="C4" s="572">
        <v>25</v>
      </c>
      <c r="D4" s="415">
        <f>IF(COUNT('ISIRF RAW'!M12,'ISIRF RAW'!M56)=0,"",AVERAGE('ISIRF RAW'!M12,'ISIRF RAW'!M56))</f>
        <v>1.3862741683499999</v>
      </c>
      <c r="E4" s="415">
        <f>IF(COUNT('ISIRF RAW'!O12,'ISIRF RAW'!O56)=0,"",AVERAGE('ISIRF RAW'!O12,'ISIRF RAW'!O56))</f>
        <v>-17.471787851166283</v>
      </c>
      <c r="F4" s="681">
        <f>IF(COUNT('ISIRF RAW'!J12,'ISIRF RAW'!J56)=0,"",AVERAGE('ISIRF RAW'!J12,'ISIRF RAW'!J56))</f>
        <v>0.2672195724440582</v>
      </c>
      <c r="G4" s="681">
        <f>IF(COUNT('ISIRF RAW'!L12,'ISIRF RAW'!L56)=0,"", AVERAGE('ISIRF RAW'!L12,'ISIRF RAW'!L56))</f>
        <v>6.0605288399874118</v>
      </c>
      <c r="H4" s="682">
        <f t="shared" ref="H4" si="0">D4/F4</f>
        <v>5.1877718225157823</v>
      </c>
      <c r="I4" s="592"/>
    </row>
    <row r="5" spans="1:17" s="22" customFormat="1">
      <c r="A5" s="416">
        <v>2</v>
      </c>
      <c r="B5" s="572" t="s">
        <v>365</v>
      </c>
      <c r="C5" s="572">
        <v>25</v>
      </c>
      <c r="D5" s="415">
        <f>IF(COUNT('ISIRF RAW'!M13)=0,"",'ISIRF RAW'!M13)</f>
        <v>1.7450286939999999</v>
      </c>
      <c r="E5" s="415">
        <f>IF(COUNT('ISIRF RAW'!O13)=0,"",'ISIRF RAW'!O13)</f>
        <v>-18.781622710631147</v>
      </c>
      <c r="F5" s="681">
        <f>IF(COUNT('ISIRF RAW'!J13)=0,"",'ISIRF RAW'!J13)</f>
        <v>0.29409311363149526</v>
      </c>
      <c r="G5" s="681">
        <f>IF(COUNT('ISIRF RAW'!L13)=0,"",'ISIRF RAW'!L13)</f>
        <v>5.7295900750721191</v>
      </c>
      <c r="H5" s="682">
        <f t="shared" ref="H5:H39" si="1">D5/F5</f>
        <v>5.933592502225526</v>
      </c>
      <c r="I5" s="592"/>
    </row>
    <row r="6" spans="1:17" s="22" customFormat="1">
      <c r="A6" s="416">
        <v>3</v>
      </c>
      <c r="B6" s="572" t="s">
        <v>366</v>
      </c>
      <c r="C6" s="572">
        <v>25</v>
      </c>
      <c r="D6" s="415">
        <f>IF(COUNT('ISIRF RAW'!M14)=0,"",'ISIRF RAW'!M14)</f>
        <v>1.8352844398999999</v>
      </c>
      <c r="E6" s="415">
        <f>IF(COUNT('ISIRF RAW'!O14)=0,"",'ISIRF RAW'!O14)</f>
        <v>-18.870243414547694</v>
      </c>
      <c r="F6" s="681">
        <f>IF(COUNT('ISIRF RAW'!J14)=0,"",'ISIRF RAW'!J14)</f>
        <v>0.30468176093309884</v>
      </c>
      <c r="G6" s="681">
        <f>IF(COUNT('ISIRF RAW'!L14)=0,"",'ISIRF RAW'!L14)</f>
        <v>5.6231815680061388</v>
      </c>
      <c r="H6" s="682">
        <f t="shared" si="1"/>
        <v>6.023611109110619</v>
      </c>
      <c r="I6" s="592"/>
    </row>
    <row r="7" spans="1:17" s="22" customFormat="1">
      <c r="A7" s="416">
        <v>4</v>
      </c>
      <c r="B7" s="572" t="s">
        <v>367</v>
      </c>
      <c r="C7" s="572">
        <v>25</v>
      </c>
      <c r="D7" s="415">
        <f>IF(COUNT('ISIRF RAW'!M15)=0,"",'ISIRF RAW'!M15)</f>
        <v>1.5222667692</v>
      </c>
      <c r="E7" s="415">
        <f>IF(COUNT('ISIRF RAW'!O15)=0,"",'ISIRF RAW'!O15)</f>
        <v>-17.889308004038966</v>
      </c>
      <c r="F7" s="681">
        <f>IF(COUNT('ISIRF RAW'!J15)=0,"",'ISIRF RAW'!J15)</f>
        <v>0.27825718499367991</v>
      </c>
      <c r="G7" s="681">
        <f>IF(COUNT('ISIRF RAW'!L15)=0,"",'ISIRF RAW'!L15)</f>
        <v>6.4103226003328597</v>
      </c>
      <c r="H7" s="682">
        <f t="shared" si="1"/>
        <v>5.4707186419447735</v>
      </c>
      <c r="I7" s="592"/>
    </row>
    <row r="8" spans="1:17" s="22" customFormat="1">
      <c r="A8" s="416">
        <v>5</v>
      </c>
      <c r="B8" s="572" t="s">
        <v>368</v>
      </c>
      <c r="C8" s="572">
        <v>25</v>
      </c>
      <c r="D8" s="415">
        <f>IF(COUNT('ISIRF RAW'!M16)=0,"",'ISIRF RAW'!M16)</f>
        <v>1.5794151163999999</v>
      </c>
      <c r="E8" s="415">
        <f>IF(COUNT('ISIRF RAW'!O16)=0,"",'ISIRF RAW'!O16)</f>
        <v>-17.77448853133626</v>
      </c>
      <c r="F8" s="681">
        <f>IF(COUNT('ISIRF RAW'!J16)=0,"",'ISIRF RAW'!J16)</f>
        <v>0.27673449954773621</v>
      </c>
      <c r="G8" s="681">
        <f>IF(COUNT('ISIRF RAW'!L16)=0,"",'ISIRF RAW'!L16)</f>
        <v>6.3555346296405038</v>
      </c>
      <c r="H8" s="682">
        <f t="shared" si="1"/>
        <v>5.7073300184155515</v>
      </c>
      <c r="I8" s="592"/>
    </row>
    <row r="9" spans="1:17" s="22" customFormat="1">
      <c r="A9" s="416">
        <v>6</v>
      </c>
      <c r="B9" s="572" t="s">
        <v>369</v>
      </c>
      <c r="C9" s="572">
        <v>25</v>
      </c>
      <c r="D9" s="415">
        <f>IF(COUNT('ISIRF RAW'!M17)=0,"",'ISIRF RAW'!M17)</f>
        <v>1.4097047507999998</v>
      </c>
      <c r="E9" s="415">
        <f>IF(COUNT('ISIRF RAW'!O17)=0,"",'ISIRF RAW'!O17)</f>
        <v>-18.082669827082629</v>
      </c>
      <c r="F9" s="681">
        <f>IF(COUNT('ISIRF RAW'!J17)=0,"",'ISIRF RAW'!J17)</f>
        <v>0.26290405905823705</v>
      </c>
      <c r="G9" s="681">
        <f>IF(COUNT('ISIRF RAW'!L17)=0,"",'ISIRF RAW'!L17)</f>
        <v>6.6200749070613725</v>
      </c>
      <c r="H9" s="682">
        <f t="shared" si="1"/>
        <v>5.3620501556719207</v>
      </c>
      <c r="I9" s="592"/>
    </row>
    <row r="10" spans="1:17" s="22" customFormat="1">
      <c r="A10" s="416">
        <v>7</v>
      </c>
      <c r="B10" s="572" t="s">
        <v>370</v>
      </c>
      <c r="C10" s="572">
        <v>25</v>
      </c>
      <c r="D10" s="415">
        <f>IF(COUNT('ISIRF RAW'!M18)=0,"",'ISIRF RAW'!M18)</f>
        <v>1.9656831719999999</v>
      </c>
      <c r="E10" s="415">
        <f>IF(COUNT('ISIRF RAW'!O18)=0,"",'ISIRF RAW'!O18)</f>
        <v>-19.446888862168908</v>
      </c>
      <c r="F10" s="681">
        <f>IF(COUNT('ISIRF RAW'!J18)=0,"",'ISIRF RAW'!J18)</f>
        <v>0.30724763033767294</v>
      </c>
      <c r="G10" s="681">
        <f>IF(COUNT('ISIRF RAW'!L18)=0,"",'ISIRF RAW'!L18)</f>
        <v>7.1923193847437137</v>
      </c>
      <c r="H10" s="682">
        <f t="shared" si="1"/>
        <v>6.3977162975664426</v>
      </c>
      <c r="I10" s="592"/>
    </row>
    <row r="11" spans="1:17" s="22" customFormat="1">
      <c r="A11" s="416">
        <v>8</v>
      </c>
      <c r="B11" s="572" t="s">
        <v>371</v>
      </c>
      <c r="C11" s="572">
        <v>25</v>
      </c>
      <c r="D11" s="415">
        <f>IF(COUNT('ISIRF RAW'!M19)=0,"",'ISIRF RAW'!M19)</f>
        <v>1.4423978572</v>
      </c>
      <c r="E11" s="415">
        <f>IF(COUNT('ISIRF RAW'!O19)=0,"",'ISIRF RAW'!O19)</f>
        <v>-18.435244699829603</v>
      </c>
      <c r="F11" s="681">
        <f>IF(COUNT('ISIRF RAW'!J19)=0,"",'ISIRF RAW'!J19)</f>
        <v>0.27709515729292722</v>
      </c>
      <c r="G11" s="681">
        <f>IF(COUNT('ISIRF RAW'!L19)=0,"",'ISIRF RAW'!L19)</f>
        <v>6.4322414267701795</v>
      </c>
      <c r="H11" s="682">
        <f t="shared" si="1"/>
        <v>5.2054242711834533</v>
      </c>
      <c r="I11" s="592"/>
    </row>
    <row r="12" spans="1:17" s="22" customFormat="1">
      <c r="A12" s="416">
        <v>9</v>
      </c>
      <c r="B12" s="572" t="s">
        <v>372</v>
      </c>
      <c r="C12" s="572">
        <v>25</v>
      </c>
      <c r="D12" s="415">
        <f>IF(COUNT('ISIRF RAW'!M20)=0,"",'ISIRF RAW'!M20)</f>
        <v>1.6757892859999999</v>
      </c>
      <c r="E12" s="415">
        <f>IF(COUNT('ISIRF RAW'!O20)=0,"",'ISIRF RAW'!O20)</f>
        <v>-20.546577855733478</v>
      </c>
      <c r="F12" s="681">
        <f>IF(COUNT('ISIRF RAW'!J20)=0,"",'ISIRF RAW'!J20)</f>
        <v>0.28608354059470154</v>
      </c>
      <c r="G12" s="681">
        <f>IF(COUNT('ISIRF RAW'!L20)=0,"",'ISIRF RAW'!L20)</f>
        <v>6.2011847312338819</v>
      </c>
      <c r="H12" s="682">
        <f t="shared" si="1"/>
        <v>5.8576920661580925</v>
      </c>
      <c r="I12" s="592"/>
    </row>
    <row r="13" spans="1:17" s="22" customFormat="1">
      <c r="A13" s="416">
        <v>10</v>
      </c>
      <c r="B13" s="572" t="s">
        <v>373</v>
      </c>
      <c r="C13" s="572">
        <v>25</v>
      </c>
      <c r="D13" s="415">
        <f>IF(COUNT('ISIRF RAW'!M22)=0,"",'ISIRF RAW'!M22)</f>
        <v>1.3690090672999999</v>
      </c>
      <c r="E13" s="415">
        <f>IF(COUNT('ISIRF RAW'!O22)=0,"",'ISIRF RAW'!O22)</f>
        <v>-16.522343643837242</v>
      </c>
      <c r="F13" s="681">
        <f>IF(COUNT('ISIRF RAW'!J22)=0,"",'ISIRF RAW'!J22)</f>
        <v>0.26615823180260362</v>
      </c>
      <c r="G13" s="681">
        <f>IF(COUNT('ISIRF RAW'!L22)=0,"",'ISIRF RAW'!L22)</f>
        <v>6.4214736248543733</v>
      </c>
      <c r="H13" s="682">
        <f t="shared" si="1"/>
        <v>5.1435909309591681</v>
      </c>
      <c r="I13" s="592"/>
    </row>
    <row r="14" spans="1:17" s="22" customFormat="1">
      <c r="A14" s="416">
        <v>11</v>
      </c>
      <c r="B14" s="572" t="s">
        <v>374</v>
      </c>
      <c r="C14" s="572">
        <v>25</v>
      </c>
      <c r="D14" s="415">
        <f>IF(COUNT('ISIRF RAW'!M23)=0,"",'ISIRF RAW'!M23)</f>
        <v>1.6047367724999999</v>
      </c>
      <c r="E14" s="415">
        <f>IF(COUNT('ISIRF RAW'!O23)=0,"",'ISIRF RAW'!O23)</f>
        <v>-18.475438065682287</v>
      </c>
      <c r="F14" s="681">
        <f>IF(COUNT('ISIRF RAW'!J23)=0,"",'ISIRF RAW'!J23)</f>
        <v>0.28517900766854742</v>
      </c>
      <c r="G14" s="681">
        <f>IF(COUNT('ISIRF RAW'!L23)=0,"",'ISIRF RAW'!L23)</f>
        <v>6.7513755182802413</v>
      </c>
      <c r="H14" s="682">
        <f t="shared" si="1"/>
        <v>5.627120963844308</v>
      </c>
      <c r="I14" s="592"/>
    </row>
    <row r="15" spans="1:17" s="22" customFormat="1">
      <c r="A15" s="416">
        <v>12</v>
      </c>
      <c r="B15" s="572" t="s">
        <v>375</v>
      </c>
      <c r="C15" s="572">
        <v>25</v>
      </c>
      <c r="D15" s="415">
        <f>IF(COUNT('ISIRF RAW'!M24)=0,"",'ISIRF RAW'!M24)</f>
        <v>2.0068365147000002</v>
      </c>
      <c r="E15" s="415">
        <f>IF(COUNT('ISIRF RAW'!O24)=0,"",'ISIRF RAW'!O24)</f>
        <v>-20.603119490266096</v>
      </c>
      <c r="F15" s="681">
        <f>IF(COUNT('ISIRF RAW'!J24)=0,"",'ISIRF RAW'!J24)</f>
        <v>0.31342502901674563</v>
      </c>
      <c r="G15" s="681">
        <f>IF(COUNT('ISIRF RAW'!L24)=0,"",'ISIRF RAW'!L24)</f>
        <v>6.0225034926508165</v>
      </c>
      <c r="H15" s="682">
        <f t="shared" si="1"/>
        <v>6.4029235986535689</v>
      </c>
      <c r="I15" s="592"/>
    </row>
    <row r="16" spans="1:17" s="22" customFormat="1">
      <c r="A16" s="416">
        <v>13</v>
      </c>
      <c r="B16" s="572" t="s">
        <v>376</v>
      </c>
      <c r="C16" s="572">
        <v>25</v>
      </c>
      <c r="D16" s="415">
        <f>IF(COUNT('ISIRF RAW'!M25)=0,"",'ISIRF RAW'!M25)</f>
        <v>3.0170952085000002</v>
      </c>
      <c r="E16" s="415">
        <f>IF(COUNT('ISIRF RAW'!O25)=0,"",'ISIRF RAW'!O25)</f>
        <v>-21.274861208083813</v>
      </c>
      <c r="F16" s="681">
        <f>IF(COUNT('ISIRF RAW'!J25)=0,"",'ISIRF RAW'!J25)</f>
        <v>0.41118721177268935</v>
      </c>
      <c r="G16" s="681">
        <f>IF(COUNT('ISIRF RAW'!L25)=0,"",'ISIRF RAW'!L25)</f>
        <v>7.3479342607015425</v>
      </c>
      <c r="H16" s="682">
        <f t="shared" si="1"/>
        <v>7.337521990270206</v>
      </c>
      <c r="I16" s="592"/>
    </row>
    <row r="17" spans="1:9" s="22" customFormat="1">
      <c r="A17" s="417" t="s">
        <v>162</v>
      </c>
      <c r="B17" s="572" t="s">
        <v>377</v>
      </c>
      <c r="C17" s="572">
        <v>25</v>
      </c>
      <c r="D17" s="415">
        <f>IF(COUNT('ISIRF RAW'!M26,'ISIRF RAW'!M27)=0,"",AVERAGE('ISIRF RAW'!M26,'ISIRF RAW'!M27))</f>
        <v>2.4549079389999999</v>
      </c>
      <c r="E17" s="415">
        <f>IF(COUNT('ISIRF RAW'!O26,'ISIRF RAW'!O27)=0,"",AVERAGE('ISIRF RAW'!O26,'ISIRF RAW'!O27))</f>
        <v>-19.927058176502786</v>
      </c>
      <c r="F17" s="681">
        <f>IF(COUNT('ISIRF RAW'!J26,'ISIRF RAW'!J27)=0,"",AVERAGE('ISIRF RAW'!J26,'ISIRF RAW'!J27))</f>
        <v>0.35917491791129708</v>
      </c>
      <c r="G17" s="681">
        <f>IF(COUNT('ISIRF RAW'!L26,'ISIRF RAW'!L27)=0,"", AVERAGE('ISIRF RAW'!L26,'ISIRF RAW'!L27))</f>
        <v>7.6324035801510615</v>
      </c>
      <c r="H17" s="682">
        <f t="shared" si="1"/>
        <v>6.8348534838567749</v>
      </c>
      <c r="I17" s="592"/>
    </row>
    <row r="18" spans="1:9" s="22" customFormat="1">
      <c r="A18" s="416">
        <v>15</v>
      </c>
      <c r="B18" s="572" t="s">
        <v>378</v>
      </c>
      <c r="C18" s="572">
        <v>25</v>
      </c>
      <c r="D18" s="415">
        <f>IF(COUNT('ISIRF RAW'!M28)=0,"",'ISIRF RAW'!M28)</f>
        <v>2.2697903288000001</v>
      </c>
      <c r="E18" s="415">
        <f>IF(COUNT('ISIRF RAW'!O28)=0,"",'ISIRF RAW'!O28)</f>
        <v>-20.688374629746104</v>
      </c>
      <c r="F18" s="681">
        <f>IF(COUNT('ISIRF RAW'!J28)=0,"",'ISIRF RAW'!J28)</f>
        <v>0.34674914442938409</v>
      </c>
      <c r="G18" s="681">
        <f>IF(COUNT('ISIRF RAW'!L28)=0,"",'ISIRF RAW'!L28)</f>
        <v>7.2364689810971683</v>
      </c>
      <c r="H18" s="682">
        <f t="shared" si="1"/>
        <v>6.5459147203815116</v>
      </c>
      <c r="I18" s="592"/>
    </row>
    <row r="19" spans="1:9" s="22" customFormat="1">
      <c r="A19" s="416">
        <v>16</v>
      </c>
      <c r="B19" s="572" t="s">
        <v>379</v>
      </c>
      <c r="C19" s="572">
        <v>25</v>
      </c>
      <c r="D19" s="415">
        <f>IF(COUNT('ISIRF RAW'!M29)=0,"",'ISIRF RAW'!M29)</f>
        <v>1.9642898949999998</v>
      </c>
      <c r="E19" s="415">
        <f>IF(COUNT('ISIRF RAW'!O29)=0,"",'ISIRF RAW'!O29)</f>
        <v>-21.11734036572134</v>
      </c>
      <c r="F19" s="681">
        <f>IF(COUNT('ISIRF RAW'!J29)=0,"",'ISIRF RAW'!J29)</f>
        <v>0.32686097430669941</v>
      </c>
      <c r="G19" s="681">
        <f>IF(COUNT('ISIRF RAW'!L29)=0,"",'ISIRF RAW'!L29)</f>
        <v>7.3253977454522499</v>
      </c>
      <c r="H19" s="682">
        <f t="shared" ref="H19" si="2">D19/F19</f>
        <v>6.0095577306725882</v>
      </c>
      <c r="I19" s="592"/>
    </row>
    <row r="20" spans="1:9" s="22" customFormat="1">
      <c r="A20" s="416">
        <v>17</v>
      </c>
      <c r="B20" s="572" t="s">
        <v>380</v>
      </c>
      <c r="C20" s="572">
        <v>25</v>
      </c>
      <c r="D20" s="415">
        <f>IF(COUNT('ISIRF RAW'!M30)=0,"",'ISIRF RAW'!M30)</f>
        <v>2.3169458349999998</v>
      </c>
      <c r="E20" s="415">
        <f>IF(COUNT('ISIRF RAW'!O30)=0,"",'ISIRF RAW'!O30)</f>
        <v>-20.555613833743791</v>
      </c>
      <c r="F20" s="681">
        <f>IF(COUNT('ISIRF RAW'!J30)=0,"",'ISIRF RAW'!J30)</f>
        <v>0.33726805478006039</v>
      </c>
      <c r="G20" s="681">
        <f>IF(COUNT('ISIRF RAW'!L30)=0,"",'ISIRF RAW'!L30)</f>
        <v>7.0404080846404558</v>
      </c>
      <c r="H20" s="682">
        <f t="shared" si="1"/>
        <v>6.8697458954745327</v>
      </c>
      <c r="I20" s="592"/>
    </row>
    <row r="21" spans="1:9" s="22" customFormat="1">
      <c r="A21" s="416">
        <v>18</v>
      </c>
      <c r="B21" s="572" t="s">
        <v>381</v>
      </c>
      <c r="C21" s="572">
        <v>25</v>
      </c>
      <c r="D21" s="415">
        <f>IF(COUNT('ISIRF RAW'!M31)=0,"",'ISIRF RAW'!M31)</f>
        <v>1.8333504607</v>
      </c>
      <c r="E21" s="415">
        <f>IF(COUNT('ISIRF RAW'!O31)=0,"",'ISIRF RAW'!O31)</f>
        <v>-19.494579249302646</v>
      </c>
      <c r="F21" s="681">
        <f>IF(COUNT('ISIRF RAW'!J31)=0,"",'ISIRF RAW'!J31)</f>
        <v>0.3100685186055514</v>
      </c>
      <c r="G21" s="681">
        <f>IF(COUNT('ISIRF RAW'!L31)=0,"",'ISIRF RAW'!L31)</f>
        <v>6.9100703710502351</v>
      </c>
      <c r="H21" s="682">
        <f t="shared" si="1"/>
        <v>5.9127268674194777</v>
      </c>
      <c r="I21" s="592"/>
    </row>
    <row r="22" spans="1:9" s="22" customFormat="1">
      <c r="A22" s="416">
        <v>19</v>
      </c>
      <c r="B22" s="572" t="s">
        <v>382</v>
      </c>
      <c r="C22" s="572">
        <v>25</v>
      </c>
      <c r="D22" s="415">
        <f>IF(COUNT('ISIRF RAW'!M37)=0,"",'ISIRF RAW'!M37)</f>
        <v>1.0594653620999999</v>
      </c>
      <c r="E22" s="415">
        <f>IF(COUNT('ISIRF RAW'!O37)=0,"",'ISIRF RAW'!O37)</f>
        <v>-14.806120080795573</v>
      </c>
      <c r="F22" s="681">
        <f>IF(COUNT('ISIRF RAW'!J37)=0,"",'ISIRF RAW'!J37)</f>
        <v>0.22489221826188016</v>
      </c>
      <c r="G22" s="681">
        <f>IF(COUNT('ISIRF RAW'!L37)=0,"",'ISIRF RAW'!L37)</f>
        <v>6.6298488984109394</v>
      </c>
      <c r="H22" s="682">
        <f t="shared" si="1"/>
        <v>4.7109916487474219</v>
      </c>
      <c r="I22" s="592"/>
    </row>
    <row r="23" spans="1:9" s="22" customFormat="1">
      <c r="A23" s="416">
        <v>20</v>
      </c>
      <c r="B23" s="572" t="s">
        <v>383</v>
      </c>
      <c r="C23" s="572">
        <v>25</v>
      </c>
      <c r="D23" s="415">
        <f>IF(COUNT('ISIRF RAW'!M38)=0,"",'ISIRF RAW'!M38)</f>
        <v>1.6843556328</v>
      </c>
      <c r="E23" s="415">
        <f>IF(COUNT('ISIRF RAW'!O38)=0,"",'ISIRF RAW'!O38)</f>
        <v>-15.442761946903586</v>
      </c>
      <c r="F23" s="681">
        <f>IF(COUNT('ISIRF RAW'!J38)=0,"",'ISIRF RAW'!J38)</f>
        <v>0.2814205743239252</v>
      </c>
      <c r="G23" s="681">
        <f>IF(COUNT('ISIRF RAW'!L38)=0,"",'ISIRF RAW'!L38)</f>
        <v>5.8335655642268502</v>
      </c>
      <c r="H23" s="682">
        <f t="shared" si="1"/>
        <v>5.9851900908326838</v>
      </c>
      <c r="I23" s="592"/>
    </row>
    <row r="24" spans="1:9" s="22" customFormat="1">
      <c r="A24" s="416">
        <v>21</v>
      </c>
      <c r="B24" s="572" t="s">
        <v>384</v>
      </c>
      <c r="C24" s="572">
        <v>25</v>
      </c>
      <c r="D24" s="415">
        <f>IF(COUNT('ISIRF RAW'!M39)=0,"",'ISIRF RAW'!M39)</f>
        <v>1.0863085504999999</v>
      </c>
      <c r="E24" s="415">
        <f>IF(COUNT('ISIRF RAW'!O39)=0,"",'ISIRF RAW'!O39)</f>
        <v>-16.139673145793623</v>
      </c>
      <c r="F24" s="681">
        <f>IF(COUNT('ISIRF RAW'!J39)=0,"",'ISIRF RAW'!J39)</f>
        <v>0.24584833145613727</v>
      </c>
      <c r="G24" s="681">
        <f>IF(COUNT('ISIRF RAW'!L39)=0,"",'ISIRF RAW'!L39)</f>
        <v>5.9504973904697849</v>
      </c>
      <c r="H24" s="682">
        <f t="shared" si="1"/>
        <v>4.4186126627986173</v>
      </c>
      <c r="I24" s="592"/>
    </row>
    <row r="25" spans="1:9" s="22" customFormat="1">
      <c r="A25" s="416">
        <v>22</v>
      </c>
      <c r="B25" s="572" t="s">
        <v>385</v>
      </c>
      <c r="C25" s="572">
        <v>25</v>
      </c>
      <c r="D25" s="415">
        <f>IF(COUNT('ISIRF RAW'!M40)=0,"",'ISIRF RAW'!M40)</f>
        <v>0.98244205690000008</v>
      </c>
      <c r="E25" s="415">
        <f>IF(COUNT('ISIRF RAW'!O40)=0,"",'ISIRF RAW'!O40)</f>
        <v>-15.894224138582436</v>
      </c>
      <c r="F25" s="681">
        <f>IF(COUNT('ISIRF RAW'!J40)=0,"",'ISIRF RAW'!J40)</f>
        <v>0.23852376054407709</v>
      </c>
      <c r="G25" s="681">
        <f>IF(COUNT('ISIRF RAW'!L40)=0,"",'ISIRF RAW'!L40)</f>
        <v>6.1165863720931206</v>
      </c>
      <c r="H25" s="682">
        <f t="shared" si="1"/>
        <v>4.1188435678652375</v>
      </c>
      <c r="I25" s="592"/>
    </row>
    <row r="26" spans="1:9" s="22" customFormat="1">
      <c r="A26" s="416">
        <v>23</v>
      </c>
      <c r="B26" s="572" t="s">
        <v>386</v>
      </c>
      <c r="C26" s="572">
        <v>25</v>
      </c>
      <c r="D26" s="415">
        <f>IF(COUNT('ISIRF RAW'!M41)=0,"",'ISIRF RAW'!M41)</f>
        <v>1.2235112723999999</v>
      </c>
      <c r="E26" s="415">
        <f>IF(COUNT('ISIRF RAW'!O41)=0,"",'ISIRF RAW'!O41)</f>
        <v>-14.845681100546749</v>
      </c>
      <c r="F26" s="681">
        <f>IF(COUNT('ISIRF RAW'!J41)=0,"",'ISIRF RAW'!J41)</f>
        <v>0.24210062706045671</v>
      </c>
      <c r="G26" s="681">
        <f>IF(COUNT('ISIRF RAW'!L41)=0,"",'ISIRF RAW'!L41)</f>
        <v>6.5899246302923586</v>
      </c>
      <c r="H26" s="682">
        <f t="shared" si="1"/>
        <v>5.053730290811961</v>
      </c>
      <c r="I26" s="592"/>
    </row>
    <row r="27" spans="1:9" s="22" customFormat="1">
      <c r="A27" s="416">
        <v>24</v>
      </c>
      <c r="B27" s="572" t="s">
        <v>387</v>
      </c>
      <c r="C27" s="572">
        <v>25</v>
      </c>
      <c r="D27" s="415">
        <f>IF(COUNT('ISIRF RAW'!M42)=0,"",'ISIRF RAW'!M42)</f>
        <v>1.308093336</v>
      </c>
      <c r="E27" s="415">
        <f>IF(COUNT('ISIRF RAW'!O42)=0,"",'ISIRF RAW'!O42)</f>
        <v>-15.833043279688441</v>
      </c>
      <c r="F27" s="681">
        <f>IF(COUNT('ISIRF RAW'!J42)=0,"",'ISIRF RAW'!J42)</f>
        <v>0.23953475765588261</v>
      </c>
      <c r="G27" s="681">
        <f>IF(COUNT('ISIRF RAW'!L42)=0,"",'ISIRF RAW'!L42)</f>
        <v>7.3345868817882298</v>
      </c>
      <c r="H27" s="682">
        <f t="shared" si="1"/>
        <v>5.4609750534793635</v>
      </c>
      <c r="I27" s="592"/>
    </row>
    <row r="28" spans="1:9" s="22" customFormat="1">
      <c r="A28" s="416">
        <v>25</v>
      </c>
      <c r="B28" s="572" t="s">
        <v>388</v>
      </c>
      <c r="C28" s="572">
        <v>25</v>
      </c>
      <c r="D28" s="415">
        <f>IF(COUNT('ISIRF RAW'!M43)=0,"",'ISIRF RAW'!M43)</f>
        <v>1.3880028467999999</v>
      </c>
      <c r="E28" s="415">
        <f>IF(COUNT('ISIRF RAW'!O43)=0,"",'ISIRF RAW'!O43)</f>
        <v>-16.782798838071443</v>
      </c>
      <c r="F28" s="681">
        <f>IF(COUNT('ISIRF RAW'!J43)=0,"",'ISIRF RAW'!J43)</f>
        <v>0.26414696652793423</v>
      </c>
      <c r="G28" s="681">
        <f>IF(COUNT('ISIRF RAW'!L43)=0,"",'ISIRF RAW'!L43)</f>
        <v>5.9457438190650187</v>
      </c>
      <c r="H28" s="682">
        <f t="shared" si="1"/>
        <v>5.254661316177617</v>
      </c>
      <c r="I28" s="592"/>
    </row>
    <row r="29" spans="1:9" s="22" customFormat="1">
      <c r="A29" s="416">
        <v>26</v>
      </c>
      <c r="B29" s="572" t="s">
        <v>389</v>
      </c>
      <c r="C29" s="572">
        <v>25</v>
      </c>
      <c r="D29" s="415">
        <f>IF(COUNT('ISIRF RAW'!M44)=0,"",'ISIRF RAW'!M44)</f>
        <v>1.1632691121000001</v>
      </c>
      <c r="E29" s="415">
        <f>IF(COUNT('ISIRF RAW'!O44)=0,"",'ISIRF RAW'!O44)</f>
        <v>-17.553878569442318</v>
      </c>
      <c r="F29" s="681">
        <f>IF(COUNT('ISIRF RAW'!J44)=0,"",'ISIRF RAW'!J44)</f>
        <v>0.2548746787310896</v>
      </c>
      <c r="G29" s="681">
        <f>IF(COUNT('ISIRF RAW'!L44)=0,"",'ISIRF RAW'!L44)</f>
        <v>5.493557934342526</v>
      </c>
      <c r="H29" s="682">
        <f t="shared" si="1"/>
        <v>4.564082700923497</v>
      </c>
      <c r="I29" s="592"/>
    </row>
    <row r="30" spans="1:9" s="22" customFormat="1">
      <c r="A30" s="416">
        <v>27</v>
      </c>
      <c r="B30" s="572" t="s">
        <v>390</v>
      </c>
      <c r="C30" s="572">
        <v>25</v>
      </c>
      <c r="D30" s="415">
        <f>IF(COUNT('ISIRF RAW'!M45)=0,"",'ISIRF RAW'!M45)</f>
        <v>1.1463892383000001</v>
      </c>
      <c r="E30" s="415">
        <f>IF(COUNT('ISIRF RAW'!O45)=0,"",'ISIRF RAW'!O45)</f>
        <v>-16.472275505857908</v>
      </c>
      <c r="F30" s="681">
        <f>IF(COUNT('ISIRF RAW'!J45)=0,"",'ISIRF RAW'!J45)</f>
        <v>0.24175812599808993</v>
      </c>
      <c r="G30" s="681">
        <f>IF(COUNT('ISIRF RAW'!L45)=0,"",'ISIRF RAW'!L45)</f>
        <v>5.8611667093594981</v>
      </c>
      <c r="H30" s="682">
        <f t="shared" si="1"/>
        <v>4.7418850289609598</v>
      </c>
      <c r="I30" s="592"/>
    </row>
    <row r="31" spans="1:9" s="22" customFormat="1">
      <c r="A31" s="417">
        <v>28</v>
      </c>
      <c r="B31" s="572" t="s">
        <v>391</v>
      </c>
      <c r="C31" s="572">
        <v>25</v>
      </c>
      <c r="D31" s="415">
        <f>IF(COUNT('ISIRF RAW'!M47)=0,"",'ISIRF RAW'!M47)</f>
        <v>1.1743931833000001</v>
      </c>
      <c r="E31" s="415">
        <f>IF(COUNT('ISIRF RAW'!O47)=0,"",'ISIRF RAW'!O47)</f>
        <v>-15.213865458587817</v>
      </c>
      <c r="F31" s="681">
        <f>IF(COUNT('ISIRF RAW'!J47)=0,"",'ISIRF RAW'!J47)</f>
        <v>0.24976852433864838</v>
      </c>
      <c r="G31" s="681">
        <f>IF(COUNT('ISIRF RAW'!L47)=0,"",'ISIRF RAW'!L47)</f>
        <v>6.1758620099638506</v>
      </c>
      <c r="H31" s="682">
        <f t="shared" si="1"/>
        <v>4.7019262591618647</v>
      </c>
      <c r="I31" s="592"/>
    </row>
    <row r="32" spans="1:9" s="22" customFormat="1">
      <c r="A32" s="416">
        <v>29</v>
      </c>
      <c r="B32" s="572" t="s">
        <v>392</v>
      </c>
      <c r="C32" s="572">
        <v>25</v>
      </c>
      <c r="D32" s="415">
        <f>IF(COUNT('ISIRF RAW'!M48)=0,"",'ISIRF RAW'!M48)</f>
        <v>1.2240879599000001</v>
      </c>
      <c r="E32" s="415">
        <f>IF(COUNT('ISIRF RAW'!O48)=0,"",'ISIRF RAW'!O48)</f>
        <v>-16.921155975896806</v>
      </c>
      <c r="F32" s="681">
        <f>IF(COUNT('ISIRF RAW'!J48)=0,"",'ISIRF RAW'!J48)</f>
        <v>0.25279573854771165</v>
      </c>
      <c r="G32" s="681">
        <f>IF(COUNT('ISIRF RAW'!L48)=0,"",'ISIRF RAW'!L48)</f>
        <v>6.0508680705825757</v>
      </c>
      <c r="H32" s="682">
        <f t="shared" si="1"/>
        <v>4.8422017195870204</v>
      </c>
      <c r="I32" s="592"/>
    </row>
    <row r="33" spans="1:9" s="22" customFormat="1">
      <c r="A33" s="416">
        <v>30</v>
      </c>
      <c r="B33" s="572" t="s">
        <v>393</v>
      </c>
      <c r="C33" s="572">
        <v>25</v>
      </c>
      <c r="D33" s="415">
        <f>IF(COUNT('ISIRF RAW'!M49)=0,"",'ISIRF RAW'!M49)</f>
        <v>1.4321171338000001</v>
      </c>
      <c r="E33" s="415">
        <f>IF(COUNT('ISIRF RAW'!O49)=0,"",'ISIRF RAW'!O49)</f>
        <v>-16.65570084471188</v>
      </c>
      <c r="F33" s="681">
        <f>IF(COUNT('ISIRF RAW'!J49)=0,"",'ISIRF RAW'!J49)</f>
        <v>0.25818084561263477</v>
      </c>
      <c r="G33" s="681">
        <f>IF(COUNT('ISIRF RAW'!L49)=0,"",'ISIRF RAW'!L49)</f>
        <v>6.2199882824711867</v>
      </c>
      <c r="H33" s="682">
        <f t="shared" si="1"/>
        <v>5.5469534558295504</v>
      </c>
      <c r="I33" s="592"/>
    </row>
    <row r="34" spans="1:9" s="22" customFormat="1">
      <c r="A34" s="416">
        <v>31</v>
      </c>
      <c r="B34" s="572" t="s">
        <v>394</v>
      </c>
      <c r="C34" s="572">
        <v>25</v>
      </c>
      <c r="D34" s="415">
        <f>IF(COUNT('ISIRF RAW'!M50)=0,"",'ISIRF RAW'!M50)</f>
        <v>1.3477316052999999</v>
      </c>
      <c r="E34" s="415">
        <f>IF(COUNT('ISIRF RAW'!O50)=0,"",'ISIRF RAW'!O50)</f>
        <v>-16.291061135084011</v>
      </c>
      <c r="F34" s="681">
        <f>IF(COUNT('ISIRF RAW'!J50)=0,"",'ISIRF RAW'!J50)</f>
        <v>0.25532281867534301</v>
      </c>
      <c r="G34" s="681">
        <f>IF(COUNT('ISIRF RAW'!L50)=0,"",'ISIRF RAW'!L50)</f>
        <v>6.5915628797208914</v>
      </c>
      <c r="H34" s="682">
        <f t="shared" si="1"/>
        <v>5.2785395848763317</v>
      </c>
      <c r="I34" s="592"/>
    </row>
    <row r="35" spans="1:9" s="22" customFormat="1">
      <c r="A35" s="416">
        <v>32</v>
      </c>
      <c r="B35" s="572" t="s">
        <v>395</v>
      </c>
      <c r="C35" s="572">
        <v>25</v>
      </c>
      <c r="D35" s="415">
        <f>IF(COUNT('ISIRF RAW'!M51)=0,"",'ISIRF RAW'!M51)</f>
        <v>1.6234288290999999</v>
      </c>
      <c r="E35" s="415">
        <f>IF(COUNT('ISIRF RAW'!O51)=0,"",'ISIRF RAW'!O51)</f>
        <v>-15.897396666786932</v>
      </c>
      <c r="F35" s="681">
        <f>IF(COUNT('ISIRF RAW'!J51)=0,"",'ISIRF RAW'!J51)</f>
        <v>0.27773311710307058</v>
      </c>
      <c r="G35" s="681">
        <f>IF(COUNT('ISIRF RAW'!L51)=0,"",'ISIRF RAW'!L51)</f>
        <v>6.2067120217976388</v>
      </c>
      <c r="H35" s="682">
        <f t="shared" si="1"/>
        <v>5.8452835802707783</v>
      </c>
      <c r="I35" s="592"/>
    </row>
    <row r="36" spans="1:9" s="22" customFormat="1">
      <c r="A36" s="416">
        <v>33</v>
      </c>
      <c r="B36" s="572" t="s">
        <v>396</v>
      </c>
      <c r="C36" s="572">
        <v>25</v>
      </c>
      <c r="D36" s="415">
        <f>IF(COUNT('ISIRF RAW'!M52)=0,"",'ISIRF RAW'!M52)</f>
        <v>1.5702241016999998</v>
      </c>
      <c r="E36" s="415">
        <f>IF(COUNT('ISIRF RAW'!O52)=0,"",'ISIRF RAW'!O52)</f>
        <v>-16.81344253875162</v>
      </c>
      <c r="F36" s="681">
        <f>IF(COUNT('ISIRF RAW'!J52)=0,"",'ISIRF RAW'!J52)</f>
        <v>0.28133639333992178</v>
      </c>
      <c r="G36" s="681">
        <f>IF(COUNT('ISIRF RAW'!L52)=0,"",'ISIRF RAW'!L52)</f>
        <v>6.0177689389236111</v>
      </c>
      <c r="H36" s="682">
        <f t="shared" si="1"/>
        <v>5.5813045836654087</v>
      </c>
      <c r="I36" s="592"/>
    </row>
    <row r="37" spans="1:9" s="22" customFormat="1">
      <c r="A37" s="417">
        <v>34</v>
      </c>
      <c r="B37" s="572" t="s">
        <v>397</v>
      </c>
      <c r="C37" s="572">
        <v>25</v>
      </c>
      <c r="D37" s="415">
        <f>IF(COUNT('ISIRF RAW'!M53)=0,"",'ISIRF RAW'!M53)</f>
        <v>1.6807312671999999</v>
      </c>
      <c r="E37" s="415">
        <f>IF(COUNT('ISIRF RAW'!O53)=0,"",'ISIRF RAW'!O53)</f>
        <v>-16.91759233346313</v>
      </c>
      <c r="F37" s="681">
        <f>IF(COUNT('ISIRF RAW'!J53)=0,"",'ISIRF RAW'!J53)</f>
        <v>0.29244828322837008</v>
      </c>
      <c r="G37" s="681">
        <f>IF(COUNT('ISIRF RAW'!L53)=0,"",'ISIRF RAW'!L53)</f>
        <v>5.6017437136858454</v>
      </c>
      <c r="H37" s="682">
        <f t="shared" si="1"/>
        <v>5.7471059451818798</v>
      </c>
      <c r="I37" s="592"/>
    </row>
    <row r="38" spans="1:9" s="22" customFormat="1">
      <c r="A38" s="417">
        <v>35</v>
      </c>
      <c r="B38" s="461" t="s">
        <v>398</v>
      </c>
      <c r="C38" s="572">
        <v>25</v>
      </c>
      <c r="D38" s="415">
        <f>IF(COUNT('ISIRF RAW'!M54)=0,"",'ISIRF RAW'!M54)</f>
        <v>1.4665707518</v>
      </c>
      <c r="E38" s="415">
        <f>IF(COUNT('ISIRF RAW'!O54)=0,"",'ISIRF RAW'!O54)</f>
        <v>-17.582164355593612</v>
      </c>
      <c r="F38" s="681">
        <f>IF(COUNT('ISIRF RAW'!J54)=0,"",'ISIRF RAW'!J54)</f>
        <v>0.25590878434830783</v>
      </c>
      <c r="G38" s="681">
        <f>IF(COUNT('ISIRF RAW'!L54)=0,"",'ISIRF RAW'!L54)</f>
        <v>7.5563418030566183</v>
      </c>
      <c r="H38" s="681">
        <f t="shared" si="1"/>
        <v>5.7308339591965929</v>
      </c>
      <c r="I38" s="592"/>
    </row>
    <row r="39" spans="1:9" s="22" customFormat="1" ht="13.5" thickBot="1">
      <c r="A39" s="418">
        <v>36</v>
      </c>
      <c r="B39" s="432" t="s">
        <v>399</v>
      </c>
      <c r="C39" s="572">
        <v>25</v>
      </c>
      <c r="D39" s="419">
        <f>IF(COUNT('ISIRF RAW'!M55)=0,"",'ISIRF RAW'!M55)</f>
        <v>1.9606221624999998</v>
      </c>
      <c r="E39" s="419">
        <f>IF(COUNT('ISIRF RAW'!O55)=0,"",'ISIRF RAW'!O55)</f>
        <v>-18.275124873491301</v>
      </c>
      <c r="F39" s="683">
        <f>IF(COUNT('ISIRF RAW'!J55)=0,"",'ISIRF RAW'!J55)</f>
        <v>0.30480968301663341</v>
      </c>
      <c r="G39" s="683">
        <f>IF(COUNT('ISIRF RAW'!L55)=0,"",'ISIRF RAW'!L55)</f>
        <v>7.5164894317015101</v>
      </c>
      <c r="H39" s="683">
        <f t="shared" si="1"/>
        <v>6.4322830662600996</v>
      </c>
      <c r="I39" s="593"/>
    </row>
    <row r="40" spans="1:9" s="22" customFormat="1" ht="13.5" thickTop="1">
      <c r="B40" s="433"/>
      <c r="C40" s="433"/>
      <c r="D40" s="420"/>
      <c r="E40" s="420"/>
      <c r="F40" s="420"/>
      <c r="G40" s="420"/>
      <c r="H40" s="420"/>
      <c r="I40" s="421"/>
    </row>
    <row r="41" spans="1:9" s="22" customFormat="1">
      <c r="B41" s="433"/>
      <c r="C41" s="433"/>
      <c r="D41" s="420"/>
      <c r="E41" s="420"/>
      <c r="F41" s="420"/>
      <c r="G41" s="420"/>
      <c r="H41" s="420"/>
      <c r="I41" s="421"/>
    </row>
    <row r="42" spans="1:9" s="22" customFormat="1">
      <c r="B42" s="433"/>
      <c r="C42" s="433"/>
      <c r="D42" s="420"/>
      <c r="E42" s="420"/>
      <c r="F42" s="420"/>
      <c r="G42" s="420"/>
      <c r="H42" s="420"/>
      <c r="I42" s="421"/>
    </row>
    <row r="43" spans="1:9" s="22" customFormat="1">
      <c r="B43" s="433"/>
      <c r="C43" s="433"/>
      <c r="D43" s="420"/>
      <c r="E43" s="420"/>
      <c r="F43" s="420"/>
      <c r="G43" s="420"/>
      <c r="H43" s="420"/>
      <c r="I43" s="421"/>
    </row>
    <row r="44" spans="1:9" s="22" customFormat="1">
      <c r="B44" s="433"/>
      <c r="C44" s="433"/>
      <c r="D44" s="420"/>
      <c r="E44" s="420"/>
      <c r="F44" s="420"/>
      <c r="G44" s="420"/>
      <c r="H44" s="420"/>
      <c r="I44" s="421"/>
    </row>
    <row r="45" spans="1:9" s="22" customFormat="1">
      <c r="B45" s="433"/>
      <c r="C45" s="433"/>
      <c r="D45" s="420"/>
      <c r="E45" s="420"/>
      <c r="F45" s="420"/>
      <c r="G45" s="420"/>
      <c r="H45" s="420"/>
      <c r="I45" s="421"/>
    </row>
    <row r="46" spans="1:9" s="22" customFormat="1">
      <c r="B46" s="420"/>
      <c r="C46" s="420"/>
      <c r="D46" s="420"/>
      <c r="E46" s="420"/>
      <c r="F46" s="420"/>
      <c r="G46" s="420"/>
      <c r="H46" s="420"/>
      <c r="I46" s="421"/>
    </row>
    <row r="47" spans="1:9" s="22" customFormat="1">
      <c r="B47" s="420"/>
      <c r="C47" s="420"/>
      <c r="D47" s="420"/>
      <c r="E47" s="420"/>
      <c r="F47" s="420"/>
      <c r="G47" s="420"/>
      <c r="H47" s="420"/>
      <c r="I47" s="421"/>
    </row>
    <row r="48" spans="1:9" s="22" customFormat="1">
      <c r="B48" s="420"/>
      <c r="C48" s="420"/>
      <c r="D48" s="420"/>
      <c r="E48" s="420"/>
      <c r="F48" s="420"/>
      <c r="G48" s="420"/>
      <c r="H48" s="420"/>
      <c r="I48" s="421"/>
    </row>
    <row r="49" spans="2:11" s="22" customFormat="1">
      <c r="B49" s="420"/>
      <c r="C49" s="420"/>
      <c r="D49" s="420"/>
      <c r="E49" s="420"/>
      <c r="F49" s="420"/>
      <c r="G49" s="420"/>
      <c r="H49" s="420"/>
      <c r="I49" s="421"/>
    </row>
    <row r="50" spans="2:11" s="22" customFormat="1">
      <c r="B50" s="420"/>
      <c r="C50" s="420"/>
      <c r="D50" s="420"/>
      <c r="E50" s="420"/>
      <c r="F50" s="420"/>
      <c r="G50" s="420"/>
      <c r="H50" s="420"/>
      <c r="I50" s="421"/>
    </row>
    <row r="51" spans="2:11" s="22" customFormat="1">
      <c r="B51" s="420"/>
      <c r="C51" s="420"/>
      <c r="D51" s="420"/>
      <c r="E51" s="420"/>
      <c r="F51" s="420"/>
      <c r="G51" s="420"/>
      <c r="H51" s="420"/>
      <c r="I51" s="421"/>
    </row>
    <row r="52" spans="2:11" s="22" customFormat="1">
      <c r="B52" s="420"/>
      <c r="C52" s="420"/>
      <c r="D52" s="420"/>
      <c r="E52" s="420"/>
      <c r="F52" s="420"/>
      <c r="G52" s="420"/>
      <c r="H52" s="420"/>
      <c r="I52" s="421"/>
    </row>
    <row r="53" spans="2:11" s="22" customFormat="1">
      <c r="B53" s="420"/>
      <c r="C53" s="420"/>
      <c r="D53" s="420"/>
      <c r="E53" s="420"/>
      <c r="F53" s="420"/>
      <c r="G53" s="420"/>
      <c r="H53" s="420"/>
      <c r="I53" s="421"/>
    </row>
    <row r="54" spans="2:11" s="22" customFormat="1">
      <c r="B54" s="420"/>
      <c r="C54" s="420"/>
      <c r="D54" s="420"/>
      <c r="E54" s="420"/>
      <c r="F54" s="420"/>
      <c r="G54" s="420"/>
      <c r="H54" s="420"/>
      <c r="I54" s="421"/>
    </row>
    <row r="55" spans="2:11" s="22" customFormat="1">
      <c r="B55" s="420"/>
      <c r="C55" s="420"/>
      <c r="D55" s="420"/>
      <c r="E55" s="420"/>
      <c r="F55" s="420"/>
      <c r="G55" s="420"/>
      <c r="H55" s="420"/>
      <c r="I55" s="421"/>
    </row>
    <row r="56" spans="2:11" s="22" customFormat="1">
      <c r="B56" s="420"/>
      <c r="C56" s="420"/>
      <c r="D56" s="420"/>
      <c r="E56" s="420"/>
      <c r="F56" s="420"/>
      <c r="G56" s="420"/>
      <c r="H56" s="420"/>
      <c r="I56" s="421"/>
    </row>
    <row r="57" spans="2:11" s="22" customFormat="1">
      <c r="B57" s="420"/>
      <c r="C57" s="420"/>
      <c r="D57" s="420"/>
      <c r="E57" s="420"/>
      <c r="F57" s="420"/>
      <c r="G57" s="420"/>
      <c r="H57" s="420"/>
      <c r="I57" s="421"/>
    </row>
    <row r="58" spans="2:11" s="22" customFormat="1">
      <c r="B58" s="420"/>
      <c r="C58" s="420"/>
      <c r="D58" s="420"/>
      <c r="E58" s="420"/>
      <c r="F58" s="420"/>
      <c r="G58" s="420"/>
      <c r="H58" s="420"/>
      <c r="I58" s="421"/>
    </row>
    <row r="59" spans="2:11" s="22" customFormat="1">
      <c r="B59" s="420"/>
      <c r="C59" s="420"/>
      <c r="D59" s="420"/>
      <c r="E59" s="420"/>
      <c r="F59" s="420"/>
      <c r="G59" s="420"/>
      <c r="H59" s="420"/>
      <c r="I59" s="421"/>
    </row>
    <row r="60" spans="2:11" s="22" customFormat="1">
      <c r="B60" s="420"/>
      <c r="C60" s="420"/>
      <c r="D60" s="420"/>
      <c r="E60" s="420"/>
      <c r="F60" s="420"/>
      <c r="G60" s="420"/>
      <c r="H60" s="420"/>
      <c r="I60" s="421"/>
    </row>
    <row r="61" spans="2:11" s="22" customFormat="1">
      <c r="B61" s="420"/>
      <c r="C61" s="420"/>
      <c r="D61" s="420"/>
      <c r="E61" s="420"/>
      <c r="F61" s="420"/>
      <c r="G61" s="420"/>
      <c r="H61" s="420"/>
      <c r="I61" s="421"/>
    </row>
    <row r="62" spans="2:11" s="22" customFormat="1">
      <c r="B62" s="420"/>
      <c r="C62" s="420"/>
      <c r="D62" s="420"/>
      <c r="E62" s="420"/>
      <c r="F62" s="420"/>
      <c r="G62" s="420"/>
      <c r="H62" s="420"/>
      <c r="I62" s="421"/>
    </row>
    <row r="63" spans="2:11" s="22" customFormat="1">
      <c r="B63" s="420"/>
      <c r="C63" s="420"/>
      <c r="D63" s="420"/>
      <c r="E63" s="420"/>
      <c r="F63" s="420"/>
      <c r="G63" s="420"/>
      <c r="H63" s="420"/>
      <c r="I63" s="421"/>
      <c r="K63" s="15"/>
    </row>
    <row r="64" spans="2:11" s="22" customFormat="1">
      <c r="B64" s="420"/>
      <c r="C64" s="420"/>
      <c r="D64" s="420"/>
      <c r="E64" s="420"/>
      <c r="F64" s="420"/>
      <c r="G64" s="420"/>
      <c r="H64" s="420"/>
      <c r="I64" s="421"/>
      <c r="K64" s="15"/>
    </row>
    <row r="65" spans="2:11" s="22" customFormat="1">
      <c r="B65" s="420"/>
      <c r="C65" s="420"/>
      <c r="D65" s="420"/>
      <c r="E65" s="420"/>
      <c r="F65" s="420"/>
      <c r="G65" s="420"/>
      <c r="H65" s="420"/>
      <c r="I65" s="421"/>
      <c r="K65" s="15"/>
    </row>
    <row r="66" spans="2:11" s="22" customFormat="1">
      <c r="B66" s="420"/>
      <c r="C66" s="420"/>
      <c r="D66" s="420"/>
      <c r="E66" s="420"/>
      <c r="F66" s="420"/>
      <c r="G66" s="420"/>
      <c r="H66" s="420"/>
      <c r="I66" s="421"/>
      <c r="K66" s="15"/>
    </row>
  </sheetData>
  <protectedRanges>
    <protectedRange sqref="I3:IW3 J4:J37 L4:IW37 K4:K33" name="User Data"/>
    <protectedRange password="94AB" sqref="B38:B39" name="Sample IDs"/>
    <protectedRange sqref="I4:I39" name="User Data_1"/>
    <protectedRange password="94AB" sqref="B4:C4 B5:B37 C5:C39" name="Sample IDs_1_1"/>
  </protectedRanges>
  <mergeCells count="1">
    <mergeCell ref="C2:D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opLeftCell="A31" workbookViewId="0">
      <selection activeCell="K54" sqref="K54"/>
    </sheetView>
  </sheetViews>
  <sheetFormatPr defaultColWidth="9.140625" defaultRowHeight="12.75"/>
  <cols>
    <col min="1" max="1" width="22.5703125" style="2" customWidth="1"/>
    <col min="2" max="2" width="7.85546875" style="2" customWidth="1"/>
    <col min="3" max="3" width="28.42578125" style="2" customWidth="1"/>
    <col min="4" max="4" width="8.28515625" style="2" customWidth="1"/>
    <col min="5" max="5" width="12.140625" style="2" customWidth="1"/>
    <col min="6" max="6" width="11.28515625" style="2" customWidth="1"/>
    <col min="7" max="7" width="11.140625" style="2" customWidth="1"/>
    <col min="8" max="8" width="7.7109375" customWidth="1"/>
    <col min="9" max="9" width="22.28515625" style="2" bestFit="1" customWidth="1"/>
    <col min="10" max="10" width="6.85546875" style="2" bestFit="1" customWidth="1"/>
    <col min="11" max="11" width="9.140625" style="2"/>
    <col min="12" max="12" width="10.140625" style="2" customWidth="1"/>
    <col min="13" max="18" width="9.140625" style="2"/>
    <col min="19" max="19" width="9.85546875" style="2" customWidth="1"/>
    <col min="20" max="20" width="11.42578125" style="9" customWidth="1"/>
    <col min="21" max="26" width="9.140625" style="2"/>
    <col min="27" max="27" width="12" style="2" bestFit="1" customWidth="1"/>
    <col min="28" max="33" width="9.140625" style="2"/>
    <col min="34" max="34" width="9.7109375" style="2" customWidth="1"/>
    <col min="35" max="16384" width="9.140625" style="2"/>
  </cols>
  <sheetData>
    <row r="1" spans="1:50" ht="14.25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6" t="s">
        <v>32</v>
      </c>
      <c r="G1" s="159">
        <f>COUNTA('Investigator Data'!B4:B39)</f>
        <v>36</v>
      </c>
    </row>
    <row r="2" spans="1:50" ht="14.25" thickTop="1" thickBot="1">
      <c r="A2" s="9"/>
      <c r="B2" s="154" t="s">
        <v>10</v>
      </c>
      <c r="C2" s="375" t="str">
        <f>COVER!C2</f>
        <v>IC13C-241217-10KansasROAR-2Carbon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2"/>
      <c r="D3" s="301" t="s">
        <v>78</v>
      </c>
      <c r="E3" s="275" t="s">
        <v>149</v>
      </c>
      <c r="F3" s="275"/>
      <c r="G3" s="628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>
      <c r="A4" s="157" t="s">
        <v>31</v>
      </c>
      <c r="B4" s="158"/>
      <c r="C4" s="423" t="str">
        <f>COVER!C19</f>
        <v>Soil</v>
      </c>
      <c r="D4" s="347"/>
      <c r="E4" s="429" t="s">
        <v>9</v>
      </c>
      <c r="F4" s="430" t="s">
        <v>175</v>
      </c>
      <c r="G4" s="431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>
      <c r="A5" s="157" t="s">
        <v>155</v>
      </c>
      <c r="B5" s="158"/>
      <c r="C5" s="423">
        <f>COVER!C16</f>
        <v>0</v>
      </c>
      <c r="D5" s="347"/>
      <c r="E5" s="280"/>
      <c r="F5" s="280"/>
      <c r="G5" s="629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>
      <c r="A6" s="157" t="s">
        <v>127</v>
      </c>
      <c r="B6" s="160"/>
      <c r="C6" s="423" t="str">
        <f>COVER!C15</f>
        <v>13C</v>
      </c>
      <c r="D6" s="347"/>
      <c r="E6" s="278"/>
      <c r="F6" s="278"/>
      <c r="G6" s="630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>
      <c r="A7" s="161" t="s">
        <v>29</v>
      </c>
      <c r="B7" s="160"/>
      <c r="C7" s="634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>
      <c r="A8" s="161" t="s">
        <v>156</v>
      </c>
      <c r="B8" s="160"/>
      <c r="C8" s="423"/>
      <c r="D8" s="348">
        <v>30</v>
      </c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.75" thickBot="1">
      <c r="A9" s="157" t="s">
        <v>164</v>
      </c>
      <c r="B9" s="162"/>
      <c r="C9" s="634" t="s">
        <v>248</v>
      </c>
      <c r="D9" s="640">
        <f>VLOOKUP(C9,Tables!A2:C17,3,FALSE)</f>
        <v>1.2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.75" thickTop="1">
      <c r="A10" s="157" t="s">
        <v>125</v>
      </c>
      <c r="B10" s="162"/>
      <c r="C10" s="634" t="s">
        <v>254</v>
      </c>
      <c r="D10" s="640">
        <f>VLOOKUP(C10,Tables!A2:C17,3,FALSE)</f>
        <v>1</v>
      </c>
      <c r="E10" s="672" t="s">
        <v>35</v>
      </c>
      <c r="F10" s="673"/>
      <c r="G10" s="674"/>
      <c r="T10" s="2"/>
    </row>
    <row r="11" spans="1:50" ht="15">
      <c r="A11" s="169" t="s">
        <v>126</v>
      </c>
      <c r="B11" s="162"/>
      <c r="C11" s="634" t="s">
        <v>253</v>
      </c>
      <c r="D11" s="640">
        <f>VLOOKUP(C11,Tables!A2:C17,3,FALSE)</f>
        <v>1.5</v>
      </c>
      <c r="E11" s="165" t="s">
        <v>24</v>
      </c>
      <c r="F11" s="166"/>
      <c r="G11" s="631" t="str">
        <f>IF(COUNTA(COVER!C23)=0,"",COVER!C23)</f>
        <v>241217</v>
      </c>
      <c r="T11" s="2"/>
    </row>
    <row r="12" spans="1:50" ht="15">
      <c r="A12" s="169" t="s">
        <v>180</v>
      </c>
      <c r="B12" s="162"/>
      <c r="C12" s="634" t="s">
        <v>354</v>
      </c>
      <c r="D12" s="640">
        <f>VLOOKUP(C12,Tables!A2:C17,3,FALSE)</f>
        <v>2</v>
      </c>
      <c r="E12" s="167" t="s">
        <v>8</v>
      </c>
      <c r="F12" s="168"/>
      <c r="G12" s="632" t="str">
        <f>IF(COUNTA('ISIRF RAW'!B2)=0,"",'ISIRF RAW'!B2)</f>
        <v/>
      </c>
      <c r="T12" s="2"/>
    </row>
    <row r="13" spans="1:50">
      <c r="A13" s="161" t="s">
        <v>166</v>
      </c>
      <c r="B13" s="162"/>
      <c r="C13" s="634" t="s">
        <v>176</v>
      </c>
      <c r="D13" s="434" t="s">
        <v>400</v>
      </c>
      <c r="E13" s="167" t="s">
        <v>30</v>
      </c>
      <c r="F13" s="170"/>
      <c r="G13" s="632" t="str">
        <f>IF(COUNTA('ISIRF RAW'!B3)=0,"",'ISIRF RAW'!B3)</f>
        <v/>
      </c>
      <c r="T13" s="2"/>
    </row>
    <row r="14" spans="1:50" ht="13.5" thickBot="1">
      <c r="A14" s="173" t="s">
        <v>251</v>
      </c>
      <c r="B14" s="174"/>
      <c r="C14" s="635"/>
      <c r="D14" s="349">
        <v>5</v>
      </c>
      <c r="E14" s="171" t="s">
        <v>234</v>
      </c>
      <c r="F14" s="172"/>
      <c r="G14" s="633" t="str">
        <f>COVER!C15</f>
        <v>13C</v>
      </c>
      <c r="T14" s="2"/>
    </row>
    <row r="15" spans="1:50" s="33" customFormat="1" ht="14.25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2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3"/>
      <c r="I16" s="574"/>
      <c r="J16" s="575"/>
      <c r="K16" s="573"/>
    </row>
    <row r="17" spans="1:20">
      <c r="A17" s="178" t="str">
        <f>"IC"&amp;COVER!C$15&amp;COVER!C$23&amp;"-"&amp;COVER!C$22&amp;F17</f>
        <v>IC13C241217-101</v>
      </c>
      <c r="B17" s="179" t="s">
        <v>37</v>
      </c>
      <c r="C17" s="180" t="s">
        <v>34</v>
      </c>
      <c r="D17" s="303" t="s">
        <v>403</v>
      </c>
      <c r="E17" s="463" t="s">
        <v>403</v>
      </c>
      <c r="F17" s="181">
        <v>1</v>
      </c>
      <c r="G17"/>
      <c r="H17" s="33"/>
      <c r="I17" s="33"/>
      <c r="J17" s="350"/>
      <c r="K17" s="33"/>
      <c r="T17" s="2"/>
    </row>
    <row r="18" spans="1:20">
      <c r="A18" s="178" t="str">
        <f>"IC"&amp;COVER!C$15&amp;COVER!C$23&amp;"-"&amp;COVER!C$22&amp;F18</f>
        <v>IC13C241217-102</v>
      </c>
      <c r="B18" s="179" t="s">
        <v>38</v>
      </c>
      <c r="C18" s="180" t="s">
        <v>34</v>
      </c>
      <c r="D18" s="303" t="s">
        <v>403</v>
      </c>
      <c r="E18" s="463" t="s">
        <v>403</v>
      </c>
      <c r="F18" s="181">
        <f>F17+1</f>
        <v>2</v>
      </c>
      <c r="G18"/>
      <c r="H18" s="33"/>
      <c r="I18" s="33"/>
      <c r="J18" s="350"/>
      <c r="K18" s="33"/>
      <c r="T18" s="2"/>
    </row>
    <row r="19" spans="1:20">
      <c r="A19" s="178" t="str">
        <f>"IC"&amp;COVER!C$15&amp;COVER!C$23&amp;"-"&amp;COVER!C$22&amp;F19</f>
        <v>IC13C241217-103</v>
      </c>
      <c r="B19" s="179" t="s">
        <v>39</v>
      </c>
      <c r="C19" s="180" t="str">
        <f>$C$9</f>
        <v>ISIRF Ulva</v>
      </c>
      <c r="D19" s="303">
        <f>$D$9</f>
        <v>1.2</v>
      </c>
      <c r="E19" s="462">
        <v>1.121</v>
      </c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>
      <c r="A20" s="178" t="str">
        <f>"IC"&amp;COVER!C$15&amp;COVER!C$23&amp;"-"&amp;COVER!C$22&amp;F20</f>
        <v>IC13C241217-104</v>
      </c>
      <c r="B20" s="179" t="s">
        <v>40</v>
      </c>
      <c r="C20" s="180" t="str">
        <f>$C$10</f>
        <v>ISIRF Chitin</v>
      </c>
      <c r="D20" s="303">
        <f>$D$10</f>
        <v>1</v>
      </c>
      <c r="E20" s="462">
        <v>1.054</v>
      </c>
      <c r="F20" s="181">
        <f t="shared" si="0"/>
        <v>4</v>
      </c>
      <c r="G20"/>
      <c r="H20" s="33"/>
      <c r="I20" s="33"/>
      <c r="J20" s="350"/>
      <c r="K20" s="33"/>
      <c r="T20" s="2"/>
    </row>
    <row r="21" spans="1:20">
      <c r="A21" s="178" t="str">
        <f>"IC"&amp;COVER!C$15&amp;COVER!C$23&amp;"-"&amp;COVER!C$22&amp;F21</f>
        <v>IC13C241217-105</v>
      </c>
      <c r="B21" s="179" t="s">
        <v>41</v>
      </c>
      <c r="C21" s="180" t="str">
        <f>$C$11</f>
        <v>ISIRF Bamboo</v>
      </c>
      <c r="D21" s="303">
        <f>$D$11</f>
        <v>1.5</v>
      </c>
      <c r="E21" s="463">
        <v>1.595</v>
      </c>
      <c r="F21" s="181">
        <f t="shared" si="0"/>
        <v>5</v>
      </c>
      <c r="G21"/>
      <c r="H21" s="33"/>
      <c r="I21" s="33"/>
      <c r="J21" s="350"/>
      <c r="K21" s="33"/>
      <c r="T21" s="2"/>
    </row>
    <row r="22" spans="1:20">
      <c r="A22" s="178" t="str">
        <f>"IC"&amp;COVER!C$15&amp;COVER!C$23&amp;"-"&amp;COVER!C$22&amp;F22</f>
        <v>IC13C241217-106</v>
      </c>
      <c r="B22" s="179" t="s">
        <v>42</v>
      </c>
      <c r="C22" s="180" t="str">
        <f>C12</f>
        <v>NBS 1572 Citrus Leaf</v>
      </c>
      <c r="D22" s="303">
        <f>D12</f>
        <v>2</v>
      </c>
      <c r="E22" s="463">
        <v>2.0960000000000001</v>
      </c>
      <c r="F22" s="181">
        <f t="shared" si="0"/>
        <v>6</v>
      </c>
      <c r="G22"/>
      <c r="H22" s="33"/>
      <c r="I22" s="33"/>
      <c r="J22" s="350"/>
      <c r="K22" s="33"/>
      <c r="T22" s="2"/>
    </row>
    <row r="23" spans="1:20">
      <c r="A23" s="178" t="str">
        <f>"IC"&amp;COVER!C$15&amp;COVER!C$23&amp;"-"&amp;COVER!C$22&amp;F23</f>
        <v>IC13C241217-107</v>
      </c>
      <c r="B23" s="179" t="s">
        <v>43</v>
      </c>
      <c r="C23" s="410" t="str">
        <f>IF('Investigator Data'!B4="","","R1-"&amp;'Investigator Data'!B4)</f>
        <v xml:space="preserve">R1-20231120_S3_A </v>
      </c>
      <c r="D23" s="304">
        <f>IF('Investigator Data'!C4="",$D$8,'Investigator Data'!C4)</f>
        <v>25</v>
      </c>
      <c r="E23" s="463">
        <v>25.667999999999999</v>
      </c>
      <c r="F23" s="181">
        <f t="shared" si="0"/>
        <v>7</v>
      </c>
      <c r="G23"/>
      <c r="H23" s="33"/>
      <c r="I23" s="33"/>
      <c r="J23" s="350"/>
      <c r="K23" s="33"/>
      <c r="T23" s="2"/>
    </row>
    <row r="24" spans="1:20">
      <c r="A24" s="178" t="str">
        <f>"IC"&amp;COVER!C$15&amp;COVER!C$23&amp;"-"&amp;COVER!C$22&amp;F24</f>
        <v>IC13C241217-108</v>
      </c>
      <c r="B24" s="179" t="s">
        <v>44</v>
      </c>
      <c r="C24" s="182" t="str">
        <f>IF('Investigator Data'!B5="","",'Investigator Data'!B5)</f>
        <v xml:space="preserve">20231120_S3_B </v>
      </c>
      <c r="D24" s="304">
        <f>IF('Investigator Data'!C5="",$D$8,'Investigator Data'!C5)</f>
        <v>25</v>
      </c>
      <c r="E24" s="463">
        <v>24.530999999999999</v>
      </c>
      <c r="F24" s="181">
        <f t="shared" si="0"/>
        <v>8</v>
      </c>
      <c r="G24"/>
      <c r="H24" s="33"/>
      <c r="I24" s="33"/>
      <c r="J24" s="350"/>
      <c r="K24" s="33"/>
      <c r="T24" s="2"/>
    </row>
    <row r="25" spans="1:20">
      <c r="A25" s="178" t="str">
        <f>"IC"&amp;COVER!C$15&amp;COVER!C$23&amp;"-"&amp;COVER!C$22&amp;F25</f>
        <v>IC13C241217-109</v>
      </c>
      <c r="B25" s="179" t="s">
        <v>186</v>
      </c>
      <c r="C25" s="182" t="str">
        <f>IF('Investigator Data'!B6="","",'Investigator Data'!B6)</f>
        <v xml:space="preserve">20231120_S3_C </v>
      </c>
      <c r="D25" s="304">
        <f>IF('Investigator Data'!C6="",$D$8,'Investigator Data'!C6)</f>
        <v>25</v>
      </c>
      <c r="E25" s="463">
        <v>26.698</v>
      </c>
      <c r="F25" s="181">
        <f t="shared" si="0"/>
        <v>9</v>
      </c>
      <c r="G25"/>
      <c r="H25" s="33"/>
      <c r="I25" s="33"/>
      <c r="J25" s="350"/>
      <c r="K25" s="33"/>
      <c r="T25" s="2"/>
    </row>
    <row r="26" spans="1:20">
      <c r="A26" s="178" t="str">
        <f>"IC"&amp;COVER!C$15&amp;COVER!C$23&amp;"-"&amp;COVER!C$22&amp;F26</f>
        <v>IC13C241217-1010</v>
      </c>
      <c r="B26" s="179" t="s">
        <v>187</v>
      </c>
      <c r="C26" s="182" t="str">
        <f>IF('Investigator Data'!B7="","",'Investigator Data'!B7)</f>
        <v xml:space="preserve">20231120_S3_D </v>
      </c>
      <c r="D26" s="304">
        <f>IF('Investigator Data'!C7="",$D$8,'Investigator Data'!C7)</f>
        <v>25</v>
      </c>
      <c r="E26" s="463">
        <v>25.745000000000001</v>
      </c>
      <c r="F26" s="181">
        <f t="shared" si="0"/>
        <v>10</v>
      </c>
      <c r="G26"/>
      <c r="H26" s="33"/>
      <c r="I26" s="33"/>
      <c r="J26" s="350"/>
      <c r="K26" s="33"/>
      <c r="T26" s="2"/>
    </row>
    <row r="27" spans="1:20">
      <c r="A27" s="178" t="str">
        <f>"IC"&amp;COVER!C$15&amp;COVER!C$23&amp;"-"&amp;COVER!C$22&amp;F27</f>
        <v>IC13C241217-1011</v>
      </c>
      <c r="B27" s="179" t="s">
        <v>188</v>
      </c>
      <c r="C27" s="182" t="str">
        <f>IF('Investigator Data'!B8="","",'Investigator Data'!B8)</f>
        <v>20231120_S3_E</v>
      </c>
      <c r="D27" s="304">
        <f>IF('Investigator Data'!C8="",$D$8,'Investigator Data'!C8)</f>
        <v>25</v>
      </c>
      <c r="E27" s="463">
        <v>24.187999999999999</v>
      </c>
      <c r="F27" s="181">
        <f t="shared" si="0"/>
        <v>11</v>
      </c>
      <c r="G27"/>
      <c r="H27" s="33"/>
      <c r="I27" s="33"/>
      <c r="J27" s="33"/>
      <c r="K27" s="33"/>
      <c r="T27" s="2"/>
    </row>
    <row r="28" spans="1:20">
      <c r="A28" s="178" t="str">
        <f>"IC"&amp;COVER!C$15&amp;COVER!C$23&amp;"-"&amp;COVER!C$22&amp;F28</f>
        <v>IC13C241217-1012</v>
      </c>
      <c r="B28" s="179" t="s">
        <v>189</v>
      </c>
      <c r="C28" s="182" t="str">
        <f>IF('Investigator Data'!B9="","",'Investigator Data'!B9)</f>
        <v>20231120_S3_F</v>
      </c>
      <c r="D28" s="304">
        <f>IF('Investigator Data'!C9="",$D$8,'Investigator Data'!C9)</f>
        <v>25</v>
      </c>
      <c r="E28" s="463">
        <v>24.116</v>
      </c>
      <c r="F28" s="181">
        <f t="shared" si="0"/>
        <v>12</v>
      </c>
      <c r="G28"/>
      <c r="H28" s="33"/>
      <c r="T28" s="2"/>
    </row>
    <row r="29" spans="1:20">
      <c r="A29" s="178" t="str">
        <f>"IC"&amp;COVER!C$15&amp;COVER!C$23&amp;"-"&amp;COVER!C$22&amp;F29</f>
        <v>IC13C241217-1013</v>
      </c>
      <c r="B29" s="179" t="s">
        <v>45</v>
      </c>
      <c r="C29" s="182" t="str">
        <f>IF('Investigator Data'!B10="","",'Investigator Data'!B10)</f>
        <v>20231120_S3_F_Dup</v>
      </c>
      <c r="D29" s="304">
        <f>IF('Investigator Data'!C10="",$D$8,'Investigator Data'!C10)</f>
        <v>25</v>
      </c>
      <c r="E29" s="463">
        <v>23.98</v>
      </c>
      <c r="F29" s="181">
        <f t="shared" si="0"/>
        <v>13</v>
      </c>
      <c r="G29"/>
      <c r="H29" s="33"/>
      <c r="T29" s="2"/>
    </row>
    <row r="30" spans="1:20">
      <c r="A30" s="178" t="str">
        <f>"IC"&amp;COVER!C$15&amp;COVER!C$23&amp;"-"&amp;COVER!C$22&amp;F30</f>
        <v>IC13C241217-1014</v>
      </c>
      <c r="B30" s="179" t="s">
        <v>46</v>
      </c>
      <c r="C30" s="182" t="str">
        <f>IF('Investigator Data'!B11="","",'Investigator Data'!B11)</f>
        <v xml:space="preserve">20231120_S4_A </v>
      </c>
      <c r="D30" s="304">
        <f>IF('Investigator Data'!C11="",$D$8,'Investigator Data'!C11)</f>
        <v>25</v>
      </c>
      <c r="E30" s="463">
        <v>26.539000000000001</v>
      </c>
      <c r="F30" s="181">
        <f t="shared" si="0"/>
        <v>14</v>
      </c>
      <c r="G30"/>
      <c r="H30" s="33"/>
      <c r="T30" s="2"/>
    </row>
    <row r="31" spans="1:20">
      <c r="A31" s="178" t="str">
        <f>"IC"&amp;COVER!C$15&amp;COVER!C$23&amp;"-"&amp;COVER!C$22&amp;F31</f>
        <v>IC13C241217-1015</v>
      </c>
      <c r="B31" s="179" t="s">
        <v>47</v>
      </c>
      <c r="C31" s="182" t="str">
        <f>IF('Investigator Data'!B12="","",'Investigator Data'!B12)</f>
        <v xml:space="preserve">20231120_S4_B </v>
      </c>
      <c r="D31" s="304">
        <f>IF('Investigator Data'!C12="",$D$8,'Investigator Data'!C12)</f>
        <v>25</v>
      </c>
      <c r="E31" s="463">
        <v>26.306000000000001</v>
      </c>
      <c r="F31" s="181">
        <f t="shared" si="0"/>
        <v>15</v>
      </c>
      <c r="G31"/>
      <c r="H31" s="33"/>
      <c r="T31" s="2"/>
    </row>
    <row r="32" spans="1:20">
      <c r="A32" s="178" t="str">
        <f>"IC"&amp;COVER!C$15&amp;COVER!C$23&amp;"-"&amp;COVER!C$22&amp;F32</f>
        <v>IC13C241217-1016</v>
      </c>
      <c r="B32" s="179" t="s">
        <v>48</v>
      </c>
      <c r="C32" s="180" t="str">
        <f>$C$9</f>
        <v>ISIRF Ulva</v>
      </c>
      <c r="D32" s="303">
        <f>$D$9</f>
        <v>1.2</v>
      </c>
      <c r="E32" s="463">
        <v>1.1579999999999999</v>
      </c>
      <c r="F32" s="181">
        <f t="shared" si="0"/>
        <v>16</v>
      </c>
      <c r="G32"/>
      <c r="H32" s="33"/>
      <c r="T32" s="2"/>
    </row>
    <row r="33" spans="1:20">
      <c r="A33" s="178" t="str">
        <f>"IC"&amp;COVER!C$15&amp;COVER!C$23&amp;"-"&amp;COVER!C$22&amp;F33</f>
        <v>IC13C241217-1017</v>
      </c>
      <c r="B33" s="179" t="s">
        <v>49</v>
      </c>
      <c r="C33" s="182" t="str">
        <f>IF('Investigator Data'!B13="","",'Investigator Data'!B13)</f>
        <v xml:space="preserve">20231120_S4_C </v>
      </c>
      <c r="D33" s="304">
        <f>IF('Investigator Data'!C13="",$D$8,'Investigator Data'!C13)</f>
        <v>25</v>
      </c>
      <c r="E33" s="463">
        <v>24.561</v>
      </c>
      <c r="F33" s="181">
        <f t="shared" si="0"/>
        <v>17</v>
      </c>
      <c r="G33"/>
      <c r="H33" s="33"/>
      <c r="T33" s="2"/>
    </row>
    <row r="34" spans="1:20">
      <c r="A34" s="178" t="str">
        <f>"IC"&amp;COVER!C$15&amp;COVER!C$23&amp;"-"&amp;COVER!C$22&amp;F34</f>
        <v>IC13C241217-1018</v>
      </c>
      <c r="B34" s="179" t="s">
        <v>50</v>
      </c>
      <c r="C34" s="182" t="str">
        <f>IF('Investigator Data'!B14="","",'Investigator Data'!B14)</f>
        <v xml:space="preserve">20231120_S4_D </v>
      </c>
      <c r="D34" s="304">
        <f>IF('Investigator Data'!C14="",$D$8,'Investigator Data'!C14)</f>
        <v>25</v>
      </c>
      <c r="E34" s="463">
        <v>24.619</v>
      </c>
      <c r="F34" s="181">
        <f t="shared" si="0"/>
        <v>18</v>
      </c>
      <c r="G34"/>
      <c r="H34" s="33"/>
      <c r="T34" s="2"/>
    </row>
    <row r="35" spans="1:20">
      <c r="A35" s="178" t="str">
        <f>"IC"&amp;COVER!C$15&amp;COVER!C$23&amp;"-"&amp;COVER!C$22&amp;F35</f>
        <v>IC13C241217-1019</v>
      </c>
      <c r="B35" s="179" t="s">
        <v>51</v>
      </c>
      <c r="C35" s="182" t="str">
        <f>IF('Investigator Data'!B15="","",'Investigator Data'!B15)</f>
        <v xml:space="preserve">20231120_S4_E </v>
      </c>
      <c r="D35" s="304">
        <f>IF('Investigator Data'!C15="",$D$8,'Investigator Data'!C15)</f>
        <v>25</v>
      </c>
      <c r="E35" s="463">
        <v>26.417999999999999</v>
      </c>
      <c r="F35" s="181">
        <f t="shared" si="0"/>
        <v>19</v>
      </c>
      <c r="G35"/>
      <c r="H35" s="33"/>
      <c r="T35" s="2"/>
    </row>
    <row r="36" spans="1:20">
      <c r="A36" s="178" t="str">
        <f>"IC"&amp;COVER!C$15&amp;COVER!C$23&amp;"-"&amp;COVER!C$22&amp;F36</f>
        <v>IC13C241217-1020</v>
      </c>
      <c r="B36" s="179" t="s">
        <v>52</v>
      </c>
      <c r="C36" s="182" t="str">
        <f>IF('Investigator Data'!B16="","",'Investigator Data'!B16)</f>
        <v xml:space="preserve">20231120_S4_F </v>
      </c>
      <c r="D36" s="304">
        <f>IF('Investigator Data'!C16="",$D$8,'Investigator Data'!C16)</f>
        <v>25</v>
      </c>
      <c r="E36" s="463">
        <v>25.187999999999999</v>
      </c>
      <c r="F36" s="181">
        <f t="shared" si="0"/>
        <v>20</v>
      </c>
      <c r="G36"/>
      <c r="H36" s="33"/>
      <c r="T36" s="2"/>
    </row>
    <row r="37" spans="1:20">
      <c r="A37" s="178" t="str">
        <f>"IC"&amp;COVER!C$15&amp;COVER!C$23&amp;"-"&amp;COVER!C$22&amp;F37</f>
        <v>IC13C241217-1021</v>
      </c>
      <c r="B37" s="179" t="s">
        <v>190</v>
      </c>
      <c r="C37" s="410" t="str">
        <f>IF('Investigator Data'!B17="","","R2-"&amp;'Investigator Data'!B17)</f>
        <v>R2-20231120_S4_F _Dup</v>
      </c>
      <c r="D37" s="304">
        <f>IF('Investigator Data'!C17="",$D$8,'Investigator Data'!C17)</f>
        <v>25</v>
      </c>
      <c r="E37" s="463">
        <v>24.163</v>
      </c>
      <c r="F37" s="181">
        <f t="shared" si="0"/>
        <v>21</v>
      </c>
      <c r="G37"/>
      <c r="H37" s="33"/>
      <c r="T37" s="2"/>
    </row>
    <row r="38" spans="1:20">
      <c r="A38" s="178" t="str">
        <f>"IC"&amp;COVER!C$15&amp;COVER!C$23&amp;"-"&amp;COVER!C$22&amp;F38</f>
        <v>IC13C241217-1022</v>
      </c>
      <c r="B38" s="179" t="s">
        <v>191</v>
      </c>
      <c r="C38" s="410" t="str">
        <f>IF('Investigator Data'!B17="","","R2-"&amp;'Investigator Data'!B17)</f>
        <v>R2-20231120_S4_F _Dup</v>
      </c>
      <c r="D38" s="304">
        <f>IF('Investigator Data'!C17="",$D$8,'Investigator Data'!C17)</f>
        <v>25</v>
      </c>
      <c r="E38" s="463">
        <v>25.428000000000001</v>
      </c>
      <c r="F38" s="181">
        <f t="shared" si="0"/>
        <v>22</v>
      </c>
      <c r="G38"/>
      <c r="H38" s="33"/>
      <c r="T38" s="2"/>
    </row>
    <row r="39" spans="1:20">
      <c r="A39" s="178" t="str">
        <f>"IC"&amp;COVER!C$15&amp;COVER!C$23&amp;"-"&amp;COVER!C$22&amp;F39</f>
        <v>IC13C241217-1023</v>
      </c>
      <c r="B39" s="179" t="s">
        <v>192</v>
      </c>
      <c r="C39" s="182" t="str">
        <f>IF('Investigator Data'!B18="","",'Investigator Data'!B18)</f>
        <v xml:space="preserve">20231120_S4_G </v>
      </c>
      <c r="D39" s="304">
        <f>IF('Investigator Data'!C18="",$D$8,'Investigator Data'!C18)</f>
        <v>25</v>
      </c>
      <c r="E39" s="463">
        <v>25.858000000000001</v>
      </c>
      <c r="F39" s="181">
        <f t="shared" si="0"/>
        <v>23</v>
      </c>
      <c r="G39"/>
      <c r="H39" s="33"/>
      <c r="T39" s="2"/>
    </row>
    <row r="40" spans="1:20">
      <c r="A40" s="178" t="str">
        <f>"IC"&amp;COVER!C$15&amp;COVER!C$23&amp;"-"&amp;COVER!C$22&amp;F40</f>
        <v>IC13C241217-1024</v>
      </c>
      <c r="B40" s="179" t="s">
        <v>193</v>
      </c>
      <c r="C40" s="182" t="str">
        <f>IF('Investigator Data'!B19="","",'Investigator Data'!B19)</f>
        <v xml:space="preserve">20231120_S4_H </v>
      </c>
      <c r="D40" s="304">
        <f>IF('Investigator Data'!C19="",$D$8,'Investigator Data'!C19)</f>
        <v>25</v>
      </c>
      <c r="E40" s="463">
        <v>26.88</v>
      </c>
      <c r="F40" s="181">
        <f t="shared" si="0"/>
        <v>24</v>
      </c>
      <c r="G40"/>
      <c r="H40" s="33"/>
      <c r="T40" s="2"/>
    </row>
    <row r="41" spans="1:20">
      <c r="A41" s="178" t="str">
        <f>"IC"&amp;COVER!C$15&amp;COVER!C$23&amp;"-"&amp;COVER!C$22&amp;F41</f>
        <v>IC13C241217-1025</v>
      </c>
      <c r="B41" s="179" t="s">
        <v>174</v>
      </c>
      <c r="C41" s="182" t="str">
        <f>IF('Investigator Data'!B20="","",'Investigator Data'!B20)</f>
        <v>20231120_S4_I</v>
      </c>
      <c r="D41" s="304">
        <f>IF('Investigator Data'!C20="",$D$8,'Investigator Data'!C20)</f>
        <v>25</v>
      </c>
      <c r="E41" s="463">
        <v>24.033000000000001</v>
      </c>
      <c r="F41" s="181">
        <f t="shared" si="0"/>
        <v>25</v>
      </c>
      <c r="G41"/>
      <c r="H41" s="33"/>
      <c r="T41" s="2"/>
    </row>
    <row r="42" spans="1:20">
      <c r="A42" s="178" t="str">
        <f>"IC"&amp;COVER!C$15&amp;COVER!C$23&amp;"-"&amp;COVER!C$22&amp;F42</f>
        <v>IC13C241217-1026</v>
      </c>
      <c r="B42" s="179" t="s">
        <v>53</v>
      </c>
      <c r="C42" s="182" t="str">
        <f>IF('Investigator Data'!B21="","",'Investigator Data'!B21)</f>
        <v>20231120_S4_J</v>
      </c>
      <c r="D42" s="304">
        <f>IF('Investigator Data'!C21="",$D$8,'Investigator Data'!C21)</f>
        <v>25</v>
      </c>
      <c r="E42" s="463">
        <v>25.878</v>
      </c>
      <c r="F42" s="181">
        <f t="shared" si="0"/>
        <v>26</v>
      </c>
      <c r="G42"/>
      <c r="H42" s="33"/>
      <c r="T42" s="2"/>
    </row>
    <row r="43" spans="1:20">
      <c r="A43" s="178" t="str">
        <f>"IC"&amp;COVER!C$15&amp;COVER!C$23&amp;"-"&amp;COVER!C$22&amp;F43</f>
        <v>IC13C241217-1027</v>
      </c>
      <c r="B43" s="179" t="s">
        <v>54</v>
      </c>
      <c r="C43" s="180" t="s">
        <v>34</v>
      </c>
      <c r="D43" s="303" t="s">
        <v>403</v>
      </c>
      <c r="E43" s="463" t="s">
        <v>403</v>
      </c>
      <c r="F43" s="181">
        <f>F42+1</f>
        <v>27</v>
      </c>
      <c r="G43"/>
      <c r="H43" s="33"/>
      <c r="T43" s="2"/>
    </row>
    <row r="44" spans="1:20">
      <c r="A44" s="178" t="str">
        <f>"IC"&amp;COVER!C$15&amp;COVER!C$23&amp;"-"&amp;COVER!C$22&amp;F44</f>
        <v>IC13C241217-1028</v>
      </c>
      <c r="B44" s="179" t="s">
        <v>55</v>
      </c>
      <c r="C44" s="180" t="str">
        <f>$C$9</f>
        <v>ISIRF Ulva</v>
      </c>
      <c r="D44" s="303">
        <f>$D$9</f>
        <v>1.2</v>
      </c>
      <c r="E44" s="463">
        <v>1.109</v>
      </c>
      <c r="F44" s="181">
        <f t="shared" si="0"/>
        <v>28</v>
      </c>
      <c r="G44"/>
      <c r="H44" s="33"/>
      <c r="T44" s="2"/>
    </row>
    <row r="45" spans="1:20">
      <c r="A45" s="178" t="str">
        <f>"IC"&amp;COVER!C$15&amp;COVER!C$23&amp;"-"&amp;COVER!C$22&amp;F45</f>
        <v>IC13C241217-1029</v>
      </c>
      <c r="B45" s="179" t="s">
        <v>56</v>
      </c>
      <c r="C45" s="180" t="str">
        <f>C10</f>
        <v>ISIRF Chitin</v>
      </c>
      <c r="D45" s="303">
        <f>$D$10</f>
        <v>1</v>
      </c>
      <c r="E45" s="463">
        <v>1.038</v>
      </c>
      <c r="F45" s="181">
        <f t="shared" si="0"/>
        <v>29</v>
      </c>
      <c r="G45"/>
      <c r="H45" s="33"/>
      <c r="T45" s="2"/>
    </row>
    <row r="46" spans="1:20">
      <c r="A46" s="178" t="str">
        <f>"IC"&amp;COVER!C$15&amp;COVER!C$23&amp;"-"&amp;COVER!C$22&amp;F46</f>
        <v>IC13C241217-1030</v>
      </c>
      <c r="B46" s="179" t="s">
        <v>57</v>
      </c>
      <c r="C46" s="180" t="str">
        <f>C11</f>
        <v>ISIRF Bamboo</v>
      </c>
      <c r="D46" s="303">
        <f>$D$11</f>
        <v>1.5</v>
      </c>
      <c r="E46" s="463">
        <v>1.474</v>
      </c>
      <c r="F46" s="181">
        <f t="shared" si="0"/>
        <v>30</v>
      </c>
      <c r="G46"/>
      <c r="H46" s="33"/>
      <c r="T46" s="2"/>
    </row>
    <row r="47" spans="1:20">
      <c r="A47" s="178" t="str">
        <f>"IC"&amp;COVER!C$15&amp;COVER!C$23&amp;"-"&amp;COVER!C$22&amp;F47</f>
        <v>IC13C241217-1031</v>
      </c>
      <c r="B47" s="179" t="s">
        <v>58</v>
      </c>
      <c r="C47" s="180" t="str">
        <f>C12</f>
        <v>NBS 1572 Citrus Leaf</v>
      </c>
      <c r="D47" s="303">
        <f>$D$12</f>
        <v>2</v>
      </c>
      <c r="E47" s="463">
        <v>2.069</v>
      </c>
      <c r="F47" s="181">
        <f t="shared" si="0"/>
        <v>31</v>
      </c>
      <c r="G47"/>
      <c r="H47" s="33"/>
      <c r="T47" s="2"/>
    </row>
    <row r="48" spans="1:20">
      <c r="A48" s="178" t="str">
        <f>"IC"&amp;COVER!C$15&amp;COVER!C$23&amp;"-"&amp;COVER!C$22&amp;F48</f>
        <v>IC13C241217-1032</v>
      </c>
      <c r="B48" s="179" t="s">
        <v>59</v>
      </c>
      <c r="C48" s="183" t="str">
        <f>IF('Investigator Data'!B22="","",'Investigator Data'!B22)</f>
        <v xml:space="preserve">20231120_SS1_A </v>
      </c>
      <c r="D48" s="304">
        <f>IF('Investigator Data'!C22="",$D$8,'Investigator Data'!C22)</f>
        <v>25</v>
      </c>
      <c r="E48" s="463">
        <v>26.736000000000001</v>
      </c>
      <c r="F48" s="181">
        <f t="shared" si="0"/>
        <v>32</v>
      </c>
      <c r="G48"/>
      <c r="H48" s="33"/>
      <c r="T48" s="2"/>
    </row>
    <row r="49" spans="1:20">
      <c r="A49" s="178" t="str">
        <f>"IC"&amp;COVER!C$15&amp;COVER!C$23&amp;"-"&amp;COVER!C$22&amp;F49</f>
        <v>IC13C241217-1033</v>
      </c>
      <c r="B49" s="179" t="s">
        <v>194</v>
      </c>
      <c r="C49" s="183" t="str">
        <f>IF('Investigator Data'!B23="","",'Investigator Data'!B23)</f>
        <v xml:space="preserve">20231120_SS1_B </v>
      </c>
      <c r="D49" s="304">
        <f>IF('Investigator Data'!C23="",$D$8,'Investigator Data'!C23)</f>
        <v>25</v>
      </c>
      <c r="E49" s="463">
        <v>25.969000000000001</v>
      </c>
      <c r="F49" s="181">
        <f t="shared" si="0"/>
        <v>33</v>
      </c>
      <c r="G49"/>
      <c r="H49" s="33"/>
      <c r="T49" s="2"/>
    </row>
    <row r="50" spans="1:20">
      <c r="A50" s="178" t="str">
        <f>"IC"&amp;COVER!C$15&amp;COVER!C$23&amp;"-"&amp;COVER!C$22&amp;F50</f>
        <v>IC13C241217-1034</v>
      </c>
      <c r="B50" s="179" t="s">
        <v>195</v>
      </c>
      <c r="C50" s="183" t="str">
        <f>IF('Investigator Data'!B24="","",'Investigator Data'!B24)</f>
        <v xml:space="preserve">20231120_SS1_C </v>
      </c>
      <c r="D50" s="304">
        <f>IF('Investigator Data'!C24="",$D$8,'Investigator Data'!C24)</f>
        <v>25</v>
      </c>
      <c r="E50" s="463">
        <v>25.167000000000002</v>
      </c>
      <c r="F50" s="181">
        <f t="shared" si="0"/>
        <v>34</v>
      </c>
      <c r="G50"/>
      <c r="H50" s="33"/>
      <c r="T50" s="2"/>
    </row>
    <row r="51" spans="1:20">
      <c r="A51" s="178" t="str">
        <f>"IC"&amp;COVER!C$15&amp;COVER!C$23&amp;"-"&amp;COVER!C$22&amp;F51</f>
        <v>IC13C241217-1035</v>
      </c>
      <c r="B51" s="179" t="s">
        <v>196</v>
      </c>
      <c r="C51" s="183" t="str">
        <f>IF('Investigator Data'!B25="","",'Investigator Data'!B25)</f>
        <v xml:space="preserve">20231120_SS1_D </v>
      </c>
      <c r="D51" s="304">
        <f>IF('Investigator Data'!C25="",$D$8,'Investigator Data'!C25)</f>
        <v>25</v>
      </c>
      <c r="E51" s="463">
        <v>25.943999999999999</v>
      </c>
      <c r="F51" s="181">
        <f t="shared" si="0"/>
        <v>35</v>
      </c>
      <c r="G51"/>
      <c r="H51" s="33"/>
      <c r="T51" s="2"/>
    </row>
    <row r="52" spans="1:20">
      <c r="A52" s="178" t="str">
        <f>"IC"&amp;COVER!C$15&amp;COVER!C$23&amp;"-"&amp;COVER!C$22&amp;F52</f>
        <v>IC13C241217-1036</v>
      </c>
      <c r="B52" s="179" t="s">
        <v>197</v>
      </c>
      <c r="C52" s="183" t="str">
        <f>IF('Investigator Data'!B26="","",'Investigator Data'!B26)</f>
        <v xml:space="preserve">20231120_SS1_E </v>
      </c>
      <c r="D52" s="304">
        <f>IF('Investigator Data'!C26="",$D$8,'Investigator Data'!C26)</f>
        <v>25</v>
      </c>
      <c r="E52" s="463">
        <v>25.053999999999998</v>
      </c>
      <c r="F52" s="181">
        <f t="shared" si="0"/>
        <v>36</v>
      </c>
      <c r="G52"/>
      <c r="H52" s="33"/>
      <c r="T52" s="2"/>
    </row>
    <row r="53" spans="1:20">
      <c r="A53" s="178" t="str">
        <f>"IC"&amp;COVER!C$15&amp;COVER!C$23&amp;"-"&amp;COVER!C$22&amp;F53</f>
        <v>IC13C241217-1037</v>
      </c>
      <c r="B53" s="179" t="s">
        <v>60</v>
      </c>
      <c r="C53" s="183" t="str">
        <f>IF('Investigator Data'!B27="","",'Investigator Data'!B27)</f>
        <v xml:space="preserve">20231120_SS1_F </v>
      </c>
      <c r="D53" s="304">
        <f>IF('Investigator Data'!C27="",$D$8,'Investigator Data'!C27)</f>
        <v>25</v>
      </c>
      <c r="E53" s="463">
        <v>25.629000000000001</v>
      </c>
      <c r="F53" s="181">
        <f t="shared" si="0"/>
        <v>37</v>
      </c>
      <c r="G53"/>
      <c r="H53" s="33"/>
      <c r="T53" s="2"/>
    </row>
    <row r="54" spans="1:20">
      <c r="A54" s="178" t="str">
        <f>"IC"&amp;COVER!C$15&amp;COVER!C$23&amp;"-"&amp;COVER!C$22&amp;F54</f>
        <v>IC13C241217-1038</v>
      </c>
      <c r="B54" s="179" t="s">
        <v>61</v>
      </c>
      <c r="C54" s="183" t="str">
        <f>IF('Investigator Data'!B28="","",'Investigator Data'!B28)</f>
        <v xml:space="preserve">20231120_SS1_G </v>
      </c>
      <c r="D54" s="304">
        <f>IF('Investigator Data'!C28="",$D$8,'Investigator Data'!C28)</f>
        <v>25</v>
      </c>
      <c r="E54" s="463">
        <v>24.806000000000001</v>
      </c>
      <c r="F54" s="181">
        <f t="shared" si="0"/>
        <v>38</v>
      </c>
      <c r="G54"/>
      <c r="H54" s="33"/>
      <c r="T54" s="2"/>
    </row>
    <row r="55" spans="1:20">
      <c r="A55" s="178" t="str">
        <f>"IC"&amp;COVER!C$15&amp;COVER!C$23&amp;"-"&amp;COVER!C$22&amp;F55</f>
        <v>IC13C241217-1039</v>
      </c>
      <c r="B55" s="179" t="s">
        <v>62</v>
      </c>
      <c r="C55" s="183" t="str">
        <f>IF('Investigator Data'!B29="","",'Investigator Data'!B29)</f>
        <v xml:space="preserve">20231120_SS1_H </v>
      </c>
      <c r="D55" s="304">
        <f>IF('Investigator Data'!C29="",$D$8,'Investigator Data'!C29)</f>
        <v>25</v>
      </c>
      <c r="E55" s="463">
        <v>26.15</v>
      </c>
      <c r="F55" s="181">
        <f t="shared" si="0"/>
        <v>39</v>
      </c>
      <c r="G55"/>
      <c r="H55" s="33"/>
      <c r="T55" s="2"/>
    </row>
    <row r="56" spans="1:20">
      <c r="A56" s="178" t="str">
        <f>"IC"&amp;COVER!C$15&amp;COVER!C$23&amp;"-"&amp;COVER!C$22&amp;F56</f>
        <v>IC13C241217-1040</v>
      </c>
      <c r="B56" s="179" t="s">
        <v>63</v>
      </c>
      <c r="C56" s="183" t="str">
        <f>IF('Investigator Data'!B30="","",'Investigator Data'!B30)</f>
        <v xml:space="preserve">20231120_SS1_I </v>
      </c>
      <c r="D56" s="304">
        <f>IF('Investigator Data'!C30="",$D$8,'Investigator Data'!C30)</f>
        <v>25</v>
      </c>
      <c r="E56" s="463">
        <v>26.305</v>
      </c>
      <c r="F56" s="181">
        <f t="shared" si="0"/>
        <v>40</v>
      </c>
      <c r="G56"/>
      <c r="H56" s="33"/>
      <c r="T56" s="2"/>
    </row>
    <row r="57" spans="1:20">
      <c r="A57" s="178" t="str">
        <f>"IC"&amp;COVER!C$15&amp;COVER!C$23&amp;"-"&amp;COVER!C$22&amp;F57</f>
        <v>IC13C241217-1041</v>
      </c>
      <c r="B57" s="179" t="s">
        <v>64</v>
      </c>
      <c r="C57" s="180" t="str">
        <f>$C$9</f>
        <v>ISIRF Ulva</v>
      </c>
      <c r="D57" s="303">
        <f>$D$9</f>
        <v>1.2</v>
      </c>
      <c r="E57" s="463">
        <v>1.127</v>
      </c>
      <c r="F57" s="181">
        <f t="shared" si="0"/>
        <v>41</v>
      </c>
      <c r="G57"/>
      <c r="H57" s="33"/>
      <c r="T57" s="2"/>
    </row>
    <row r="58" spans="1:20">
      <c r="A58" s="178" t="str">
        <f>"IC"&amp;COVER!C$15&amp;COVER!C$23&amp;"-"&amp;COVER!C$22&amp;F58</f>
        <v>IC13C241217-1042</v>
      </c>
      <c r="B58" s="179" t="s">
        <v>65</v>
      </c>
      <c r="C58" s="183" t="str">
        <f>IF('Investigator Data'!B31="","",'Investigator Data'!B31)</f>
        <v xml:space="preserve">20231120_SS1_J </v>
      </c>
      <c r="D58" s="304">
        <f>IF('Investigator Data'!C31="",$D$8,'Investigator Data'!C31)</f>
        <v>25</v>
      </c>
      <c r="E58" s="463">
        <v>24.992000000000001</v>
      </c>
      <c r="F58" s="181">
        <f t="shared" si="0"/>
        <v>42</v>
      </c>
      <c r="G58"/>
      <c r="H58" s="33"/>
      <c r="T58" s="2"/>
    </row>
    <row r="59" spans="1:20">
      <c r="A59" s="178" t="str">
        <f>"IC"&amp;COVER!C$15&amp;COVER!C$23&amp;"-"&amp;COVER!C$22&amp;F59</f>
        <v>IC13C241217-1043</v>
      </c>
      <c r="B59" s="179" t="s">
        <v>11</v>
      </c>
      <c r="C59" s="183" t="str">
        <f>IF('Investigator Data'!B32="","",'Investigator Data'!B32)</f>
        <v>20231120_SS1_K</v>
      </c>
      <c r="D59" s="304">
        <f>IF('Investigator Data'!C32="",$D$8,'Investigator Data'!C32)</f>
        <v>25</v>
      </c>
      <c r="E59" s="463">
        <v>25.155999999999999</v>
      </c>
      <c r="F59" s="181">
        <f t="shared" si="0"/>
        <v>43</v>
      </c>
      <c r="G59"/>
      <c r="H59" s="33"/>
      <c r="T59" s="2"/>
    </row>
    <row r="60" spans="1:20">
      <c r="A60" s="178" t="str">
        <f>"IC"&amp;COVER!C$15&amp;COVER!C$23&amp;"-"&amp;COVER!C$22&amp;F60</f>
        <v>IC13C241217-1044</v>
      </c>
      <c r="B60" s="179" t="s">
        <v>12</v>
      </c>
      <c r="C60" s="183" t="str">
        <f>IF('Investigator Data'!B33="","",'Investigator Data'!B33)</f>
        <v xml:space="preserve">20231120_W1_A </v>
      </c>
      <c r="D60" s="304">
        <f>IF('Investigator Data'!C33="",$D$8,'Investigator Data'!C33)</f>
        <v>25</v>
      </c>
      <c r="E60" s="463">
        <v>24.911999999999999</v>
      </c>
      <c r="F60" s="181">
        <f t="shared" si="0"/>
        <v>44</v>
      </c>
      <c r="G60"/>
      <c r="H60" s="33"/>
      <c r="T60" s="2"/>
    </row>
    <row r="61" spans="1:20">
      <c r="A61" s="178" t="str">
        <f>"IC"&amp;COVER!C$15&amp;COVER!C$23&amp;"-"&amp;COVER!C$22&amp;F61</f>
        <v>IC13C241217-1045</v>
      </c>
      <c r="B61" s="179" t="s">
        <v>198</v>
      </c>
      <c r="C61" s="183" t="str">
        <f>IF('Investigator Data'!B34="","",'Investigator Data'!B34)</f>
        <v xml:space="preserve">20231120_W1_B </v>
      </c>
      <c r="D61" s="304">
        <f>IF('Investigator Data'!C34="",$D$8,'Investigator Data'!C34)</f>
        <v>25</v>
      </c>
      <c r="E61" s="463">
        <v>25.379000000000001</v>
      </c>
      <c r="F61" s="181">
        <f t="shared" si="0"/>
        <v>45</v>
      </c>
      <c r="G61"/>
      <c r="H61" s="33"/>
      <c r="T61" s="2"/>
    </row>
    <row r="62" spans="1:20">
      <c r="A62" s="178" t="str">
        <f>"IC"&amp;COVER!C$15&amp;COVER!C$23&amp;"-"&amp;COVER!C$22&amp;F62</f>
        <v>IC13C241217-1046</v>
      </c>
      <c r="B62" s="179" t="s">
        <v>199</v>
      </c>
      <c r="C62" s="183" t="str">
        <f>IF('Investigator Data'!B35="","",'Investigator Data'!B35)</f>
        <v xml:space="preserve">20231120_W1_C </v>
      </c>
      <c r="D62" s="304">
        <f>IF('Investigator Data'!C35="",$D$8,'Investigator Data'!C35)</f>
        <v>25</v>
      </c>
      <c r="E62" s="463">
        <v>25.408999999999999</v>
      </c>
      <c r="F62" s="181">
        <f t="shared" si="0"/>
        <v>46</v>
      </c>
      <c r="G62"/>
      <c r="H62" s="33"/>
      <c r="T62" s="2"/>
    </row>
    <row r="63" spans="1:20">
      <c r="A63" s="178" t="str">
        <f>"IC"&amp;COVER!C$15&amp;COVER!C$23&amp;"-"&amp;COVER!C$22&amp;F63</f>
        <v>IC13C241217-1047</v>
      </c>
      <c r="B63" s="179" t="s">
        <v>200</v>
      </c>
      <c r="C63" s="183" t="str">
        <f>IF('Investigator Data'!B36="","",'Investigator Data'!B36)</f>
        <v xml:space="preserve">20231120_W1_D </v>
      </c>
      <c r="D63" s="304">
        <f>IF('Investigator Data'!C36="",$D$8,'Investigator Data'!C36)</f>
        <v>25</v>
      </c>
      <c r="E63" s="463">
        <v>26.213999999999999</v>
      </c>
      <c r="F63" s="181">
        <f t="shared" si="0"/>
        <v>47</v>
      </c>
      <c r="G63"/>
      <c r="H63" s="33"/>
      <c r="T63" s="2"/>
    </row>
    <row r="64" spans="1:20">
      <c r="A64" s="178" t="str">
        <f>"IC"&amp;COVER!C$15&amp;COVER!C$23&amp;"-"&amp;COVER!C$22&amp;F64</f>
        <v>IC13C241217-1048</v>
      </c>
      <c r="B64" s="179" t="s">
        <v>201</v>
      </c>
      <c r="C64" s="183" t="str">
        <f>IF('Investigator Data'!B37="","",'Investigator Data'!B37)</f>
        <v xml:space="preserve">20231120_W1_E </v>
      </c>
      <c r="D64" s="304">
        <f>IF('Investigator Data'!C37="",$D$8,'Investigator Data'!C37)</f>
        <v>25</v>
      </c>
      <c r="E64" s="463">
        <v>25.594999999999999</v>
      </c>
      <c r="F64" s="181">
        <f t="shared" si="0"/>
        <v>48</v>
      </c>
      <c r="G64"/>
      <c r="H64" s="33"/>
      <c r="T64" s="2"/>
    </row>
    <row r="65" spans="1:20">
      <c r="A65" s="178" t="str">
        <f>"IC"&amp;COVER!C$15&amp;COVER!C$23&amp;"-"&amp;COVER!C$22&amp;F65</f>
        <v>IC13C241217-1049</v>
      </c>
      <c r="B65" s="179" t="s">
        <v>13</v>
      </c>
      <c r="C65" s="183" t="str">
        <f>IF('Investigator Data'!B38="","",'Investigator Data'!B38)</f>
        <v xml:space="preserve">20231120_W1_F </v>
      </c>
      <c r="D65" s="304">
        <f>IF('Investigator Data'!C38="",$D$8,'Investigator Data'!C38)</f>
        <v>25</v>
      </c>
      <c r="E65" s="463">
        <v>24.814</v>
      </c>
      <c r="F65" s="181">
        <f t="shared" si="0"/>
        <v>49</v>
      </c>
      <c r="G65"/>
      <c r="H65" s="33"/>
      <c r="T65" s="2"/>
    </row>
    <row r="66" spans="1:20">
      <c r="A66" s="178" t="str">
        <f>"IC"&amp;COVER!C$15&amp;COVER!C$23&amp;"-"&amp;COVER!C$22&amp;F66</f>
        <v>IC13C241217-1050</v>
      </c>
      <c r="B66" s="179" t="s">
        <v>167</v>
      </c>
      <c r="C66" s="183" t="str">
        <f>IF('Investigator Data'!B39="","",'Investigator Data'!B39)</f>
        <v xml:space="preserve">20231120_W1_G </v>
      </c>
      <c r="D66" s="304">
        <f>IF('Investigator Data'!C39="",$D$8,'Investigator Data'!C39)</f>
        <v>25</v>
      </c>
      <c r="E66" s="463">
        <v>25.81</v>
      </c>
      <c r="F66" s="181">
        <f t="shared" si="0"/>
        <v>50</v>
      </c>
      <c r="G66"/>
      <c r="H66" s="33"/>
    </row>
    <row r="67" spans="1:20">
      <c r="A67" s="178" t="str">
        <f>"IC"&amp;COVER!C$15&amp;COVER!C$23&amp;"-"&amp;COVER!C$22&amp;F67</f>
        <v>IC13C241217-1051</v>
      </c>
      <c r="B67" s="179" t="s">
        <v>168</v>
      </c>
      <c r="C67" s="410" t="str">
        <f>IF('Investigator Data'!B4="","","R1-"&amp;'Investigator Data'!B4)</f>
        <v xml:space="preserve">R1-20231120_S3_A </v>
      </c>
      <c r="D67" s="304">
        <f>IF('Investigator Data'!C4="",$D$8,'Investigator Data'!C4)</f>
        <v>25</v>
      </c>
      <c r="E67" s="463">
        <v>25.632999999999999</v>
      </c>
      <c r="F67" s="181">
        <f t="shared" si="0"/>
        <v>51</v>
      </c>
      <c r="G67"/>
      <c r="H67" s="33"/>
    </row>
    <row r="68" spans="1:20">
      <c r="A68" s="178" t="str">
        <f>"IC"&amp;COVER!C$15&amp;COVER!C$23&amp;"-"&amp;COVER!C$22&amp;F68</f>
        <v>IC13C241217-1052</v>
      </c>
      <c r="B68" s="179" t="s">
        <v>169</v>
      </c>
      <c r="C68" s="180" t="s">
        <v>34</v>
      </c>
      <c r="D68" s="303" t="s">
        <v>403</v>
      </c>
      <c r="E68" s="463" t="s">
        <v>403</v>
      </c>
      <c r="F68" s="181">
        <f t="shared" si="0"/>
        <v>52</v>
      </c>
      <c r="G68"/>
      <c r="H68" s="33"/>
    </row>
    <row r="69" spans="1:20">
      <c r="A69" s="178" t="str">
        <f>"IC"&amp;COVER!C$15&amp;COVER!C$23&amp;"-"&amp;COVER!C$22&amp;F69</f>
        <v>IC13C241217-1053</v>
      </c>
      <c r="B69" s="179" t="s">
        <v>170</v>
      </c>
      <c r="C69" s="180" t="str">
        <f>$C$9</f>
        <v>ISIRF Ulva</v>
      </c>
      <c r="D69" s="303">
        <f>$D$9</f>
        <v>1.2</v>
      </c>
      <c r="E69" s="464">
        <v>1.2869999999999999</v>
      </c>
      <c r="F69" s="181">
        <f t="shared" si="0"/>
        <v>53</v>
      </c>
      <c r="G69"/>
      <c r="H69" s="33"/>
    </row>
    <row r="70" spans="1:20">
      <c r="A70" s="178" t="str">
        <f>"IC"&amp;COVER!C$15&amp;COVER!C$23&amp;"-"&amp;COVER!C$22&amp;F70</f>
        <v>IC13C241217-1054</v>
      </c>
      <c r="B70" s="179" t="s">
        <v>171</v>
      </c>
      <c r="C70" s="180" t="str">
        <f>$C$10</f>
        <v>ISIRF Chitin</v>
      </c>
      <c r="D70" s="303">
        <f>$D$10</f>
        <v>1</v>
      </c>
      <c r="E70" s="464">
        <v>1.075</v>
      </c>
      <c r="F70" s="181">
        <f t="shared" si="0"/>
        <v>54</v>
      </c>
      <c r="G70"/>
      <c r="H70" s="33"/>
    </row>
    <row r="71" spans="1:20">
      <c r="A71" s="178" t="str">
        <f>"IC"&amp;COVER!C$15&amp;COVER!C$23&amp;"-"&amp;COVER!C$22&amp;F71</f>
        <v>IC13C241217-1055</v>
      </c>
      <c r="B71" s="179" t="s">
        <v>172</v>
      </c>
      <c r="C71" s="180" t="str">
        <f>$C$11</f>
        <v>ISIRF Bamboo</v>
      </c>
      <c r="D71" s="303">
        <f>$D$11</f>
        <v>1.5</v>
      </c>
      <c r="E71" s="463">
        <v>1.411</v>
      </c>
      <c r="F71" s="181">
        <f t="shared" si="0"/>
        <v>55</v>
      </c>
      <c r="G71"/>
      <c r="H71" s="33"/>
    </row>
    <row r="72" spans="1:20">
      <c r="A72" s="440" t="str">
        <f>"IC"&amp;COVER!C$15&amp;COVER!C$23&amp;"-"&amp;COVER!C$22&amp;F72</f>
        <v>IC13C241217-1056</v>
      </c>
      <c r="B72" s="441" t="s">
        <v>173</v>
      </c>
      <c r="C72" s="442" t="str">
        <f>C12</f>
        <v>NBS 1572 Citrus Leaf</v>
      </c>
      <c r="D72" s="443">
        <f>$D$12</f>
        <v>2</v>
      </c>
      <c r="E72" s="465">
        <v>2.073</v>
      </c>
      <c r="F72" s="444">
        <f t="shared" si="0"/>
        <v>56</v>
      </c>
      <c r="G72"/>
      <c r="H72" s="33"/>
    </row>
    <row r="73" spans="1:20">
      <c r="B73" s="439"/>
    </row>
    <row r="74" spans="1:20">
      <c r="B74" s="439"/>
    </row>
    <row r="75" spans="1:20">
      <c r="B75" s="439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17:E18">
    <cfRule type="expression" dxfId="24" priority="3" stopIfTrue="1">
      <formula>C17=""</formula>
    </cfRule>
  </conditionalFormatting>
  <conditionalFormatting sqref="E23:E72">
    <cfRule type="expression" dxfId="23" priority="1" stopIfTrue="1">
      <formula>C23=""</formula>
    </cfRule>
  </conditionalFormatting>
  <pageMargins left="0.44" right="0.46" top="0.64" bottom="0.46" header="0.34" footer="0.45"/>
  <pageSetup scale="75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T21" sqref="T21"/>
    </sheetView>
  </sheetViews>
  <sheetFormatPr defaultColWidth="9.140625" defaultRowHeight="12.75"/>
  <cols>
    <col min="1" max="1" width="12.7109375" style="26" customWidth="1"/>
    <col min="2" max="2" width="27" style="26" customWidth="1"/>
    <col min="3" max="3" width="19.5703125" style="26" customWidth="1"/>
    <col min="4" max="4" width="18.7109375" style="26" bestFit="1" customWidth="1"/>
    <col min="5" max="5" width="11.42578125" style="26" bestFit="1" customWidth="1"/>
    <col min="6" max="6" width="7.7109375" style="46" customWidth="1"/>
    <col min="7" max="7" width="8.85546875" style="46" bestFit="1" customWidth="1"/>
    <col min="8" max="9" width="10" style="46" bestFit="1" customWidth="1"/>
    <col min="10" max="10" width="8.42578125" style="46" bestFit="1" customWidth="1"/>
    <col min="11" max="11" width="8.5703125" style="46" bestFit="1" customWidth="1"/>
    <col min="12" max="12" width="10" style="46" bestFit="1" customWidth="1"/>
    <col min="13" max="13" width="11.42578125" style="46" customWidth="1"/>
    <col min="14" max="14" width="10.42578125" style="45" customWidth="1"/>
    <col min="15" max="15" width="8.5703125" style="45" customWidth="1"/>
    <col min="16" max="16" width="6.7109375" style="45" customWidth="1"/>
    <col min="17" max="17" width="12.85546875" style="45" customWidth="1"/>
    <col min="18" max="16384" width="9.14062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>
      <c r="A2" s="49"/>
      <c r="B2" s="49"/>
      <c r="C2" s="49"/>
      <c r="D2" s="49"/>
      <c r="E2" s="52" t="s">
        <v>10</v>
      </c>
      <c r="F2" s="53" t="str">
        <f>COVER!C2</f>
        <v>IC13C-241217-10KansasROAR-2Carbon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.5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" thickTop="1">
      <c r="A4" s="56" t="s">
        <v>91</v>
      </c>
      <c r="B4" s="57"/>
      <c r="C4" s="58"/>
      <c r="D4" s="59"/>
      <c r="E4" s="60" t="s">
        <v>215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232</v>
      </c>
      <c r="L5" s="72" t="s">
        <v>94</v>
      </c>
      <c r="M5" s="73" t="s">
        <v>222</v>
      </c>
      <c r="N5" s="74"/>
      <c r="O5" s="75">
        <f>IF(SUM(L7:L11)&lt;2,"",SQRT((SUMPRODUCT(F6:F11,L6:L11))/SUM(L6:L11)))</f>
        <v>7.761571281109568E-2</v>
      </c>
      <c r="P5" s="26"/>
      <c r="Q5" s="26"/>
    </row>
    <row r="6" spans="1:17" ht="14.25" thickTop="1" thickBot="1">
      <c r="A6" s="76" t="s">
        <v>138</v>
      </c>
      <c r="B6" s="77"/>
      <c r="C6" s="78" t="str">
        <f>'ISIRF 13C'!A7</f>
        <v>NBS 1572 Citrus Leaf</v>
      </c>
      <c r="D6" s="376">
        <f>'ISIRF 13C'!C7</f>
        <v>-27.295919880831075</v>
      </c>
      <c r="E6" s="133">
        <f>'ISIRF 13C'!B33</f>
        <v>-27.226530526523348</v>
      </c>
      <c r="F6" s="133">
        <f>'ISIRF 13C'!C33</f>
        <v>6.0154535575820574E-3</v>
      </c>
      <c r="G6" s="107">
        <f>'ISIRF 13C'!D33</f>
        <v>7.7559355061669111E-2</v>
      </c>
      <c r="H6" s="106">
        <f>'ISIRF 13C'!D7</f>
        <v>43.692042301333338</v>
      </c>
      <c r="I6" s="108">
        <f>'ISIRF 13C'!E33</f>
        <v>43.644474303166668</v>
      </c>
      <c r="J6" s="108">
        <f>'ISIRF 13C'!F33</f>
        <v>2.7852302323050401E-2</v>
      </c>
      <c r="K6" s="391">
        <f>'ISIRF 13C'!G33</f>
        <v>3.8238538374532256E-3</v>
      </c>
      <c r="L6" s="400">
        <f>'ISIRF 13C'!H33</f>
        <v>3</v>
      </c>
      <c r="M6" s="82" t="s">
        <v>89</v>
      </c>
      <c r="N6" s="83"/>
      <c r="O6" s="84">
        <f>AVERAGE(K6:K11)</f>
        <v>1.1718746004079636E-2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-12.890511300308667</v>
      </c>
      <c r="E7" s="99">
        <f>'ISIRF 13C'!B30</f>
        <v>-12.921243619160384</v>
      </c>
      <c r="F7" s="99">
        <f>'ISIRF 13C'!C30</f>
        <v>5.7656113972151552E-3</v>
      </c>
      <c r="G7" s="100">
        <f>'ISIRF 13C'!D30</f>
        <v>7.5931623169896448E-2</v>
      </c>
      <c r="H7" s="101">
        <f>'ISIRF 13C'!D4</f>
        <v>33.294437556499993</v>
      </c>
      <c r="I7" s="99">
        <f>'ISIRF 13C'!E30</f>
        <v>33.012449917360001</v>
      </c>
      <c r="J7" s="99">
        <f>'ISIRF 13C'!F30</f>
        <v>1.1156584150401405</v>
      </c>
      <c r="K7" s="100">
        <f>'ISIRF 13C'!G30</f>
        <v>3.1995423826069833E-2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4.25">
      <c r="A8" s="91" t="s">
        <v>87</v>
      </c>
      <c r="B8" s="92"/>
      <c r="C8" s="93" t="str">
        <f>'ISIRF 13C'!A5</f>
        <v>ISIRF Chitin</v>
      </c>
      <c r="D8" s="105">
        <f>'ISIRF 13C'!C5</f>
        <v>-21.201039386165913</v>
      </c>
      <c r="E8" s="106">
        <f>'ISIRF 13C'!B31</f>
        <v>-21.106551230680111</v>
      </c>
      <c r="F8" s="106">
        <f>'ISIRF 13C'!C31</f>
        <v>1.3125782438271625E-2</v>
      </c>
      <c r="G8" s="377">
        <f>'ISIRF 13C'!D31</f>
        <v>0.11456780716358163</v>
      </c>
      <c r="H8" s="378">
        <f>'ISIRF 13C'!D5</f>
        <v>44.925158736166672</v>
      </c>
      <c r="I8" s="103">
        <f>'ISIRF 13C'!E31</f>
        <v>45.776109683666668</v>
      </c>
      <c r="J8" s="103">
        <f>'ISIRF 13C'!F31</f>
        <v>0.27224095977149815</v>
      </c>
      <c r="K8" s="104">
        <f>'ISIRF 13C'!G31</f>
        <v>1.139824145210871E-2</v>
      </c>
      <c r="L8" s="402">
        <f>'ISIRF 13C'!H31</f>
        <v>3</v>
      </c>
      <c r="M8" s="73" t="s">
        <v>222</v>
      </c>
      <c r="N8" s="74"/>
      <c r="O8" s="75">
        <f>IF(COUNT(E6:E7)=0,"",D6-E6)</f>
        <v>-6.9389354307727302E-2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-30.291663706283909</v>
      </c>
      <c r="E9" s="103">
        <f>'ISIRF 13C'!B32</f>
        <v>-30.334931330350187</v>
      </c>
      <c r="F9" s="103">
        <f>'ISIRF 13C'!C32</f>
        <v>5.2915819688729724E-3</v>
      </c>
      <c r="G9" s="104">
        <f>'ISIRF 13C'!D32</f>
        <v>7.2743260642295735E-2</v>
      </c>
      <c r="H9" s="378">
        <f>'ISIRF 13C'!D6</f>
        <v>45.850178489166666</v>
      </c>
      <c r="I9" s="381">
        <f>'ISIRF 13C'!E32</f>
        <v>45.300024472233325</v>
      </c>
      <c r="J9" s="106">
        <f>'ISIRF 13C'!F32</f>
        <v>3.8320146057709698E-2</v>
      </c>
      <c r="K9" s="106">
        <f>'ISIRF 13C'!G32</f>
        <v>4.3213072000464637E-3</v>
      </c>
      <c r="L9" s="403">
        <f>'ISIRF 13C'!H32</f>
        <v>3</v>
      </c>
      <c r="M9" s="96" t="s">
        <v>89</v>
      </c>
      <c r="N9" s="97"/>
      <c r="O9" s="98">
        <f>(H6-I6)</f>
        <v>4.7567998166670122E-2</v>
      </c>
      <c r="P9" s="42"/>
      <c r="Q9" s="26"/>
    </row>
    <row r="10" spans="1:17" ht="14.25" thickTop="1" thickBot="1">
      <c r="A10" s="85" t="s">
        <v>92</v>
      </c>
      <c r="B10" s="86"/>
      <c r="C10" s="87" t="str">
        <f>'Investigator Data'!B4</f>
        <v xml:space="preserve">20231120_S3_A </v>
      </c>
      <c r="D10" s="101"/>
      <c r="E10" s="99">
        <f>'ISIRF 13C'!B28</f>
        <v>-17.471787851166283</v>
      </c>
      <c r="F10" s="99">
        <f>'ISIRF 13C'!C28</f>
        <v>1.0919048783177908E-3</v>
      </c>
      <c r="G10" s="100">
        <f>'ISIRF 13C'!D28</f>
        <v>3.3043983995846973E-2</v>
      </c>
      <c r="H10" s="101"/>
      <c r="I10" s="99">
        <f>'ISIRF 13C'!E28</f>
        <v>1.3862741683499999</v>
      </c>
      <c r="J10" s="99">
        <f>'ISIRF 13C'!F28</f>
        <v>4.4375824260898855E-4</v>
      </c>
      <c r="K10" s="100">
        <f>'ISIRF 13C'!G28</f>
        <v>1.5195818083120424E-2</v>
      </c>
      <c r="L10" s="102">
        <f>'ISIRF 13C'!H28</f>
        <v>2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>20231120_S4_F _Dup</v>
      </c>
      <c r="D11" s="101"/>
      <c r="E11" s="99">
        <f>'ISIRF 13C'!B29</f>
        <v>-19.927058176502786</v>
      </c>
      <c r="F11" s="99">
        <f>'ISIRF 13C'!C29</f>
        <v>2.0626295581246713E-3</v>
      </c>
      <c r="G11" s="100">
        <f>'ISIRF 13C'!D29</f>
        <v>4.5416181677070469E-2</v>
      </c>
      <c r="H11" s="101"/>
      <c r="I11" s="99">
        <f>'ISIRF 13C'!E29</f>
        <v>2.4549079389999999</v>
      </c>
      <c r="J11" s="99">
        <f>'ISIRF 13C'!F29</f>
        <v>7.7145432470437792E-5</v>
      </c>
      <c r="K11" s="100">
        <f>'ISIRF 13C'!G29</f>
        <v>3.5778316256791613E-3</v>
      </c>
      <c r="L11" s="102">
        <f>'ISIRF 13C'!H29</f>
        <v>2</v>
      </c>
      <c r="M11" s="51"/>
      <c r="N11" s="51"/>
      <c r="O11" s="51"/>
      <c r="P11" s="26"/>
      <c r="Q11" s="26"/>
    </row>
    <row r="12" spans="1:17" ht="13.5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" thickTop="1">
      <c r="A13" s="111" t="s">
        <v>95</v>
      </c>
      <c r="B13" s="57"/>
      <c r="C13" s="58"/>
      <c r="D13" s="396"/>
      <c r="E13" s="397" t="s">
        <v>216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233</v>
      </c>
      <c r="L14" s="79" t="s">
        <v>94</v>
      </c>
      <c r="M14" s="73" t="s">
        <v>223</v>
      </c>
      <c r="N14" s="74"/>
      <c r="O14" s="75">
        <f>IF(SUM(L16:L20)&lt;2,"",SQRT(SUMPRODUCT(F15:F20,L15:L20)/SUM(L15:L20)))</f>
        <v>8.8912711481581863E-2</v>
      </c>
      <c r="P14" s="26"/>
      <c r="Q14" s="26"/>
    </row>
    <row r="15" spans="1:17" ht="14.25" thickTop="1" thickBot="1">
      <c r="A15" s="76" t="s">
        <v>138</v>
      </c>
      <c r="B15" s="76"/>
      <c r="C15" s="112" t="str">
        <f>'ISIRF 15N'!A7</f>
        <v>NBS 1572 Citrus Leaf</v>
      </c>
      <c r="D15" s="380">
        <f>'ISIRF 15N'!C7</f>
        <v>4.6267128424999386</v>
      </c>
      <c r="E15" s="381">
        <f>'ISIRF 15N'!B33</f>
        <v>4.5479762364609924</v>
      </c>
      <c r="F15" s="381">
        <f>'ISIRF 15N'!C33</f>
        <v>2.8883233906459188E-5</v>
      </c>
      <c r="G15" s="382">
        <f>'ISIRF 15N'!D33</f>
        <v>5.374312412435584E-3</v>
      </c>
      <c r="H15" s="381">
        <f>'ISIRF 15N'!D7</f>
        <v>2.7467009260000004</v>
      </c>
      <c r="I15" s="381">
        <f>'ISIRF 15N'!E33</f>
        <v>2.7557335302504051</v>
      </c>
      <c r="J15" s="393">
        <f>'ISIRF 15N'!F33</f>
        <v>2.296766990663634E-3</v>
      </c>
      <c r="K15" s="394">
        <f>'ISIRF 15N'!G33</f>
        <v>1.739086758622423E-2</v>
      </c>
      <c r="L15" s="407">
        <f>'ISIRF 15N'!H33</f>
        <v>3</v>
      </c>
      <c r="M15" s="82" t="s">
        <v>90</v>
      </c>
      <c r="N15" s="83"/>
      <c r="O15" s="84">
        <f>AVERAGE(K15:K20)</f>
        <v>1.4147600311947896E-2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7.4989402826592171</v>
      </c>
      <c r="E16" s="124">
        <f>'ISIRF 15N'!B30</f>
        <v>7.5338181709805214</v>
      </c>
      <c r="F16" s="125">
        <f>'ISIRF 15N'!C30</f>
        <v>5.8735064047352034E-3</v>
      </c>
      <c r="G16" s="126">
        <f>'ISIRF 15N'!D30</f>
        <v>7.663880482324345E-2</v>
      </c>
      <c r="H16" s="124">
        <f>'ISIRF 15N'!D4</f>
        <v>4.2927354420000006</v>
      </c>
      <c r="I16" s="124">
        <f>'ISIRF 15N'!E30</f>
        <v>4.2599584715439942</v>
      </c>
      <c r="J16" s="384">
        <f>'ISIRF 15N'!F30</f>
        <v>3.1257678779524005E-2</v>
      </c>
      <c r="K16" s="126">
        <f>'ISIRF 15N'!G30</f>
        <v>4.1502379427378965E-2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4.25">
      <c r="A17" s="116" t="s">
        <v>87</v>
      </c>
      <c r="B17" s="117"/>
      <c r="C17" s="118" t="str">
        <f>'ISIRF 15N'!A5</f>
        <v>ISIRF Chitin</v>
      </c>
      <c r="D17" s="380">
        <f>'ISIRF 15N'!C5</f>
        <v>-5.009378479975914</v>
      </c>
      <c r="E17" s="129">
        <f>'ISIRF 15N'!B31</f>
        <v>-4.9599076207666508</v>
      </c>
      <c r="F17" s="384">
        <f>'ISIRF 15N'!C31</f>
        <v>3.6623355090459439E-3</v>
      </c>
      <c r="G17" s="385">
        <f>'ISIRF 15N'!D31</f>
        <v>6.0517233157555576E-2</v>
      </c>
      <c r="H17" s="129">
        <f>'ISIRF 15N'!D5</f>
        <v>6.5259674513333339</v>
      </c>
      <c r="I17" s="129">
        <f>'ISIRF 15N'!E31</f>
        <v>6.5314627658702475</v>
      </c>
      <c r="J17" s="130">
        <f>'ISIRF 15N'!F31</f>
        <v>4.0407490166476509E-3</v>
      </c>
      <c r="K17" s="131">
        <f>'ISIRF 15N'!G31</f>
        <v>9.7324119333026572E-3</v>
      </c>
      <c r="L17" s="405">
        <f>'ISIRF 15N'!H31</f>
        <v>3</v>
      </c>
      <c r="M17" s="73" t="s">
        <v>223</v>
      </c>
      <c r="N17" s="119"/>
      <c r="O17" s="75">
        <f>IF(COUNT(E15:E16)=0,"",D15-E15)</f>
        <v>7.8736606038946277E-2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2.0694573473526137</v>
      </c>
      <c r="E18" s="129">
        <f>'ISIRF 15N'!B32</f>
        <v>1.9618566742745116</v>
      </c>
      <c r="F18" s="386">
        <f>'ISIRF 15N'!C32</f>
        <v>1.23834650292576E-2</v>
      </c>
      <c r="G18" s="387">
        <f>'ISIRF 15N'!D32</f>
        <v>0.11128101827920879</v>
      </c>
      <c r="H18" s="390">
        <f>'ISIRF 15N'!D6</f>
        <v>3.046377295333333</v>
      </c>
      <c r="I18" s="390">
        <f>'ISIRF 15N'!E32</f>
        <v>3.0955102648897586</v>
      </c>
      <c r="J18" s="386">
        <f>'ISIRF 15N'!F32</f>
        <v>5.3914500176433433E-4</v>
      </c>
      <c r="K18" s="386">
        <f>'ISIRF 15N'!G32</f>
        <v>7.5010237956304295E-3</v>
      </c>
      <c r="L18" s="406">
        <f>'ISIRF 15N'!H32</f>
        <v>3</v>
      </c>
      <c r="M18" s="96" t="s">
        <v>90</v>
      </c>
      <c r="N18" s="123"/>
      <c r="O18" s="98">
        <f>IF(COUNT(I15,I17:I18)=0,"",H15-I15)</f>
        <v>-9.0326042504047521E-3</v>
      </c>
      <c r="P18" s="26"/>
      <c r="Q18" s="26"/>
    </row>
    <row r="19" spans="1:18" ht="14.25" thickTop="1" thickBot="1">
      <c r="A19" s="113" t="s">
        <v>92</v>
      </c>
      <c r="B19" s="114"/>
      <c r="C19" s="112" t="str">
        <f>'Investigator Data'!B4</f>
        <v xml:space="preserve">20231120_S3_A </v>
      </c>
      <c r="D19" s="507"/>
      <c r="E19" s="508">
        <f>'ISIRF 15N'!B28</f>
        <v>6.0605288399874118</v>
      </c>
      <c r="F19" s="508">
        <f>'ISIRF 15N'!C28</f>
        <v>3.2199166925673525E-2</v>
      </c>
      <c r="G19" s="509">
        <f>'ISIRF 15N'!D28</f>
        <v>0.17944126316339151</v>
      </c>
      <c r="H19" s="390"/>
      <c r="I19" s="508">
        <f>'ISIRF 15N'!E28</f>
        <v>0.2672195724440582</v>
      </c>
      <c r="J19" s="508">
        <f>'ISIRF 15N'!F28</f>
        <v>1.1157189424188958E-6</v>
      </c>
      <c r="K19" s="509">
        <f>'ISIRF 15N'!G28</f>
        <v>3.9528391153364865E-3</v>
      </c>
      <c r="L19" s="510">
        <f>'ISIRF 15N'!H28</f>
        <v>2</v>
      </c>
      <c r="M19" s="51"/>
      <c r="N19" s="51"/>
      <c r="O19" s="51"/>
      <c r="P19" s="26"/>
      <c r="Q19" s="26"/>
    </row>
    <row r="20" spans="1:18" ht="14.25" thickTop="1" thickBot="1">
      <c r="A20" s="120" t="s">
        <v>93</v>
      </c>
      <c r="B20" s="121"/>
      <c r="C20" s="506" t="str">
        <f>'Investigator Data'!B17</f>
        <v>20231120_S4_F _Dup</v>
      </c>
      <c r="D20" s="507"/>
      <c r="E20" s="508">
        <f>'ISIRF 15N'!B29</f>
        <v>7.6324035801510615</v>
      </c>
      <c r="F20" s="508">
        <f>'ISIRF 15N'!C29</f>
        <v>1.5427377123664003E-4</v>
      </c>
      <c r="G20" s="509">
        <f>'ISIRF 15N'!D29</f>
        <v>1.2420699305459417E-2</v>
      </c>
      <c r="H20" s="390"/>
      <c r="I20" s="508">
        <f>'ISIRF 15N'!E29</f>
        <v>0.35917491791129708</v>
      </c>
      <c r="J20" s="508">
        <f>'ISIRF 15N'!F29</f>
        <v>2.979847207501549E-6</v>
      </c>
      <c r="K20" s="509">
        <f>'ISIRF 15N'!G29</f>
        <v>4.8060800138146039E-3</v>
      </c>
      <c r="L20" s="510">
        <f>'ISIRF 15N'!H29</f>
        <v>2</v>
      </c>
      <c r="M20" s="51"/>
      <c r="N20" s="51"/>
      <c r="O20" s="51"/>
      <c r="P20" s="26"/>
      <c r="Q20" s="26"/>
    </row>
    <row r="21" spans="1:18" ht="14.2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" thickTop="1">
      <c r="A22" s="111" t="s">
        <v>209</v>
      </c>
      <c r="B22" s="57"/>
      <c r="C22" s="58"/>
      <c r="D22" s="396"/>
      <c r="E22" s="397" t="s">
        <v>217</v>
      </c>
      <c r="F22" s="398"/>
      <c r="G22" s="399"/>
      <c r="H22" s="398"/>
      <c r="I22" s="398" t="s">
        <v>183</v>
      </c>
      <c r="J22" s="398"/>
      <c r="K22" s="399"/>
      <c r="L22" s="396"/>
      <c r="M22" s="64" t="s">
        <v>218</v>
      </c>
      <c r="N22" s="65"/>
      <c r="O22" s="66"/>
      <c r="P22" s="26"/>
      <c r="Q22" s="26"/>
    </row>
    <row r="23" spans="1:18" ht="1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221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.25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220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219</v>
      </c>
      <c r="N25" s="89"/>
      <c r="O25" s="90"/>
      <c r="P25" s="26"/>
      <c r="Q25" s="26"/>
    </row>
    <row r="26" spans="1:18" ht="14.2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221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220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.5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.5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5.5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210</v>
      </c>
      <c r="I32" s="145" t="s">
        <v>224</v>
      </c>
      <c r="J32" s="146" t="s">
        <v>68</v>
      </c>
      <c r="K32" s="146" t="s">
        <v>229</v>
      </c>
      <c r="L32" s="144" t="s">
        <v>225</v>
      </c>
      <c r="M32" s="145" t="s">
        <v>226</v>
      </c>
      <c r="N32" s="146" t="s">
        <v>67</v>
      </c>
      <c r="O32" s="146" t="s">
        <v>214</v>
      </c>
      <c r="P32" s="542"/>
      <c r="Q32" s="542" t="s">
        <v>97</v>
      </c>
      <c r="R32" s="147"/>
    </row>
    <row r="33" spans="1:18">
      <c r="A33" s="581">
        <f>'ISIRF RAW'!$B$2</f>
        <v>0</v>
      </c>
      <c r="B33" s="544" t="str">
        <f>'ISIRF 15N'!B11</f>
        <v>IC15N-241218-10KansasRoarCarbon-2_3.raw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9</v>
      </c>
      <c r="G33" s="326">
        <f>'ISIRF 15N'!G11</f>
        <v>1.121</v>
      </c>
      <c r="H33" s="325">
        <f>'ISIRF 15N'!H11</f>
        <v>4.0550154999999997</v>
      </c>
      <c r="I33" s="473">
        <f>'ISIRF 15N'!I11</f>
        <v>65098980</v>
      </c>
      <c r="J33" s="326">
        <f>'ISIRF 15N'!J11</f>
        <v>4.0198312243097902</v>
      </c>
      <c r="K33" s="326">
        <f>'ISIRF 15N'!K11</f>
        <v>7.4541073505540147</v>
      </c>
      <c r="L33" s="545">
        <f>'ISIRF 13C'!H11</f>
        <v>4.8012540000000001</v>
      </c>
      <c r="M33" s="475">
        <f>'ISIRF 13C'!I11</f>
        <v>50739732</v>
      </c>
      <c r="N33" s="326">
        <f>'ISIRF 13C'!J11</f>
        <v>31.457683993300002</v>
      </c>
      <c r="O33" s="546">
        <f>'ISIRF 13C'!K11</f>
        <v>-12.828393904071751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2">
        <f>'ISIRF RAW'!$B$2</f>
        <v>0</v>
      </c>
      <c r="B34" s="543" t="str">
        <f>'ISIRF 15N'!B12</f>
        <v>IC15N-241218-10KansasRoarCarbon-2_16.raw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22</v>
      </c>
      <c r="G34" s="327">
        <f>'ISIRF 15N'!G12</f>
        <v>1.1579999999999999</v>
      </c>
      <c r="H34" s="331">
        <f>'ISIRF 15N'!H12</f>
        <v>4.3573955</v>
      </c>
      <c r="I34" s="474">
        <f>'ISIRF 15N'!I12</f>
        <v>70089952</v>
      </c>
      <c r="J34" s="327">
        <f>'ISIRF 15N'!J12</f>
        <v>4.3287358210215459</v>
      </c>
      <c r="K34" s="327">
        <f>'ISIRF 15N'!K12</f>
        <v>7.6380308066738358</v>
      </c>
      <c r="L34" s="477">
        <f>'ISIRF 13C'!H12</f>
        <v>5.1803165</v>
      </c>
      <c r="M34" s="476">
        <f>'ISIRF 13C'!I12</f>
        <v>54420504</v>
      </c>
      <c r="N34" s="327">
        <f>'ISIRF 13C'!J12</f>
        <v>33.110450991599997</v>
      </c>
      <c r="O34" s="328">
        <f>'ISIRF 13C'!K12</f>
        <v>-12.934886492200956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2">
        <f>'ISIRF RAW'!$B$2</f>
        <v>0</v>
      </c>
      <c r="B35" s="543" t="str">
        <f>'ISIRF 15N'!B13</f>
        <v>IC15N-241218-10KansasRoarCarbon-2_28.raw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34</v>
      </c>
      <c r="G35" s="327">
        <f>'ISIRF 15N'!G13</f>
        <v>1.109</v>
      </c>
      <c r="H35" s="331">
        <f>'ISIRF 15N'!H13</f>
        <v>4.2977670000000003</v>
      </c>
      <c r="I35" s="474">
        <f>'ISIRF 15N'!I13</f>
        <v>68777024</v>
      </c>
      <c r="J35" s="327">
        <f>'ISIRF 15N'!J13</f>
        <v>4.5043208475773344</v>
      </c>
      <c r="K35" s="327">
        <f>'ISIRF 15N'!K13</f>
        <v>7.4959822459889054</v>
      </c>
      <c r="L35" s="477">
        <f>'ISIRF 13C'!H13</f>
        <v>5.2664419999999996</v>
      </c>
      <c r="M35" s="476">
        <f>'ISIRF 13C'!I13</f>
        <v>54829624</v>
      </c>
      <c r="N35" s="327">
        <f>'ISIRF 13C'!J13</f>
        <v>34.436976182800002</v>
      </c>
      <c r="O35" s="328">
        <f>'ISIRF 13C'!K13</f>
        <v>-13.03394503572089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2">
        <f>'ISIRF RAW'!$B$2</f>
        <v>0</v>
      </c>
      <c r="B36" s="543" t="str">
        <f>'ISIRF 15N'!B14</f>
        <v>IC15N-241218-10KansasRoarCarbon-2_41.raw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47</v>
      </c>
      <c r="G36" s="327">
        <f>'ISIRF 15N'!G14</f>
        <v>1.127</v>
      </c>
      <c r="H36" s="331">
        <f>'ISIRF 15N'!H14</f>
        <v>4.2676964999999996</v>
      </c>
      <c r="I36" s="474">
        <f>'ISIRF 15N'!I14</f>
        <v>66902776</v>
      </c>
      <c r="J36" s="327">
        <f>'ISIRF 15N'!J14</f>
        <v>4.2348740238577589</v>
      </c>
      <c r="K36" s="327">
        <f>'ISIRF 15N'!K14</f>
        <v>7.4917026427487574</v>
      </c>
      <c r="L36" s="477">
        <f>'ISIRF 13C'!H14</f>
        <v>5.2077010000000001</v>
      </c>
      <c r="M36" s="476">
        <f>'ISIRF 13C'!I14</f>
        <v>53465916</v>
      </c>
      <c r="N36" s="327">
        <f>'ISIRF 13C'!J14</f>
        <v>33.083056028599998</v>
      </c>
      <c r="O36" s="328">
        <f>'ISIRF 13C'!K14</f>
        <v>-12.926775194716136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3">
        <f>'ISIRF RAW'!$B$2</f>
        <v>0</v>
      </c>
      <c r="B37" s="547" t="str">
        <f>'ISIRF 15N'!B15</f>
        <v>IC15N-241218-10KansasRoarCarbon-2_53.raw</v>
      </c>
      <c r="C37" s="548"/>
      <c r="D37" s="549" t="str">
        <f>'ISIRF 15N'!D15</f>
        <v>ISIRF Ulva</v>
      </c>
      <c r="E37" s="548" t="str">
        <f>'ISIRF 15N'!E15</f>
        <v>QC.STD</v>
      </c>
      <c r="F37" s="550">
        <f>'ISIRF 15N'!F15</f>
        <v>59</v>
      </c>
      <c r="G37" s="551">
        <f>'ISIRF 15N'!G15</f>
        <v>1.2869999999999999</v>
      </c>
      <c r="H37" s="550">
        <f>'ISIRF 15N'!H15</f>
        <v>4.8505335000000001</v>
      </c>
      <c r="I37" s="552">
        <f>'ISIRF 15N'!I15</f>
        <v>76374312</v>
      </c>
      <c r="J37" s="551">
        <f>'ISIRF 15N'!J15</f>
        <v>4.2120304409535434</v>
      </c>
      <c r="K37" s="551">
        <f>'ISIRF 15N'!K15</f>
        <v>7.5892678089370929</v>
      </c>
      <c r="L37" s="553">
        <f>'ISIRF 13C'!H15</f>
        <v>5.8810644999999999</v>
      </c>
      <c r="M37" s="554">
        <f>'ISIRF 13C'!I15</f>
        <v>61022260</v>
      </c>
      <c r="N37" s="551">
        <f>'ISIRF 13C'!J15</f>
        <v>32.974082390499994</v>
      </c>
      <c r="O37" s="555">
        <f>'ISIRF 13C'!K15</f>
        <v>-12.882217469092188</v>
      </c>
      <c r="P37" s="571" t="str">
        <f>'ISIRF 15N'!L15&amp;'ISIRF 13C'!L15</f>
        <v/>
      </c>
      <c r="Q37" s="556"/>
      <c r="R37" s="557" t="str">
        <f>IF(COUNTA('ISIRF 15N'!L15)=1,"See ISIRF 15N","")</f>
        <v/>
      </c>
    </row>
    <row r="38" spans="1:18">
      <c r="A38" s="581">
        <f>'ISIRF RAW'!$B$2</f>
        <v>0</v>
      </c>
      <c r="B38" s="544" t="str">
        <f>'ISIRF 15N'!B16</f>
        <v>IC15N-241218-10KansasRoarCarbon-2_4.raw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10</v>
      </c>
      <c r="G38" s="326">
        <f>'ISIRF 15N'!G16</f>
        <v>1.054</v>
      </c>
      <c r="H38" s="325">
        <f>'ISIRF 15N'!H16</f>
        <v>6.2796574999999999</v>
      </c>
      <c r="I38" s="473">
        <f>'ISIRF 15N'!I16</f>
        <v>98473056</v>
      </c>
      <c r="J38" s="326">
        <f>'ISIRF 15N'!J16</f>
        <v>6.4582242093822728</v>
      </c>
      <c r="K38" s="326">
        <f>'ISIRF 15N'!K16</f>
        <v>-4.8942624143243201</v>
      </c>
      <c r="L38" s="545">
        <f>'ISIRF 13C'!H16</f>
        <v>6.7245454999999996</v>
      </c>
      <c r="M38" s="475">
        <f>'ISIRF 13C'!H16</f>
        <v>6.7245454999999996</v>
      </c>
      <c r="N38" s="326">
        <f>'ISIRF 13C'!J16</f>
        <v>45.222021567200002</v>
      </c>
      <c r="O38" s="546">
        <f>'ISIRF 13C'!K16</f>
        <v>-21.233095798722406</v>
      </c>
      <c r="P38" s="675"/>
      <c r="Q38" s="676"/>
      <c r="R38" s="677"/>
    </row>
    <row r="39" spans="1:18">
      <c r="A39" s="582">
        <f>'ISIRF RAW'!$B$2</f>
        <v>0</v>
      </c>
      <c r="B39" s="543" t="str">
        <f>'ISIRF 15N'!B17</f>
        <v>IC15N-241218-10KansasRoarCarbon-2_29.raw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35</v>
      </c>
      <c r="G39" s="327">
        <f>'ISIRF 15N'!G17</f>
        <v>1.038</v>
      </c>
      <c r="H39" s="331">
        <f>'ISIRF 15N'!H17</f>
        <v>6.1936344999999999</v>
      </c>
      <c r="I39" s="474">
        <f>'ISIRF 15N'!I17</f>
        <v>96445160</v>
      </c>
      <c r="J39" s="327">
        <f>'ISIRF 15N'!J17</f>
        <v>6.5723051234784036</v>
      </c>
      <c r="K39" s="327">
        <f>'ISIRF 15N'!K17</f>
        <v>-5.0134754803709942</v>
      </c>
      <c r="L39" s="477">
        <f>'ISIRF 13C'!H17</f>
        <v>6.5923235</v>
      </c>
      <c r="M39" s="476">
        <f>'ISIRF 13C'!I17</f>
        <v>69005184</v>
      </c>
      <c r="N39" s="327">
        <f>'ISIRF 13C'!J17</f>
        <v>46.258045735799996</v>
      </c>
      <c r="O39" s="328">
        <f>'ISIRF 13C'!K17</f>
        <v>-21.009877799036264</v>
      </c>
      <c r="P39" s="332"/>
      <c r="Q39" s="150"/>
      <c r="R39" s="151"/>
    </row>
    <row r="40" spans="1:18">
      <c r="A40" s="583">
        <f>'ISIRF RAW'!$B$2</f>
        <v>0</v>
      </c>
      <c r="B40" s="547" t="str">
        <f>'ISIRF 15N'!B18</f>
        <v>IC15N-241218-10KansasRoarCarbon-2_54.raw</v>
      </c>
      <c r="C40" s="548"/>
      <c r="D40" s="549" t="str">
        <f>'ISIRF 15N'!D18</f>
        <v>ISIRF Chitin</v>
      </c>
      <c r="E40" s="548" t="str">
        <f>'ISIRF 15N'!E18</f>
        <v>Cal-H.STD</v>
      </c>
      <c r="F40" s="550">
        <f>'ISIRF 15N'!F18</f>
        <v>60</v>
      </c>
      <c r="G40" s="551">
        <f>'ISIRF 15N'!G18</f>
        <v>1.075</v>
      </c>
      <c r="H40" s="550">
        <f>'ISIRF 15N'!H18</f>
        <v>6.4589239999999997</v>
      </c>
      <c r="I40" s="552">
        <f>'ISIRF 15N'!I18</f>
        <v>101522176</v>
      </c>
      <c r="J40" s="551">
        <f>'ISIRF 15N'!J18</f>
        <v>6.5638589647500627</v>
      </c>
      <c r="K40" s="551">
        <f>'ISIRF 15N'!K18</f>
        <v>-4.9719849676046373</v>
      </c>
      <c r="L40" s="553">
        <f>'ISIRF 13C'!H18</f>
        <v>6.7358359999999999</v>
      </c>
      <c r="M40" s="554">
        <f>'ISIRF 13C'!I18</f>
        <v>71001712</v>
      </c>
      <c r="N40" s="551">
        <f>'ISIRF 13C'!J18</f>
        <v>45.848261747999999</v>
      </c>
      <c r="O40" s="558">
        <f>'ISIRF 13C'!K18</f>
        <v>-21.076680094281663</v>
      </c>
      <c r="P40" s="559"/>
      <c r="Q40" s="556"/>
      <c r="R40" s="557"/>
    </row>
    <row r="41" spans="1:18">
      <c r="A41" s="581">
        <f>'ISIRF RAW'!$B$2</f>
        <v>0</v>
      </c>
      <c r="B41" s="544" t="str">
        <f>'ISIRF 15N'!B19</f>
        <v>IC15N-241218-10KansasRoarCarbon-2_5.raw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11</v>
      </c>
      <c r="G41" s="326">
        <f>'ISIRF 15N'!G19</f>
        <v>1.595</v>
      </c>
      <c r="H41" s="325">
        <f>'ISIRF 15N'!H19</f>
        <v>4.4175414999999996</v>
      </c>
      <c r="I41" s="473">
        <f>'ISIRF 15N'!I19</f>
        <v>70395120</v>
      </c>
      <c r="J41" s="326">
        <f>'ISIRF 15N'!J19</f>
        <v>3.1026538191760857</v>
      </c>
      <c r="K41" s="326">
        <f>'ISIRF 15N'!K19</f>
        <v>2.055608492317214</v>
      </c>
      <c r="L41" s="545">
        <f>'ISIRF 13C'!H19</f>
        <v>9.5394769999999998</v>
      </c>
      <c r="M41" s="475">
        <f>'ISIRF 13C'!I19</f>
        <v>104629040</v>
      </c>
      <c r="N41" s="326">
        <f>'ISIRF 13C'!J19</f>
        <v>45.110957090899994</v>
      </c>
      <c r="O41" s="546">
        <f>'ISIRF 13C'!K19</f>
        <v>-30.397331737571676</v>
      </c>
      <c r="P41" s="329"/>
      <c r="Q41" s="148"/>
      <c r="R41" s="149"/>
    </row>
    <row r="42" spans="1:18">
      <c r="A42" s="582">
        <f>'ISIRF RAW'!$B$2</f>
        <v>0</v>
      </c>
      <c r="B42" s="543" t="str">
        <f>'ISIRF 15N'!B20</f>
        <v>IC15N-241218-10KansasRoarCarbon-2_30.raw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36</v>
      </c>
      <c r="G42" s="327">
        <f>'ISIRF 15N'!G20</f>
        <v>1.474</v>
      </c>
      <c r="H42" s="331">
        <f>'ISIRF 15N'!H20</f>
        <v>3.8693002500000002</v>
      </c>
      <c r="I42" s="474">
        <f>'ISIRF 15N'!I20</f>
        <v>61914048</v>
      </c>
      <c r="J42" s="327">
        <f>'ISIRF 15N'!J20</f>
        <v>3.0695583129062802</v>
      </c>
      <c r="K42" s="327">
        <f>'ISIRF 15N'!K20</f>
        <v>1.9910820956588999</v>
      </c>
      <c r="L42" s="477">
        <f>'ISIRF 13C'!H20</f>
        <v>8.9978759999999998</v>
      </c>
      <c r="M42" s="476">
        <f>'ISIRF 13C'!I20</f>
        <v>96966336</v>
      </c>
      <c r="N42" s="327">
        <f>'ISIRF 13C'!J20</f>
        <v>45.501844182699998</v>
      </c>
      <c r="O42" s="328">
        <f>'ISIRF 13C'!K20</f>
        <v>-30.255035912879997</v>
      </c>
      <c r="P42" s="332"/>
      <c r="Q42" s="150"/>
      <c r="R42" s="151"/>
    </row>
    <row r="43" spans="1:18">
      <c r="A43" s="583">
        <f>'ISIRF RAW'!$B$2</f>
        <v>0</v>
      </c>
      <c r="B43" s="547" t="str">
        <f>'ISIRF 15N'!B21</f>
        <v>IC15N-241218-10KansasRoarCarbon-2_55.raw</v>
      </c>
      <c r="C43" s="548"/>
      <c r="D43" s="549" t="str">
        <f>'ISIRF 15N'!D21</f>
        <v>ISIRF Bamboo</v>
      </c>
      <c r="E43" s="548" t="str">
        <f>'ISIRF 15N'!E21</f>
        <v>Cal-L.STD</v>
      </c>
      <c r="F43" s="550">
        <f>'ISIRF 15N'!F21</f>
        <v>61</v>
      </c>
      <c r="G43" s="551">
        <f>'ISIRF 15N'!G21</f>
        <v>1.411</v>
      </c>
      <c r="H43" s="550">
        <f>'ISIRF 15N'!H21</f>
        <v>3.8569179999999998</v>
      </c>
      <c r="I43" s="552">
        <f>'ISIRF 15N'!I21</f>
        <v>60686528</v>
      </c>
      <c r="J43" s="551">
        <f>'ISIRF 15N'!J21</f>
        <v>3.1143186625869097</v>
      </c>
      <c r="K43" s="551">
        <f>'ISIRF 15N'!K21</f>
        <v>1.8388794348474202</v>
      </c>
      <c r="L43" s="553">
        <f>'ISIRF 13C'!H21</f>
        <v>8.5714170000000003</v>
      </c>
      <c r="M43" s="554">
        <f>'ISIRF 13C'!I21</f>
        <v>92152592</v>
      </c>
      <c r="N43" s="551">
        <f>'ISIRF 13C'!J21</f>
        <v>45.287272143099997</v>
      </c>
      <c r="O43" s="558">
        <f>'ISIRF 13C'!K21</f>
        <v>-30.352426340598893</v>
      </c>
      <c r="P43" s="571"/>
      <c r="Q43" s="556"/>
      <c r="R43" s="557"/>
    </row>
    <row r="44" spans="1:18">
      <c r="A44" s="581">
        <f>'ISIRF RAW'!$B$2</f>
        <v>0</v>
      </c>
      <c r="B44" s="544" t="str">
        <f>'ISIRF 15N'!B22</f>
        <v>IC15N-241218-10KansasRoarCarbon-2_6.raw</v>
      </c>
      <c r="C44" s="324"/>
      <c r="D44" s="323" t="str">
        <f>'ISIRF 15N'!D22</f>
        <v>NBS 1572 Citrus Leaf</v>
      </c>
      <c r="E44" s="324" t="str">
        <f>'ISIRF 15N'!E22</f>
        <v>QA STD</v>
      </c>
      <c r="F44" s="325">
        <f>'ISIRF 15N'!F22</f>
        <v>12</v>
      </c>
      <c r="G44" s="326">
        <f>'ISIRF 15N'!G22</f>
        <v>2.0960000000000001</v>
      </c>
      <c r="H44" s="325">
        <f>'ISIRF 15N'!H22</f>
        <v>4.9164254999999999</v>
      </c>
      <c r="I44" s="473">
        <f>'ISIRF 15N'!I22</f>
        <v>80364024</v>
      </c>
      <c r="J44" s="326">
        <f>'ISIRF 15N'!J22</f>
        <v>2.7083822769510046</v>
      </c>
      <c r="K44" s="326">
        <f>'ISIRF 15N'!K22</f>
        <v>4.5419471780718723</v>
      </c>
      <c r="L44" s="545">
        <f>'ISIRF 13C'!H22</f>
        <v>12.089029</v>
      </c>
      <c r="M44" s="475">
        <f>'ISIRF 13C'!I22</f>
        <v>132884152</v>
      </c>
      <c r="N44" s="326">
        <f>'ISIRF 13C'!J22</f>
        <v>43.5285302817</v>
      </c>
      <c r="O44" s="546">
        <f>'ISIRF 13C'!K22</f>
        <v>-27.138636605717338</v>
      </c>
      <c r="P44" s="329"/>
      <c r="Q44" s="148"/>
      <c r="R44" s="149"/>
    </row>
    <row r="45" spans="1:18">
      <c r="A45" s="582">
        <f>'ISIRF RAW'!$B$2</f>
        <v>0</v>
      </c>
      <c r="B45" s="543" t="str">
        <f>'ISIRF 15N'!B23</f>
        <v>IC15N-241218-10KansasRoarCarbon-2_31.raw</v>
      </c>
      <c r="C45" s="322"/>
      <c r="D45" s="330" t="str">
        <f>'ISIRF 15N'!D23</f>
        <v>NBS 1572 Citrus Leaf</v>
      </c>
      <c r="E45" s="322" t="str">
        <f>'ISIRF 15N'!E23</f>
        <v>QA STD</v>
      </c>
      <c r="F45" s="331">
        <f>'ISIRF 15N'!F23</f>
        <v>37</v>
      </c>
      <c r="G45" s="327">
        <f>'ISIRF 15N'!G23</f>
        <v>2.069</v>
      </c>
      <c r="H45" s="331">
        <f>'ISIRF 15N'!H23</f>
        <v>5.0351745000000001</v>
      </c>
      <c r="I45" s="474">
        <f>'ISIRF 15N'!I23</f>
        <v>80505120</v>
      </c>
      <c r="J45" s="152">
        <f>'ISIRF 15N'!J23</f>
        <v>2.8042115982899292</v>
      </c>
      <c r="K45" s="327">
        <f>'ISIRF 15N'!K23</f>
        <v>4.5522639801354785</v>
      </c>
      <c r="L45" s="477">
        <f>'ISIRF 13C'!H23</f>
        <v>12.042187999999999</v>
      </c>
      <c r="M45" s="476">
        <f>'ISIRF 13C'!I23</f>
        <v>131648272</v>
      </c>
      <c r="N45" s="327">
        <f>'ISIRF 13C'!J23</f>
        <v>43.835750628299998</v>
      </c>
      <c r="O45" s="328">
        <f>'ISIRF 13C'!K23</f>
        <v>-27.285358601521448</v>
      </c>
      <c r="P45" s="332"/>
      <c r="Q45" s="150"/>
      <c r="R45" s="151"/>
    </row>
    <row r="46" spans="1:18">
      <c r="A46" s="583">
        <f>'ISIRF RAW'!$B$2</f>
        <v>0</v>
      </c>
      <c r="B46" s="547" t="str">
        <f>'ISIRF 15N'!B24</f>
        <v>IC15N-241218-10KansasRoarCarbon-2_56.raw</v>
      </c>
      <c r="C46" s="548"/>
      <c r="D46" s="560" t="str">
        <f>'ISIRF 15N'!D24</f>
        <v>NBS 1572 Citrus Leaf</v>
      </c>
      <c r="E46" s="561" t="str">
        <f>'ISIRF 15N'!E24</f>
        <v>QA STD</v>
      </c>
      <c r="F46" s="562">
        <f>'ISIRF 15N'!F24</f>
        <v>62</v>
      </c>
      <c r="G46" s="555">
        <f>'ISIRF 15N'!G24</f>
        <v>2.073</v>
      </c>
      <c r="H46" s="563">
        <f>'ISIRF 15N'!H24</f>
        <v>4.8448244999999996</v>
      </c>
      <c r="I46" s="564">
        <f>'ISIRF 15N'!I24</f>
        <v>80026360</v>
      </c>
      <c r="J46" s="555">
        <f>'ISIRF 15N'!J24</f>
        <v>2.7546067155102811</v>
      </c>
      <c r="K46" s="555">
        <f>'ISIRF 15N'!K24</f>
        <v>4.5497175511756272</v>
      </c>
      <c r="L46" s="565">
        <f>'ISIRF 13C'!H24</f>
        <v>11.915153</v>
      </c>
      <c r="M46" s="566">
        <f>'ISIRF 13C'!I24</f>
        <v>130774160</v>
      </c>
      <c r="N46" s="567">
        <f>'ISIRF 13C'!J24</f>
        <v>43.569141999500005</v>
      </c>
      <c r="O46" s="555">
        <f>'ISIRF 13C'!K24</f>
        <v>-27.255596372331251</v>
      </c>
      <c r="P46" s="559"/>
      <c r="Q46" s="556"/>
      <c r="R46" s="557"/>
    </row>
    <row r="47" spans="1:18">
      <c r="A47" s="581">
        <f>'ISIRF RAW'!$B$2</f>
        <v>0</v>
      </c>
      <c r="B47" s="544" t="str">
        <f>'ISIRF RAW'!T12</f>
        <v>IC15N-241218-10KansasRoarCarbon-2_7.raw</v>
      </c>
      <c r="C47" s="324"/>
      <c r="D47" s="568" t="str">
        <f>'ISIRF RAW'!A12</f>
        <v xml:space="preserve">R1-20231120_S3_A </v>
      </c>
      <c r="E47" s="569" t="s">
        <v>227</v>
      </c>
      <c r="F47" s="325">
        <f>'ISIRF RAW'!B12</f>
        <v>13</v>
      </c>
      <c r="G47" s="546">
        <f>'ISIRF RAW'!C12</f>
        <v>25.667999999999999</v>
      </c>
      <c r="H47" s="570">
        <f>'ISIRF RAW'!D12</f>
        <v>2.6573224999999998</v>
      </c>
      <c r="I47" s="473">
        <f>'ISIRF RAW'!E12</f>
        <v>51237368</v>
      </c>
      <c r="J47" s="546">
        <f>'ISIRF RAW'!J12</f>
        <v>0.26796647235114712</v>
      </c>
      <c r="K47" s="546">
        <f>'ISIRF RAW'!L12</f>
        <v>5.9336447059798978</v>
      </c>
      <c r="L47" s="545">
        <f>'ISIRF RAW'!F12</f>
        <v>4.7996165</v>
      </c>
      <c r="M47" s="475">
        <f>'ISIRF RAW'!G12</f>
        <v>51613820</v>
      </c>
      <c r="N47" s="326">
        <f>'ISIRF RAW'!M12</f>
        <v>1.4011697757999999</v>
      </c>
      <c r="O47" s="546">
        <f>'ISIRF RAW'!O12</f>
        <v>-17.448422226005402</v>
      </c>
      <c r="P47" s="329"/>
      <c r="Q47" s="148"/>
      <c r="R47" s="149"/>
    </row>
    <row r="48" spans="1:18">
      <c r="A48" s="583">
        <f>'ISIRF RAW'!$B$2</f>
        <v>0</v>
      </c>
      <c r="B48" s="547" t="str">
        <f>'ISIRF RAW'!T56</f>
        <v>IC15N-241218-10KansasRoarCarbon-2_51.raw</v>
      </c>
      <c r="C48" s="548"/>
      <c r="D48" s="560" t="str">
        <f>'ISIRF RAW'!A56</f>
        <v xml:space="preserve">R1-20231120_S3_A </v>
      </c>
      <c r="E48" s="561" t="s">
        <v>227</v>
      </c>
      <c r="F48" s="562">
        <f>'ISIRF RAW'!B56</f>
        <v>57</v>
      </c>
      <c r="G48" s="555">
        <f>'ISIRF RAW'!C56</f>
        <v>25.632999999999999</v>
      </c>
      <c r="H48" s="563">
        <f>'ISIRF RAW'!D56</f>
        <v>2.6433650000000002</v>
      </c>
      <c r="I48" s="564">
        <f>'ISIRF RAW'!E56</f>
        <v>49496064</v>
      </c>
      <c r="J48" s="555">
        <f>'ISIRF RAW'!J56</f>
        <v>0.26647267253696927</v>
      </c>
      <c r="K48" s="555">
        <f>'ISIRF RAW'!L56</f>
        <v>6.1874129739949257</v>
      </c>
      <c r="L48" s="565">
        <f>'ISIRF RAW'!F56</f>
        <v>4.7209064999999999</v>
      </c>
      <c r="M48" s="566">
        <f>'ISIRF RAW'!G56</f>
        <v>50341912</v>
      </c>
      <c r="N48" s="567">
        <f>'ISIRF RAW'!M56</f>
        <v>1.3713785609</v>
      </c>
      <c r="O48" s="555">
        <f>'ISIRF RAW'!O56</f>
        <v>-17.495153476327168</v>
      </c>
      <c r="P48" s="571"/>
      <c r="Q48" s="556"/>
      <c r="R48" s="557" t="str">
        <f>IF(COUNTA('ISIRF 15N'!L26)=1,"See ISIRF 15N","")</f>
        <v/>
      </c>
    </row>
    <row r="49" spans="1:18">
      <c r="A49" s="581">
        <f>'ISIRF RAW'!$B$2</f>
        <v>0</v>
      </c>
      <c r="B49" s="544" t="str">
        <f>'ISIRF RAW'!T26</f>
        <v>IC15N-241218-10KansasRoarCarbon-2_21.raw</v>
      </c>
      <c r="C49" s="324"/>
      <c r="D49" s="568" t="str">
        <f>'ISIRF RAW'!A26</f>
        <v>R2-20231120_S4_F _Dup</v>
      </c>
      <c r="E49" s="569" t="s">
        <v>228</v>
      </c>
      <c r="F49" s="325">
        <f>'ISIRF RAW'!B26</f>
        <v>27</v>
      </c>
      <c r="G49" s="546">
        <f>'ISIRF RAW'!C26</f>
        <v>24.163</v>
      </c>
      <c r="H49" s="570">
        <f>'ISIRF RAW'!D26</f>
        <v>4.3186055000000003</v>
      </c>
      <c r="I49" s="473">
        <f>'ISIRF RAW'!E26</f>
        <v>78268616</v>
      </c>
      <c r="J49" s="546">
        <f>'ISIRF RAW'!J26</f>
        <v>0.36039554217934633</v>
      </c>
      <c r="K49" s="546">
        <f>'ISIRF RAW'!L26</f>
        <v>7.6411863408570309</v>
      </c>
      <c r="L49" s="545">
        <f>'ISIRF RAW'!F26</f>
        <v>7.5848079999999998</v>
      </c>
      <c r="M49" s="475">
        <f>'ISIRF RAW'!G26</f>
        <v>85600848</v>
      </c>
      <c r="N49" s="326">
        <f>'ISIRF RAW'!M26</f>
        <v>2.4611186326999999</v>
      </c>
      <c r="O49" s="546">
        <f>'ISIRF RAW'!O26</f>
        <v>-19.959172266542243</v>
      </c>
      <c r="P49" s="329"/>
      <c r="Q49" s="148"/>
      <c r="R49" s="149"/>
    </row>
    <row r="50" spans="1:18">
      <c r="A50" s="583">
        <f>'ISIRF RAW'!$B$2</f>
        <v>0</v>
      </c>
      <c r="B50" s="547" t="str">
        <f>'ISIRF RAW'!T27</f>
        <v>IC15N-241218-10KansasRoarCarbon-2_22.raw</v>
      </c>
      <c r="C50" s="548"/>
      <c r="D50" s="560" t="str">
        <f>'ISIRF RAW'!A27</f>
        <v>R2-20231120_S4_F _Dup</v>
      </c>
      <c r="E50" s="561" t="s">
        <v>228</v>
      </c>
      <c r="F50" s="562">
        <f>'ISIRF RAW'!B27</f>
        <v>28</v>
      </c>
      <c r="G50" s="555">
        <f>'ISIRF RAW'!C27</f>
        <v>25.428000000000001</v>
      </c>
      <c r="H50" s="563">
        <f>'ISIRF RAW'!D27</f>
        <v>4.5123230000000003</v>
      </c>
      <c r="I50" s="564">
        <f>'ISIRF RAW'!E27</f>
        <v>81318104</v>
      </c>
      <c r="J50" s="555">
        <f>'ISIRF RAW'!J27</f>
        <v>0.35795429364324782</v>
      </c>
      <c r="K50" s="555">
        <f>'ISIRF RAW'!L27</f>
        <v>7.6236208194450921</v>
      </c>
      <c r="L50" s="565">
        <f>'ISIRF RAW'!F27</f>
        <v>8.0467995000000005</v>
      </c>
      <c r="M50" s="566">
        <f>'ISIRF RAW'!G27</f>
        <v>89911440</v>
      </c>
      <c r="N50" s="567">
        <f>'ISIRF RAW'!M27</f>
        <v>2.4486972453</v>
      </c>
      <c r="O50" s="555">
        <f>'ISIRF RAW'!O27</f>
        <v>-19.89494408646333</v>
      </c>
      <c r="P50" s="571"/>
      <c r="Q50" s="556"/>
      <c r="R50" s="557" t="str">
        <f>IF(COUNTA('ISIRF 15N'!L27)=1,"See ISIRF 15N","")</f>
        <v/>
      </c>
    </row>
  </sheetData>
  <mergeCells count="1">
    <mergeCell ref="P38:R38"/>
  </mergeCells>
  <phoneticPr fontId="0" type="noConversion"/>
  <conditionalFormatting sqref="G6:G11">
    <cfRule type="cellIs" dxfId="22" priority="1" operator="greaterThan">
      <formula>0.3</formula>
    </cfRule>
  </conditionalFormatting>
  <conditionalFormatting sqref="G15:G20">
    <cfRule type="cellIs" dxfId="21" priority="2" operator="greaterThan">
      <formula>0.3</formula>
    </cfRule>
  </conditionalFormatting>
  <conditionalFormatting sqref="O5">
    <cfRule type="cellIs" dxfId="20" priority="6" operator="greaterThan">
      <formula>0.3</formula>
    </cfRule>
  </conditionalFormatting>
  <conditionalFormatting sqref="O6">
    <cfRule type="cellIs" dxfId="19" priority="5" operator="greaterThan">
      <formula>1</formula>
    </cfRule>
  </conditionalFormatting>
  <conditionalFormatting sqref="O8">
    <cfRule type="cellIs" dxfId="18" priority="4" operator="greaterThan">
      <formula>"abs(0.6)"</formula>
    </cfRule>
  </conditionalFormatting>
  <conditionalFormatting sqref="O9">
    <cfRule type="cellIs" dxfId="17" priority="3" operator="greaterThan">
      <formula>0.5</formula>
    </cfRule>
  </conditionalFormatting>
  <conditionalFormatting sqref="O14:O15">
    <cfRule type="cellIs" dxfId="16" priority="10" operator="greaterThan">
      <formula>0.3</formula>
    </cfRule>
  </conditionalFormatting>
  <conditionalFormatting sqref="O17">
    <cfRule type="cellIs" dxfId="15" priority="9" operator="greaterThan">
      <formula>"abs(0.6)"</formula>
    </cfRule>
  </conditionalFormatting>
  <conditionalFormatting sqref="O18">
    <cfRule type="cellIs" dxfId="14" priority="8" operator="greaterThan">
      <formula>0.5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39" activePane="bottomRight" state="frozen"/>
      <selection pane="topRight" activeCell="B1" sqref="B1"/>
      <selection pane="bottomLeft" activeCell="A5" sqref="A5"/>
      <selection pane="bottomRight" activeCell="Q68" sqref="Q68"/>
    </sheetView>
  </sheetViews>
  <sheetFormatPr defaultColWidth="9.140625" defaultRowHeight="12.75"/>
  <cols>
    <col min="1" max="1" width="28.28515625" style="39" customWidth="1"/>
    <col min="2" max="2" width="14" style="2" customWidth="1"/>
    <col min="3" max="3" width="8.28515625" style="292" customWidth="1"/>
    <col min="4" max="4" width="7.85546875" style="2" customWidth="1"/>
    <col min="5" max="5" width="12.28515625" style="292" customWidth="1"/>
    <col min="6" max="6" width="7.5703125" style="2" customWidth="1"/>
    <col min="7" max="7" width="10.5703125" style="292" customWidth="1"/>
    <col min="8" max="9" width="7.5703125" style="292" customWidth="1"/>
    <col min="10" max="10" width="6.28515625" style="43" customWidth="1"/>
    <col min="11" max="11" width="6.5703125" style="43" bestFit="1" customWidth="1"/>
    <col min="12" max="12" width="9.7109375" style="43" customWidth="1"/>
    <col min="13" max="13" width="6.7109375" style="297" customWidth="1"/>
    <col min="14" max="14" width="7.85546875" style="298" customWidth="1"/>
    <col min="15" max="15" width="10.5703125" style="184" bestFit="1" customWidth="1"/>
    <col min="16" max="16" width="6.7109375" style="297" customWidth="1"/>
    <col min="17" max="17" width="7.85546875" style="298" customWidth="1"/>
    <col min="18" max="18" width="10.5703125" style="184" bestFit="1" customWidth="1"/>
    <col min="19" max="19" width="12.28515625" style="2" bestFit="1" customWidth="1"/>
    <col min="20" max="20" width="38.42578125" bestFit="1" customWidth="1"/>
    <col min="21" max="16384" width="9.140625" style="2"/>
  </cols>
  <sheetData>
    <row r="1" spans="1:21" ht="13.5" thickTop="1">
      <c r="A1" s="164" t="s">
        <v>35</v>
      </c>
      <c r="B1" s="282"/>
    </row>
    <row r="2" spans="1:21" ht="13.5" thickBot="1">
      <c r="A2" s="167" t="s">
        <v>8</v>
      </c>
      <c r="B2" s="578"/>
    </row>
    <row r="3" spans="1:21" ht="13.5" thickBot="1">
      <c r="A3" s="167" t="s">
        <v>30</v>
      </c>
      <c r="B3" s="579"/>
      <c r="C3" s="370"/>
      <c r="D3" s="293" t="s">
        <v>10</v>
      </c>
      <c r="E3" s="20" t="str">
        <f>COVER!C2</f>
        <v>IC13C-241217-10KansasROAR-2Carbon</v>
      </c>
      <c r="F3" s="296"/>
      <c r="G3" s="21"/>
      <c r="H3" s="445"/>
      <c r="I3" s="445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.75" thickBot="1">
      <c r="A4" s="171" t="s">
        <v>7</v>
      </c>
      <c r="B4" s="580"/>
    </row>
    <row r="5" spans="1:21" s="485" customFormat="1" ht="44.25" customHeight="1" thickTop="1">
      <c r="A5" s="480" t="s">
        <v>128</v>
      </c>
      <c r="B5" s="481" t="s">
        <v>118</v>
      </c>
      <c r="C5" s="482" t="s">
        <v>109</v>
      </c>
      <c r="D5" s="483" t="s">
        <v>184</v>
      </c>
      <c r="E5" s="482" t="s">
        <v>110</v>
      </c>
      <c r="F5" s="483" t="s">
        <v>185</v>
      </c>
      <c r="G5" s="482" t="s">
        <v>111</v>
      </c>
      <c r="H5" s="482" t="s">
        <v>202</v>
      </c>
      <c r="I5" s="482" t="s">
        <v>203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204</v>
      </c>
      <c r="Q5" s="299" t="s">
        <v>205</v>
      </c>
      <c r="R5" s="40" t="s">
        <v>206</v>
      </c>
      <c r="S5" s="484" t="s">
        <v>9</v>
      </c>
      <c r="T5" s="478" t="s">
        <v>211</v>
      </c>
    </row>
    <row r="6" spans="1:21">
      <c r="A6" s="287" t="str">
        <f>'Weigh Sheet'!C17</f>
        <v>blank</v>
      </c>
      <c r="B6" s="288">
        <v>7</v>
      </c>
      <c r="C6" s="294">
        <v>37.5</v>
      </c>
      <c r="D6" s="294">
        <v>5.9960550781249997E-2</v>
      </c>
      <c r="E6" s="467">
        <v>1546004</v>
      </c>
      <c r="F6" s="294">
        <v>0</v>
      </c>
      <c r="G6" s="467">
        <v>0</v>
      </c>
      <c r="H6" s="294"/>
      <c r="I6" s="294"/>
      <c r="J6" s="289">
        <v>0.12996082741899181</v>
      </c>
      <c r="K6" s="289">
        <v>-5.276811724225551</v>
      </c>
      <c r="L6" s="290">
        <v>-5.3246296395588555</v>
      </c>
      <c r="M6" s="289">
        <v>0</v>
      </c>
      <c r="N6" s="289">
        <v>-9.3146164765272155E-2</v>
      </c>
      <c r="O6" s="290">
        <v>-5.781218896264588E-2</v>
      </c>
      <c r="P6" s="289"/>
      <c r="Q6" s="289"/>
      <c r="R6" s="290"/>
      <c r="S6" s="505">
        <v>45736.638368055559</v>
      </c>
      <c r="T6" s="479" t="s">
        <v>406</v>
      </c>
    </row>
    <row r="7" spans="1:21">
      <c r="A7" s="287" t="str">
        <f>'Weigh Sheet'!C18</f>
        <v>blank</v>
      </c>
      <c r="B7" s="288">
        <v>8</v>
      </c>
      <c r="C7" s="294">
        <v>37.5</v>
      </c>
      <c r="D7" s="295">
        <v>6.428173828125E-2</v>
      </c>
      <c r="E7" s="467">
        <v>1542464</v>
      </c>
      <c r="F7" s="294">
        <v>0</v>
      </c>
      <c r="G7" s="467">
        <v>0</v>
      </c>
      <c r="H7" s="294"/>
      <c r="I7" s="294"/>
      <c r="J7" s="289">
        <v>0.13134486183245941</v>
      </c>
      <c r="K7" s="289">
        <v>-3.2796743567840112</v>
      </c>
      <c r="L7" s="290">
        <v>-3.3776803366595818</v>
      </c>
      <c r="M7" s="289">
        <v>0</v>
      </c>
      <c r="N7" s="289">
        <v>-4.8113376728393449E-2</v>
      </c>
      <c r="O7" s="290">
        <v>-1.1500075313013787E-2</v>
      </c>
      <c r="P7" s="289"/>
      <c r="Q7" s="289"/>
      <c r="R7" s="290"/>
      <c r="S7" s="505">
        <v>45736.646261574075</v>
      </c>
      <c r="T7" s="479" t="s">
        <v>407</v>
      </c>
    </row>
    <row r="8" spans="1:21">
      <c r="A8" s="287" t="str">
        <f>'Weigh Sheet'!C19</f>
        <v>ISIRF Ulva</v>
      </c>
      <c r="B8" s="288">
        <v>9</v>
      </c>
      <c r="C8" s="294">
        <v>1.121</v>
      </c>
      <c r="D8" s="295">
        <v>4.0550154999999997</v>
      </c>
      <c r="E8" s="467">
        <v>65098980</v>
      </c>
      <c r="F8" s="294">
        <v>4.8012540000000001</v>
      </c>
      <c r="G8" s="467">
        <v>50739732</v>
      </c>
      <c r="H8" s="294"/>
      <c r="I8" s="294"/>
      <c r="J8" s="289">
        <v>4.0198312243097902</v>
      </c>
      <c r="K8" s="289">
        <v>7.8313329581540785</v>
      </c>
      <c r="L8" s="290">
        <v>7.4541073505540147</v>
      </c>
      <c r="M8" s="289">
        <v>31.457683993300002</v>
      </c>
      <c r="N8" s="289">
        <v>-12.510953389780921</v>
      </c>
      <c r="O8" s="290">
        <v>-12.828393904071751</v>
      </c>
      <c r="P8" s="289"/>
      <c r="Q8" s="289"/>
      <c r="R8" s="290"/>
      <c r="S8" s="505">
        <v>45736.654097222221</v>
      </c>
      <c r="T8" s="479" t="s">
        <v>408</v>
      </c>
    </row>
    <row r="9" spans="1:21">
      <c r="A9" s="287" t="str">
        <f>'Weigh Sheet'!C20</f>
        <v>ISIRF Chitin</v>
      </c>
      <c r="B9" s="288">
        <v>10</v>
      </c>
      <c r="C9" s="294">
        <v>1.054</v>
      </c>
      <c r="D9" s="295">
        <v>6.2796574999999999</v>
      </c>
      <c r="E9" s="467">
        <v>98473056</v>
      </c>
      <c r="F9" s="294">
        <v>6.7245454999999996</v>
      </c>
      <c r="G9" s="467">
        <v>69110720</v>
      </c>
      <c r="H9" s="294"/>
      <c r="I9" s="294"/>
      <c r="J9" s="291">
        <v>6.4582242093822728</v>
      </c>
      <c r="K9" s="291">
        <v>-4.8353505798813687</v>
      </c>
      <c r="L9" s="290">
        <v>-4.8942624143243201</v>
      </c>
      <c r="M9" s="289">
        <v>45.222021567200002</v>
      </c>
      <c r="N9" s="291">
        <v>-20.683483838258141</v>
      </c>
      <c r="O9" s="290">
        <v>-21.233095798722406</v>
      </c>
      <c r="P9" s="289"/>
      <c r="Q9" s="291"/>
      <c r="R9" s="290"/>
      <c r="S9" s="505">
        <v>45736.663124999999</v>
      </c>
      <c r="T9" s="479" t="s">
        <v>409</v>
      </c>
    </row>
    <row r="10" spans="1:21">
      <c r="A10" s="287" t="str">
        <f>'Weigh Sheet'!C21</f>
        <v>ISIRF Bamboo</v>
      </c>
      <c r="B10" s="288">
        <v>11</v>
      </c>
      <c r="C10" s="295">
        <v>1.595</v>
      </c>
      <c r="D10" s="295">
        <v>4.4175414999999996</v>
      </c>
      <c r="E10" s="467">
        <v>70395120</v>
      </c>
      <c r="F10" s="294">
        <v>9.5394769999999998</v>
      </c>
      <c r="G10" s="467">
        <v>104629040</v>
      </c>
      <c r="H10" s="294"/>
      <c r="I10" s="294"/>
      <c r="J10" s="291">
        <v>3.1026538191760857</v>
      </c>
      <c r="K10" s="291">
        <v>2.2936726904624605</v>
      </c>
      <c r="L10" s="290">
        <v>2.055608492317214</v>
      </c>
      <c r="M10" s="289">
        <v>45.110957090899994</v>
      </c>
      <c r="N10" s="291">
        <v>-29.594566966018252</v>
      </c>
      <c r="O10" s="290">
        <v>-30.397331737571676</v>
      </c>
      <c r="P10" s="289"/>
      <c r="Q10" s="291"/>
      <c r="R10" s="290"/>
      <c r="S10" s="505">
        <v>45736.670949074076</v>
      </c>
      <c r="T10" s="479" t="s">
        <v>410</v>
      </c>
    </row>
    <row r="11" spans="1:21">
      <c r="A11" s="287" t="str">
        <f>'Weigh Sheet'!C22</f>
        <v>NBS 1572 Citrus Leaf</v>
      </c>
      <c r="B11" s="288">
        <v>12</v>
      </c>
      <c r="C11" s="295">
        <v>2.0960000000000001</v>
      </c>
      <c r="D11" s="295">
        <v>4.9164254999999999</v>
      </c>
      <c r="E11" s="467">
        <v>80364024</v>
      </c>
      <c r="F11" s="294">
        <v>12.089029</v>
      </c>
      <c r="G11" s="467">
        <v>132884152</v>
      </c>
      <c r="H11" s="294"/>
      <c r="I11" s="294"/>
      <c r="J11" s="291">
        <v>2.7083822769510046</v>
      </c>
      <c r="K11" s="291">
        <v>4.8441037109526803</v>
      </c>
      <c r="L11" s="290">
        <v>4.5419471780718723</v>
      </c>
      <c r="M11" s="289">
        <v>43.5285302817</v>
      </c>
      <c r="N11" s="291">
        <v>-26.425890013378872</v>
      </c>
      <c r="O11" s="290">
        <v>-27.138636605717338</v>
      </c>
      <c r="P11" s="289"/>
      <c r="Q11" s="291"/>
      <c r="R11" s="290"/>
      <c r="S11" s="505">
        <v>45736.678819444445</v>
      </c>
      <c r="T11" s="479" t="s">
        <v>411</v>
      </c>
    </row>
    <row r="12" spans="1:21">
      <c r="A12" s="287" t="str">
        <f>'Weigh Sheet'!C23</f>
        <v xml:space="preserve">R1-20231120_S3_A </v>
      </c>
      <c r="B12" s="288">
        <v>13</v>
      </c>
      <c r="C12" s="295">
        <v>25.667999999999999</v>
      </c>
      <c r="D12" s="295">
        <v>2.6573224999999998</v>
      </c>
      <c r="E12" s="467">
        <v>51237368</v>
      </c>
      <c r="F12" s="294">
        <v>4.7996165</v>
      </c>
      <c r="G12" s="467">
        <v>51613820</v>
      </c>
      <c r="H12" s="294"/>
      <c r="I12" s="294"/>
      <c r="J12" s="291">
        <v>0.26796647235114712</v>
      </c>
      <c r="K12" s="291">
        <v>6.2716761356800257</v>
      </c>
      <c r="L12" s="290">
        <v>5.9336447059798978</v>
      </c>
      <c r="M12" s="289">
        <v>1.4011697757999999</v>
      </c>
      <c r="N12" s="291">
        <v>-17.003358070768037</v>
      </c>
      <c r="O12" s="290">
        <v>-17.448422226005402</v>
      </c>
      <c r="P12" s="289"/>
      <c r="Q12" s="291"/>
      <c r="R12" s="290"/>
      <c r="S12" s="505">
        <v>45736.686689814815</v>
      </c>
      <c r="T12" s="479" t="s">
        <v>412</v>
      </c>
    </row>
    <row r="13" spans="1:21">
      <c r="A13" s="287" t="str">
        <f>'Weigh Sheet'!C24</f>
        <v xml:space="preserve">20231120_S3_B </v>
      </c>
      <c r="B13" s="288">
        <v>14</v>
      </c>
      <c r="C13" s="295">
        <v>24.530999999999999</v>
      </c>
      <c r="D13" s="295">
        <v>3.0427040000000001</v>
      </c>
      <c r="E13" s="467">
        <v>58614328</v>
      </c>
      <c r="F13" s="294">
        <v>5.5356880000000004</v>
      </c>
      <c r="G13" s="467">
        <v>61597348</v>
      </c>
      <c r="H13" s="294"/>
      <c r="I13" s="294"/>
      <c r="J13" s="291">
        <v>0.29409311363149526</v>
      </c>
      <c r="K13" s="291">
        <v>6.0623614258524228</v>
      </c>
      <c r="L13" s="290">
        <v>5.7295900750721191</v>
      </c>
      <c r="M13" s="289">
        <v>1.7450286939999999</v>
      </c>
      <c r="N13" s="291">
        <v>-18.29973023138723</v>
      </c>
      <c r="O13" s="290">
        <v>-18.781622710631147</v>
      </c>
      <c r="P13" s="289"/>
      <c r="Q13" s="291"/>
      <c r="R13" s="290"/>
      <c r="S13" s="505">
        <v>45736.694537037038</v>
      </c>
      <c r="T13" s="479" t="s">
        <v>413</v>
      </c>
    </row>
    <row r="14" spans="1:21">
      <c r="A14" s="287" t="str">
        <f>'Weigh Sheet'!C25</f>
        <v xml:space="preserve">20231120_S3_C </v>
      </c>
      <c r="B14" s="288">
        <v>15</v>
      </c>
      <c r="C14" s="295">
        <v>26.698</v>
      </c>
      <c r="D14" s="295">
        <v>3.66591025</v>
      </c>
      <c r="E14" s="467">
        <v>68614648</v>
      </c>
      <c r="F14" s="294">
        <v>6.3981165000000004</v>
      </c>
      <c r="G14" s="467">
        <v>70854144</v>
      </c>
      <c r="H14" s="294"/>
      <c r="I14" s="294"/>
      <c r="J14" s="291">
        <v>0.30468176093309884</v>
      </c>
      <c r="K14" s="291">
        <v>5.9532099418570885</v>
      </c>
      <c r="L14" s="290">
        <v>5.6231815680061388</v>
      </c>
      <c r="M14" s="289">
        <v>1.8352844398999999</v>
      </c>
      <c r="N14" s="291">
        <v>-18.385902877389633</v>
      </c>
      <c r="O14" s="290">
        <v>-18.870243414547694</v>
      </c>
      <c r="P14" s="289"/>
      <c r="Q14" s="291"/>
      <c r="R14" s="290"/>
      <c r="S14" s="505">
        <v>45736.702372685184</v>
      </c>
      <c r="T14" s="479" t="s">
        <v>414</v>
      </c>
    </row>
    <row r="15" spans="1:21">
      <c r="A15" s="287" t="str">
        <f>'Weigh Sheet'!C26</f>
        <v xml:space="preserve">20231120_S3_D </v>
      </c>
      <c r="B15" s="288">
        <v>16</v>
      </c>
      <c r="C15" s="295">
        <v>25.745000000000001</v>
      </c>
      <c r="D15" s="295">
        <v>2.8099365000000001</v>
      </c>
      <c r="E15" s="467">
        <v>54215720</v>
      </c>
      <c r="F15" s="294">
        <v>5.0401404999999997</v>
      </c>
      <c r="G15" s="467">
        <v>56071320</v>
      </c>
      <c r="H15" s="294"/>
      <c r="I15" s="294"/>
      <c r="J15" s="291">
        <v>0.27825718499367991</v>
      </c>
      <c r="K15" s="291">
        <v>6.7606417361853941</v>
      </c>
      <c r="L15" s="290">
        <v>6.4103226003328597</v>
      </c>
      <c r="M15" s="289">
        <v>1.5222667692</v>
      </c>
      <c r="N15" s="291">
        <v>-17.432064822113158</v>
      </c>
      <c r="O15" s="290">
        <v>-17.889308004038966</v>
      </c>
      <c r="P15" s="289"/>
      <c r="Q15" s="291"/>
      <c r="R15" s="290"/>
      <c r="S15" s="505">
        <v>45736.710196759261</v>
      </c>
      <c r="T15" s="479" t="s">
        <v>415</v>
      </c>
    </row>
    <row r="16" spans="1:21">
      <c r="A16" s="287" t="str">
        <f>'Weigh Sheet'!C27</f>
        <v>20231120_S3_E</v>
      </c>
      <c r="B16" s="288">
        <v>17</v>
      </c>
      <c r="C16" s="295">
        <v>24.187999999999999</v>
      </c>
      <c r="D16" s="295">
        <v>2.6820434999999998</v>
      </c>
      <c r="E16" s="467">
        <v>49760384</v>
      </c>
      <c r="F16" s="294">
        <v>5.0724894999999997</v>
      </c>
      <c r="G16" s="467">
        <v>54642840</v>
      </c>
      <c r="H16" s="294"/>
      <c r="I16" s="294"/>
      <c r="J16" s="291">
        <v>0.27673449954773621</v>
      </c>
      <c r="K16" s="291">
        <v>6.7044414522883988</v>
      </c>
      <c r="L16" s="290">
        <v>6.3555346296405038</v>
      </c>
      <c r="M16" s="289">
        <v>1.5794151163999999</v>
      </c>
      <c r="N16" s="291">
        <v>-17.320417121992087</v>
      </c>
      <c r="O16" s="290">
        <v>-17.77448853133626</v>
      </c>
      <c r="P16" s="289"/>
      <c r="Q16" s="291"/>
      <c r="R16" s="290"/>
      <c r="S16" s="505">
        <v>45736.71806712963</v>
      </c>
      <c r="T16" s="479" t="s">
        <v>416</v>
      </c>
    </row>
    <row r="17" spans="1:20">
      <c r="A17" s="287" t="str">
        <f>'Weigh Sheet'!C28</f>
        <v>20231120_S3_F</v>
      </c>
      <c r="B17" s="288">
        <v>18</v>
      </c>
      <c r="C17" s="295">
        <v>24.116</v>
      </c>
      <c r="D17" s="295">
        <v>2.4490547500000002</v>
      </c>
      <c r="E17" s="467">
        <v>45022544</v>
      </c>
      <c r="F17" s="294">
        <v>4.5391709999999996</v>
      </c>
      <c r="G17" s="467">
        <v>48934392</v>
      </c>
      <c r="H17" s="294"/>
      <c r="I17" s="294"/>
      <c r="J17" s="291">
        <v>0.26290405905823705</v>
      </c>
      <c r="K17" s="291">
        <v>6.9758009953662912</v>
      </c>
      <c r="L17" s="290">
        <v>6.6200749070613725</v>
      </c>
      <c r="M17" s="289">
        <v>1.4097047507999998</v>
      </c>
      <c r="N17" s="291">
        <v>-17.620085219053493</v>
      </c>
      <c r="O17" s="290">
        <v>-18.082669827082629</v>
      </c>
      <c r="P17" s="289"/>
      <c r="Q17" s="291"/>
      <c r="R17" s="290"/>
      <c r="S17" s="505">
        <v>45736.725937499999</v>
      </c>
      <c r="T17" s="479" t="s">
        <v>417</v>
      </c>
    </row>
    <row r="18" spans="1:20">
      <c r="A18" s="287" t="str">
        <f>'Weigh Sheet'!C29</f>
        <v>20231120_S3_F_Dup</v>
      </c>
      <c r="B18" s="288">
        <v>19</v>
      </c>
      <c r="C18" s="295">
        <v>23.98</v>
      </c>
      <c r="D18" s="295">
        <v>3.6064354999999999</v>
      </c>
      <c r="E18" s="467">
        <v>62159576</v>
      </c>
      <c r="F18" s="294">
        <v>6.4274155000000004</v>
      </c>
      <c r="G18" s="467">
        <v>68349048</v>
      </c>
      <c r="H18" s="294"/>
      <c r="I18" s="294"/>
      <c r="J18" s="291">
        <v>0.30724763033767294</v>
      </c>
      <c r="K18" s="291">
        <v>7.5627966752176405</v>
      </c>
      <c r="L18" s="290">
        <v>7.1923193847437137</v>
      </c>
      <c r="M18" s="289">
        <v>1.9656831719999999</v>
      </c>
      <c r="N18" s="291">
        <v>-18.946619073839102</v>
      </c>
      <c r="O18" s="290">
        <v>-19.446888862168908</v>
      </c>
      <c r="P18" s="289"/>
      <c r="Q18" s="291"/>
      <c r="R18" s="290"/>
      <c r="S18" s="505">
        <v>45736.733773148146</v>
      </c>
      <c r="T18" s="479" t="s">
        <v>418</v>
      </c>
    </row>
    <row r="19" spans="1:20">
      <c r="A19" s="287" t="str">
        <f>'Weigh Sheet'!C30</f>
        <v xml:space="preserve">20231120_S4_A </v>
      </c>
      <c r="B19" s="288">
        <v>20</v>
      </c>
      <c r="C19" s="295">
        <v>26.539000000000001</v>
      </c>
      <c r="D19" s="295">
        <v>2.9294245000000001</v>
      </c>
      <c r="E19" s="467">
        <v>56224848</v>
      </c>
      <c r="F19" s="294">
        <v>5.1734960000000001</v>
      </c>
      <c r="G19" s="467">
        <v>55076860</v>
      </c>
      <c r="H19" s="294"/>
      <c r="I19" s="294"/>
      <c r="J19" s="291">
        <v>0.27709515729292722</v>
      </c>
      <c r="K19" s="291">
        <v>6.7831255816883305</v>
      </c>
      <c r="L19" s="290">
        <v>6.4322414267701795</v>
      </c>
      <c r="M19" s="289">
        <v>1.4423978572</v>
      </c>
      <c r="N19" s="291">
        <v>-17.962920565150249</v>
      </c>
      <c r="O19" s="290">
        <v>-18.435244699829603</v>
      </c>
      <c r="P19" s="289"/>
      <c r="Q19" s="291"/>
      <c r="R19" s="290"/>
      <c r="S19" s="505">
        <v>45736.741597222222</v>
      </c>
      <c r="T19" s="479" t="s">
        <v>419</v>
      </c>
    </row>
    <row r="20" spans="1:20">
      <c r="A20" s="287" t="str">
        <f>'Weigh Sheet'!C31</f>
        <v xml:space="preserve">20231120_S4_B </v>
      </c>
      <c r="B20" s="288">
        <v>21</v>
      </c>
      <c r="C20" s="295">
        <v>26.306000000000001</v>
      </c>
      <c r="D20" s="295">
        <v>3.4301807499999999</v>
      </c>
      <c r="E20" s="467">
        <v>61920984</v>
      </c>
      <c r="F20" s="294">
        <v>5.8646560000000001</v>
      </c>
      <c r="G20" s="467">
        <v>63368316</v>
      </c>
      <c r="H20" s="294"/>
      <c r="I20" s="294"/>
      <c r="J20" s="291">
        <v>0.28608354059470154</v>
      </c>
      <c r="K20" s="291">
        <v>6.5461127534827179</v>
      </c>
      <c r="L20" s="290">
        <v>6.2011847312338819</v>
      </c>
      <c r="M20" s="289">
        <v>1.6757892859999999</v>
      </c>
      <c r="N20" s="291">
        <v>-20.015930263743627</v>
      </c>
      <c r="O20" s="290">
        <v>-20.546577855733478</v>
      </c>
      <c r="P20" s="289"/>
      <c r="Q20" s="291"/>
      <c r="R20" s="290"/>
      <c r="S20" s="505">
        <v>45736.749479166669</v>
      </c>
      <c r="T20" s="479" t="s">
        <v>420</v>
      </c>
    </row>
    <row r="21" spans="1:20">
      <c r="A21" s="287" t="str">
        <f>'Weigh Sheet'!C32</f>
        <v>ISIRF Ulva</v>
      </c>
      <c r="B21" s="288">
        <v>22</v>
      </c>
      <c r="C21" s="294">
        <v>1.1579999999999999</v>
      </c>
      <c r="D21" s="295">
        <v>4.3573955</v>
      </c>
      <c r="E21" s="467">
        <v>70089952</v>
      </c>
      <c r="F21" s="294">
        <v>5.1803165</v>
      </c>
      <c r="G21" s="467">
        <v>54420504</v>
      </c>
      <c r="H21" s="294"/>
      <c r="I21" s="294"/>
      <c r="J21" s="291">
        <v>4.3287358210215459</v>
      </c>
      <c r="K21" s="291">
        <v>8.0199975558500221</v>
      </c>
      <c r="L21" s="290">
        <v>7.6380308066738358</v>
      </c>
      <c r="M21" s="289">
        <v>33.110450991599997</v>
      </c>
      <c r="N21" s="291">
        <v>-12.614504227149347</v>
      </c>
      <c r="O21" s="290">
        <v>-12.934886492200956</v>
      </c>
      <c r="P21" s="289"/>
      <c r="Q21" s="291"/>
      <c r="R21" s="290"/>
      <c r="S21" s="505">
        <v>45736.757314814815</v>
      </c>
      <c r="T21" s="479" t="s">
        <v>421</v>
      </c>
    </row>
    <row r="22" spans="1:20">
      <c r="A22" s="287" t="str">
        <f>'Weigh Sheet'!C33</f>
        <v xml:space="preserve">20231120_S4_C </v>
      </c>
      <c r="B22" s="288">
        <v>23</v>
      </c>
      <c r="C22" s="295">
        <v>24.561</v>
      </c>
      <c r="D22" s="295">
        <v>2.4691735000000001</v>
      </c>
      <c r="E22" s="467">
        <v>47940208</v>
      </c>
      <c r="F22" s="294">
        <v>4.3270169999999997</v>
      </c>
      <c r="G22" s="467">
        <v>47445604</v>
      </c>
      <c r="H22" s="294"/>
      <c r="I22" s="294"/>
      <c r="J22" s="291">
        <v>0.26615823180260362</v>
      </c>
      <c r="K22" s="291">
        <v>6.7720802095570471</v>
      </c>
      <c r="L22" s="290">
        <v>6.4214736248543733</v>
      </c>
      <c r="M22" s="289">
        <v>1.3690090672999999</v>
      </c>
      <c r="N22" s="291">
        <v>-16.102861479060369</v>
      </c>
      <c r="O22" s="290">
        <v>-16.522343643837242</v>
      </c>
      <c r="P22" s="289"/>
      <c r="Q22" s="291"/>
      <c r="R22" s="290"/>
      <c r="S22" s="505">
        <v>45736.765162037038</v>
      </c>
      <c r="T22" s="479" t="s">
        <v>422</v>
      </c>
    </row>
    <row r="23" spans="1:20">
      <c r="A23" s="287" t="str">
        <f>'Weigh Sheet'!C34</f>
        <v xml:space="preserve">20231120_S4_D </v>
      </c>
      <c r="B23" s="288">
        <v>24</v>
      </c>
      <c r="C23" s="295">
        <v>24.619</v>
      </c>
      <c r="D23" s="295">
        <v>2.9544317499999999</v>
      </c>
      <c r="E23" s="467">
        <v>55984720</v>
      </c>
      <c r="F23" s="294">
        <v>5.1900325</v>
      </c>
      <c r="G23" s="467">
        <v>56010452</v>
      </c>
      <c r="H23" s="294"/>
      <c r="I23" s="294"/>
      <c r="J23" s="291">
        <v>0.28517900766854742</v>
      </c>
      <c r="K23" s="291">
        <v>7.1104862471304875</v>
      </c>
      <c r="L23" s="290">
        <v>6.7513755182802413</v>
      </c>
      <c r="M23" s="289">
        <v>1.6047367724999999</v>
      </c>
      <c r="N23" s="291">
        <v>-18.002003629650957</v>
      </c>
      <c r="O23" s="290">
        <v>-18.475438065682287</v>
      </c>
      <c r="P23" s="289"/>
      <c r="Q23" s="291"/>
      <c r="R23" s="290"/>
      <c r="S23" s="505">
        <v>45736.773009259261</v>
      </c>
      <c r="T23" s="479" t="s">
        <v>423</v>
      </c>
    </row>
    <row r="24" spans="1:20">
      <c r="A24" s="287" t="str">
        <f>'Weigh Sheet'!C35</f>
        <v xml:space="preserve">20231120_S4_E </v>
      </c>
      <c r="B24" s="288">
        <v>25</v>
      </c>
      <c r="C24" s="295">
        <v>26.417999999999999</v>
      </c>
      <c r="D24" s="295">
        <v>3.8362922500000001</v>
      </c>
      <c r="E24" s="467">
        <v>70334320</v>
      </c>
      <c r="F24" s="294">
        <v>6.8771800000000001</v>
      </c>
      <c r="G24" s="467">
        <v>75680896</v>
      </c>
      <c r="H24" s="294"/>
      <c r="I24" s="294"/>
      <c r="J24" s="291">
        <v>0.31342502901674563</v>
      </c>
      <c r="K24" s="291">
        <v>6.3628255061447527</v>
      </c>
      <c r="L24" s="290">
        <v>6.0225034926508165</v>
      </c>
      <c r="M24" s="289">
        <v>2.0068365147000002</v>
      </c>
      <c r="N24" s="291">
        <v>-20.070909992426042</v>
      </c>
      <c r="O24" s="290">
        <v>-20.603119490266096</v>
      </c>
      <c r="P24" s="289"/>
      <c r="Q24" s="291"/>
      <c r="R24" s="290"/>
      <c r="S24" s="505">
        <v>45736.780833333331</v>
      </c>
      <c r="T24" s="479" t="s">
        <v>424</v>
      </c>
    </row>
    <row r="25" spans="1:20">
      <c r="A25" s="287" t="str">
        <f>'Weigh Sheet'!C36</f>
        <v xml:space="preserve">20231120_S4_F </v>
      </c>
      <c r="B25" s="288">
        <v>26</v>
      </c>
      <c r="C25" s="295">
        <v>25.187999999999999</v>
      </c>
      <c r="D25" s="295">
        <v>5.6351484999999997</v>
      </c>
      <c r="E25" s="467">
        <v>103457216</v>
      </c>
      <c r="F25" s="294">
        <v>9.5506460000000004</v>
      </c>
      <c r="G25" s="467">
        <v>109166784</v>
      </c>
      <c r="H25" s="294"/>
      <c r="I25" s="294"/>
      <c r="J25" s="291">
        <v>0.41118721177268935</v>
      </c>
      <c r="K25" s="291">
        <v>7.7224229599094709</v>
      </c>
      <c r="L25" s="290">
        <v>7.3479342607015425</v>
      </c>
      <c r="M25" s="289">
        <v>3.0170952085000002</v>
      </c>
      <c r="N25" s="291">
        <v>-20.724095520144974</v>
      </c>
      <c r="O25" s="290">
        <v>-21.274861208083813</v>
      </c>
      <c r="P25" s="289"/>
      <c r="Q25" s="291"/>
      <c r="R25" s="290"/>
      <c r="S25" s="505">
        <v>45736.788703703707</v>
      </c>
      <c r="T25" s="479" t="s">
        <v>425</v>
      </c>
    </row>
    <row r="26" spans="1:20">
      <c r="A26" s="287" t="str">
        <f>'Weigh Sheet'!C37</f>
        <v>R2-20231120_S4_F _Dup</v>
      </c>
      <c r="B26" s="288">
        <v>27</v>
      </c>
      <c r="C26" s="295">
        <v>24.163</v>
      </c>
      <c r="D26" s="295">
        <v>4.3186055000000003</v>
      </c>
      <c r="E26" s="467">
        <v>78268616</v>
      </c>
      <c r="F26" s="294">
        <v>7.5848079999999998</v>
      </c>
      <c r="G26" s="467">
        <v>85600848</v>
      </c>
      <c r="H26" s="294"/>
      <c r="I26" s="294"/>
      <c r="J26" s="291">
        <v>0.36039554217934633</v>
      </c>
      <c r="K26" s="291">
        <v>8.0232344327538598</v>
      </c>
      <c r="L26" s="290">
        <v>7.6411863408570309</v>
      </c>
      <c r="M26" s="289">
        <v>2.4611186326999999</v>
      </c>
      <c r="N26" s="291">
        <v>-19.444751163824986</v>
      </c>
      <c r="O26" s="290">
        <v>-19.959172266542243</v>
      </c>
      <c r="P26" s="289"/>
      <c r="Q26" s="291"/>
      <c r="R26" s="290"/>
      <c r="S26" s="505">
        <v>45736.796585648146</v>
      </c>
      <c r="T26" s="479" t="s">
        <v>426</v>
      </c>
    </row>
    <row r="27" spans="1:20">
      <c r="A27" s="287" t="str">
        <f>'Weigh Sheet'!C38</f>
        <v>R2-20231120_S4_F _Dup</v>
      </c>
      <c r="B27" s="288">
        <v>28</v>
      </c>
      <c r="C27" s="295">
        <v>25.428000000000001</v>
      </c>
      <c r="D27" s="295">
        <v>4.5123230000000003</v>
      </c>
      <c r="E27" s="467">
        <v>81318104</v>
      </c>
      <c r="F27" s="294">
        <v>8.0467995000000005</v>
      </c>
      <c r="G27" s="467">
        <v>89911440</v>
      </c>
      <c r="H27" s="294"/>
      <c r="I27" s="294"/>
      <c r="J27" s="291">
        <v>0.35795429364324782</v>
      </c>
      <c r="K27" s="291">
        <v>8.0052161108909647</v>
      </c>
      <c r="L27" s="290">
        <v>7.6236208194450921</v>
      </c>
      <c r="M27" s="289">
        <v>2.4486972453</v>
      </c>
      <c r="N27" s="291">
        <v>-19.382297222694806</v>
      </c>
      <c r="O27" s="290">
        <v>-19.89494408646333</v>
      </c>
      <c r="P27" s="289"/>
      <c r="Q27" s="291"/>
      <c r="R27" s="290"/>
      <c r="S27" s="505">
        <v>45736.804467592592</v>
      </c>
      <c r="T27" s="479" t="s">
        <v>427</v>
      </c>
    </row>
    <row r="28" spans="1:20">
      <c r="A28" s="287" t="str">
        <f>'Weigh Sheet'!C39</f>
        <v xml:space="preserve">20231120_S4_G </v>
      </c>
      <c r="B28" s="288">
        <v>29</v>
      </c>
      <c r="C28" s="295">
        <v>25.858000000000001</v>
      </c>
      <c r="D28" s="295">
        <v>4.4710580000000002</v>
      </c>
      <c r="E28" s="467">
        <v>80765664</v>
      </c>
      <c r="F28" s="294">
        <v>7.7547945</v>
      </c>
      <c r="G28" s="467">
        <v>85126816</v>
      </c>
      <c r="H28" s="294"/>
      <c r="I28" s="294"/>
      <c r="J28" s="291">
        <v>0.34674914442938409</v>
      </c>
      <c r="K28" s="291">
        <v>7.6080843509181033</v>
      </c>
      <c r="L28" s="290">
        <v>7.2364689810971683</v>
      </c>
      <c r="M28" s="289">
        <v>2.2697903288000001</v>
      </c>
      <c r="N28" s="289">
        <v>-20.153810044328299</v>
      </c>
      <c r="O28" s="290">
        <v>-20.688374629746104</v>
      </c>
      <c r="P28" s="289"/>
      <c r="Q28" s="289"/>
      <c r="R28" s="290"/>
      <c r="S28" s="505">
        <v>45736.812361111108</v>
      </c>
      <c r="T28" s="479" t="s">
        <v>428</v>
      </c>
    </row>
    <row r="29" spans="1:20">
      <c r="A29" s="287" t="str">
        <f>'Weigh Sheet'!C40</f>
        <v xml:space="preserve">20231120_S4_H </v>
      </c>
      <c r="B29" s="288">
        <v>30</v>
      </c>
      <c r="C29" s="295">
        <v>26.88</v>
      </c>
      <c r="D29" s="295">
        <v>4.1223027500000002</v>
      </c>
      <c r="E29" s="467">
        <v>74812736</v>
      </c>
      <c r="F29" s="294">
        <v>6.9189379999999998</v>
      </c>
      <c r="G29" s="467">
        <v>76210160</v>
      </c>
      <c r="H29" s="294"/>
      <c r="I29" s="294"/>
      <c r="J29" s="291">
        <v>0.32686097430669941</v>
      </c>
      <c r="K29" s="291">
        <v>7.6993055029375528</v>
      </c>
      <c r="L29" s="290">
        <v>7.3253977454522499</v>
      </c>
      <c r="M29" s="289">
        <v>1.9642898949999998</v>
      </c>
      <c r="N29" s="291">
        <v>-20.570926032801651</v>
      </c>
      <c r="O29" s="290">
        <v>-21.11734036572134</v>
      </c>
      <c r="P29" s="289"/>
      <c r="Q29" s="291"/>
      <c r="R29" s="290"/>
      <c r="S29" s="505">
        <v>45736.820219907408</v>
      </c>
      <c r="T29" s="479" t="s">
        <v>429</v>
      </c>
    </row>
    <row r="30" spans="1:20">
      <c r="A30" s="287" t="str">
        <f>'Weigh Sheet'!C41</f>
        <v>20231120_S4_I</v>
      </c>
      <c r="B30" s="288">
        <v>31</v>
      </c>
      <c r="C30" s="295">
        <v>24.033000000000001</v>
      </c>
      <c r="D30" s="295">
        <v>3.8750202499999999</v>
      </c>
      <c r="E30" s="467">
        <v>70580936</v>
      </c>
      <c r="F30" s="294">
        <v>7.2257490000000004</v>
      </c>
      <c r="G30" s="467">
        <v>80117328</v>
      </c>
      <c r="H30" s="294"/>
      <c r="I30" s="294"/>
      <c r="J30" s="291">
        <v>0.33726805478006039</v>
      </c>
      <c r="K30" s="291">
        <v>7.4069694364081577</v>
      </c>
      <c r="L30" s="290">
        <v>7.0404080846404558</v>
      </c>
      <c r="M30" s="289">
        <v>2.3169458349999998</v>
      </c>
      <c r="N30" s="291">
        <v>-20.024716631939274</v>
      </c>
      <c r="O30" s="290">
        <v>-20.555613833743791</v>
      </c>
      <c r="P30" s="289"/>
      <c r="Q30" s="291"/>
      <c r="R30" s="290"/>
      <c r="S30" s="505">
        <v>45736.828125</v>
      </c>
      <c r="T30" s="479" t="s">
        <v>430</v>
      </c>
    </row>
    <row r="31" spans="1:20">
      <c r="A31" s="287" t="str">
        <f>'Weigh Sheet'!C42</f>
        <v>20231120_S4_J</v>
      </c>
      <c r="B31" s="288">
        <v>32</v>
      </c>
      <c r="C31" s="295">
        <v>25.878</v>
      </c>
      <c r="D31" s="295">
        <v>3.3960417500000002</v>
      </c>
      <c r="E31" s="467">
        <v>63693224</v>
      </c>
      <c r="F31" s="294">
        <v>6.1563115000000002</v>
      </c>
      <c r="G31" s="467">
        <v>68102400</v>
      </c>
      <c r="H31" s="294"/>
      <c r="I31" s="294"/>
      <c r="J31" s="291">
        <v>0.3100685186055514</v>
      </c>
      <c r="K31" s="291">
        <v>7.27327190365253</v>
      </c>
      <c r="L31" s="290">
        <v>6.9100703710502351</v>
      </c>
      <c r="M31" s="289">
        <v>1.8333504607</v>
      </c>
      <c r="N31" s="291">
        <v>-18.992992061939749</v>
      </c>
      <c r="O31" s="290">
        <v>-19.494579249302646</v>
      </c>
      <c r="P31" s="289"/>
      <c r="Q31" s="291"/>
      <c r="R31" s="290"/>
      <c r="S31" s="505">
        <v>45736.836006944446</v>
      </c>
      <c r="T31" s="479" t="s">
        <v>431</v>
      </c>
    </row>
    <row r="32" spans="1:20">
      <c r="A32" s="287" t="str">
        <f>'Weigh Sheet'!C43</f>
        <v>blank</v>
      </c>
      <c r="B32" s="288">
        <v>33</v>
      </c>
      <c r="C32" s="295">
        <v>37.5</v>
      </c>
      <c r="D32" s="295">
        <v>6.6698335937500006E-2</v>
      </c>
      <c r="E32" s="467">
        <v>1653448</v>
      </c>
      <c r="F32" s="294">
        <v>0.13139270312500001</v>
      </c>
      <c r="G32" s="467">
        <v>2717812</v>
      </c>
      <c r="H32" s="294"/>
      <c r="I32" s="294"/>
      <c r="J32" s="291">
        <v>0.13966144786973608</v>
      </c>
      <c r="K32" s="291">
        <v>21.910016819481182</v>
      </c>
      <c r="L32" s="290">
        <v>21.178993868833246</v>
      </c>
      <c r="M32" s="289">
        <v>5.3552585299999997E-2</v>
      </c>
      <c r="N32" s="291">
        <v>-18.386972857257849</v>
      </c>
      <c r="O32" s="290">
        <v>-18.871343791215892</v>
      </c>
      <c r="P32" s="289"/>
      <c r="Q32" s="291"/>
      <c r="R32" s="290"/>
      <c r="S32" s="505">
        <v>45736.843935185185</v>
      </c>
      <c r="T32" s="479" t="s">
        <v>432</v>
      </c>
    </row>
    <row r="33" spans="1:37">
      <c r="A33" s="287" t="str">
        <f>'Weigh Sheet'!C44</f>
        <v>ISIRF Ulva</v>
      </c>
      <c r="B33" s="288">
        <v>34</v>
      </c>
      <c r="C33" s="294">
        <v>1.109</v>
      </c>
      <c r="D33" s="295">
        <v>4.2977670000000003</v>
      </c>
      <c r="E33" s="467">
        <v>68777024</v>
      </c>
      <c r="F33" s="294">
        <v>5.2664419999999996</v>
      </c>
      <c r="G33" s="467">
        <v>54829624</v>
      </c>
      <c r="H33" s="294"/>
      <c r="I33" s="294"/>
      <c r="J33" s="291">
        <v>4.5043208475773344</v>
      </c>
      <c r="K33" s="291">
        <v>7.8742872961567114</v>
      </c>
      <c r="L33" s="290">
        <v>7.4959822459889054</v>
      </c>
      <c r="M33" s="289">
        <v>34.436976182800002</v>
      </c>
      <c r="N33" s="291">
        <v>-12.710826377922324</v>
      </c>
      <c r="O33" s="290">
        <v>-13.03394503572089</v>
      </c>
      <c r="P33" s="289"/>
      <c r="Q33" s="291"/>
      <c r="R33" s="290"/>
      <c r="S33" s="505">
        <v>45736.851805555554</v>
      </c>
      <c r="T33" s="479" t="s">
        <v>433</v>
      </c>
    </row>
    <row r="34" spans="1:37">
      <c r="A34" s="287" t="str">
        <f>'Weigh Sheet'!C45</f>
        <v>ISIRF Chitin</v>
      </c>
      <c r="B34" s="288">
        <v>35</v>
      </c>
      <c r="C34" s="295">
        <v>1.038</v>
      </c>
      <c r="D34" s="295">
        <v>6.1936344999999999</v>
      </c>
      <c r="E34" s="467">
        <v>96445160</v>
      </c>
      <c r="F34" s="294">
        <v>6.5923235</v>
      </c>
      <c r="G34" s="467">
        <v>69005184</v>
      </c>
      <c r="H34" s="294"/>
      <c r="I34" s="294"/>
      <c r="J34" s="291">
        <v>6.5723051234784036</v>
      </c>
      <c r="K34" s="291">
        <v>-4.9576366961837026</v>
      </c>
      <c r="L34" s="290">
        <v>-5.0134754803709942</v>
      </c>
      <c r="M34" s="289">
        <v>46.258045735799996</v>
      </c>
      <c r="N34" s="291">
        <v>-20.466432011560485</v>
      </c>
      <c r="O34" s="290">
        <v>-21.009877799036264</v>
      </c>
      <c r="P34" s="289"/>
      <c r="Q34" s="291"/>
      <c r="R34" s="290"/>
      <c r="S34" s="505">
        <v>45736.859664351854</v>
      </c>
      <c r="T34" s="479" t="s">
        <v>434</v>
      </c>
    </row>
    <row r="35" spans="1:37">
      <c r="A35" s="287" t="str">
        <f>'Weigh Sheet'!C46</f>
        <v>ISIRF Bamboo</v>
      </c>
      <c r="B35" s="288">
        <v>36</v>
      </c>
      <c r="C35" s="295">
        <v>1.474</v>
      </c>
      <c r="D35" s="295">
        <v>3.8693002500000002</v>
      </c>
      <c r="E35" s="467">
        <v>61914048</v>
      </c>
      <c r="F35" s="294">
        <v>8.9978759999999998</v>
      </c>
      <c r="G35" s="467">
        <v>96966336</v>
      </c>
      <c r="H35" s="294"/>
      <c r="I35" s="294"/>
      <c r="J35" s="291">
        <v>3.0695583129062802</v>
      </c>
      <c r="K35" s="291">
        <v>2.2274829454286418</v>
      </c>
      <c r="L35" s="290">
        <v>1.9910820956588999</v>
      </c>
      <c r="M35" s="289">
        <v>45.501844182699998</v>
      </c>
      <c r="N35" s="291">
        <v>-29.456201920528169</v>
      </c>
      <c r="O35" s="290">
        <v>-30.255035912879997</v>
      </c>
      <c r="P35" s="289"/>
      <c r="Q35" s="291"/>
      <c r="R35" s="290"/>
      <c r="S35" s="505">
        <v>45736.867569444446</v>
      </c>
      <c r="T35" s="479" t="s">
        <v>435</v>
      </c>
    </row>
    <row r="36" spans="1:37">
      <c r="A36" s="287" t="str">
        <f>'Weigh Sheet'!C47</f>
        <v>NBS 1572 Citrus Leaf</v>
      </c>
      <c r="B36" s="288">
        <v>37</v>
      </c>
      <c r="C36" s="295">
        <v>2.069</v>
      </c>
      <c r="D36" s="295">
        <v>5.0351745000000001</v>
      </c>
      <c r="E36" s="467">
        <v>80505120</v>
      </c>
      <c r="F36" s="294">
        <v>12.042187999999999</v>
      </c>
      <c r="G36" s="467">
        <v>131648272</v>
      </c>
      <c r="H36" s="294"/>
      <c r="I36" s="294"/>
      <c r="J36" s="291">
        <v>2.8042115982899292</v>
      </c>
      <c r="K36" s="291">
        <v>4.8546864574489774</v>
      </c>
      <c r="L36" s="290">
        <v>4.5522639801354785</v>
      </c>
      <c r="M36" s="289">
        <v>43.835750628299998</v>
      </c>
      <c r="N36" s="291">
        <v>-26.568558961451096</v>
      </c>
      <c r="O36" s="290">
        <v>-27.285358601521448</v>
      </c>
      <c r="P36" s="289"/>
      <c r="Q36" s="291"/>
      <c r="R36" s="290"/>
      <c r="S36" s="505">
        <v>45736.875486111108</v>
      </c>
      <c r="T36" s="479" t="s">
        <v>436</v>
      </c>
    </row>
    <row r="37" spans="1:37">
      <c r="A37" s="287" t="str">
        <f>'Weigh Sheet'!C48</f>
        <v xml:space="preserve">20231120_SS1_A </v>
      </c>
      <c r="B37" s="288">
        <v>38</v>
      </c>
      <c r="C37" s="295">
        <v>26.736000000000001</v>
      </c>
      <c r="D37" s="295">
        <v>2.0158631250000001</v>
      </c>
      <c r="E37" s="467">
        <v>37334636</v>
      </c>
      <c r="F37" s="294">
        <v>3.793717</v>
      </c>
      <c r="G37" s="467">
        <v>40264728</v>
      </c>
      <c r="H37" s="294"/>
      <c r="I37" s="294"/>
      <c r="J37" s="291">
        <v>0.22489221826188016</v>
      </c>
      <c r="K37" s="291">
        <v>6.9858269386839744</v>
      </c>
      <c r="L37" s="290">
        <v>6.6298488984109394</v>
      </c>
      <c r="M37" s="289">
        <v>1.0594653620999999</v>
      </c>
      <c r="N37" s="291">
        <v>-14.434046867767709</v>
      </c>
      <c r="O37" s="290">
        <v>-14.806120080795573</v>
      </c>
      <c r="P37" s="289"/>
      <c r="Q37" s="291"/>
      <c r="R37" s="290"/>
      <c r="S37" s="505">
        <v>45736.883321759262</v>
      </c>
      <c r="T37" s="479" t="s">
        <v>437</v>
      </c>
    </row>
    <row r="38" spans="1:37">
      <c r="A38" s="287" t="str">
        <f>'Weigh Sheet'!C49</f>
        <v xml:space="preserve">20231120_SS1_B </v>
      </c>
      <c r="B38" s="288">
        <v>39</v>
      </c>
      <c r="C38" s="295">
        <v>25.969000000000001</v>
      </c>
      <c r="D38" s="295">
        <v>3.0926775000000002</v>
      </c>
      <c r="E38" s="467">
        <v>55879008</v>
      </c>
      <c r="F38" s="294">
        <v>5.7538330000000002</v>
      </c>
      <c r="G38" s="467">
        <v>62674692</v>
      </c>
      <c r="H38" s="294"/>
      <c r="I38" s="294"/>
      <c r="J38" s="291">
        <v>0.2814205743239252</v>
      </c>
      <c r="K38" s="291">
        <v>6.1690171740938906</v>
      </c>
      <c r="L38" s="290">
        <v>5.8335655642268502</v>
      </c>
      <c r="M38" s="289">
        <v>1.6843556328</v>
      </c>
      <c r="N38" s="291">
        <v>-15.05310214191784</v>
      </c>
      <c r="O38" s="290">
        <v>-15.442761946903586</v>
      </c>
      <c r="P38" s="289"/>
      <c r="Q38" s="291"/>
      <c r="R38" s="290"/>
      <c r="S38" s="505">
        <v>45736.891180555554</v>
      </c>
      <c r="T38" s="479" t="s">
        <v>438</v>
      </c>
    </row>
    <row r="39" spans="1:37">
      <c r="A39" s="287" t="str">
        <f>'Weigh Sheet'!C50</f>
        <v xml:space="preserve">20231120_SS1_C </v>
      </c>
      <c r="B39" s="288">
        <v>40</v>
      </c>
      <c r="C39" s="295">
        <v>25.167000000000002</v>
      </c>
      <c r="D39" s="295">
        <v>2.2167072499999998</v>
      </c>
      <c r="E39" s="467">
        <v>42351872</v>
      </c>
      <c r="F39" s="294">
        <v>3.5887730000000002</v>
      </c>
      <c r="G39" s="467">
        <v>38727144</v>
      </c>
      <c r="H39" s="294"/>
      <c r="I39" s="294"/>
      <c r="J39" s="291">
        <v>0.24584833145613727</v>
      </c>
      <c r="K39" s="291">
        <v>6.2889632452551618</v>
      </c>
      <c r="L39" s="290">
        <v>5.9504973904697849</v>
      </c>
      <c r="M39" s="289">
        <v>1.0863085504999999</v>
      </c>
      <c r="N39" s="291">
        <v>-15.730761869080634</v>
      </c>
      <c r="O39" s="290">
        <v>-16.139673145793623</v>
      </c>
      <c r="P39" s="289"/>
      <c r="Q39" s="291"/>
      <c r="R39" s="290"/>
      <c r="S39" s="505">
        <v>45736.899074074077</v>
      </c>
      <c r="T39" s="479" t="s">
        <v>439</v>
      </c>
    </row>
    <row r="40" spans="1:37">
      <c r="A40" s="287" t="str">
        <f>'Weigh Sheet'!C51</f>
        <v xml:space="preserve">20231120_SS1_D </v>
      </c>
      <c r="B40" s="288">
        <v>41</v>
      </c>
      <c r="C40" s="295">
        <v>25.943999999999999</v>
      </c>
      <c r="D40" s="295">
        <v>2.1940940000000002</v>
      </c>
      <c r="E40" s="467">
        <v>40664816</v>
      </c>
      <c r="F40" s="294">
        <v>3.4642097500000002</v>
      </c>
      <c r="G40" s="467">
        <v>36252664</v>
      </c>
      <c r="H40" s="294"/>
      <c r="I40" s="294"/>
      <c r="J40" s="291">
        <v>0.23852376054407709</v>
      </c>
      <c r="K40" s="291">
        <v>6.459333634985561</v>
      </c>
      <c r="L40" s="290">
        <v>6.1165863720931206</v>
      </c>
      <c r="M40" s="289">
        <v>0.98244205690000008</v>
      </c>
      <c r="N40" s="291">
        <v>-15.492093144106743</v>
      </c>
      <c r="O40" s="290">
        <v>-15.894224138582436</v>
      </c>
      <c r="P40" s="289"/>
      <c r="Q40" s="291"/>
      <c r="R40" s="290"/>
      <c r="S40" s="505">
        <v>45736.906944444447</v>
      </c>
      <c r="T40" s="479" t="s">
        <v>440</v>
      </c>
    </row>
    <row r="41" spans="1:37">
      <c r="A41" s="287" t="str">
        <f>'Weigh Sheet'!C52</f>
        <v xml:space="preserve">20231120_SS1_E </v>
      </c>
      <c r="B41" s="288">
        <v>42</v>
      </c>
      <c r="C41" s="295">
        <v>25.053999999999998</v>
      </c>
      <c r="D41" s="295">
        <v>2.2906995000000001</v>
      </c>
      <c r="E41" s="467">
        <v>39496236</v>
      </c>
      <c r="F41" s="294">
        <v>4.1024320000000003</v>
      </c>
      <c r="G41" s="467">
        <v>43591348</v>
      </c>
      <c r="H41" s="294"/>
      <c r="I41" s="294"/>
      <c r="J41" s="291">
        <v>0.24210062706045671</v>
      </c>
      <c r="K41" s="291">
        <v>6.9448735108732773</v>
      </c>
      <c r="L41" s="290">
        <v>6.5899246302923586</v>
      </c>
      <c r="M41" s="289">
        <v>1.2235112723999999</v>
      </c>
      <c r="N41" s="291">
        <v>-14.472515054092684</v>
      </c>
      <c r="O41" s="290">
        <v>-14.845681100546749</v>
      </c>
      <c r="P41" s="289"/>
      <c r="Q41" s="291"/>
      <c r="R41" s="290"/>
      <c r="S41" s="505">
        <v>45736.914826388886</v>
      </c>
      <c r="T41" s="479" t="s">
        <v>441</v>
      </c>
    </row>
    <row r="42" spans="1:37">
      <c r="A42" s="287" t="str">
        <f>'Weigh Sheet'!C53</f>
        <v xml:space="preserve">20231120_SS1_F </v>
      </c>
      <c r="B42" s="288">
        <v>43</v>
      </c>
      <c r="C42" s="295">
        <v>25.629000000000001</v>
      </c>
      <c r="D42" s="295">
        <v>2.3683407500000002</v>
      </c>
      <c r="E42" s="467">
        <v>40634216</v>
      </c>
      <c r="F42" s="294">
        <v>4.4919339999999996</v>
      </c>
      <c r="G42" s="467">
        <v>47872676</v>
      </c>
      <c r="H42" s="294"/>
      <c r="I42" s="294"/>
      <c r="J42" s="291">
        <v>0.23953475765588261</v>
      </c>
      <c r="K42" s="291">
        <v>7.7087315149676421</v>
      </c>
      <c r="L42" s="290">
        <v>7.3345868817882298</v>
      </c>
      <c r="M42" s="289">
        <v>1.308093336</v>
      </c>
      <c r="N42" s="291">
        <v>-15.432602344975201</v>
      </c>
      <c r="O42" s="290">
        <v>-15.833043279688441</v>
      </c>
      <c r="P42" s="289"/>
      <c r="Q42" s="291"/>
      <c r="R42" s="290"/>
      <c r="S42" s="505">
        <v>45736.922696759262</v>
      </c>
      <c r="T42" s="479" t="s">
        <v>442</v>
      </c>
    </row>
    <row r="43" spans="1:37">
      <c r="A43" s="287" t="str">
        <f>'Weigh Sheet'!C54</f>
        <v xml:space="preserve">20231120_SS1_G </v>
      </c>
      <c r="B43" s="288">
        <v>44</v>
      </c>
      <c r="C43" s="295">
        <v>24.806000000000001</v>
      </c>
      <c r="D43" s="295">
        <v>2.6169639999999998</v>
      </c>
      <c r="E43" s="467">
        <v>48925336</v>
      </c>
      <c r="F43" s="294">
        <v>4.68736</v>
      </c>
      <c r="G43" s="467">
        <v>49272636</v>
      </c>
      <c r="H43" s="294"/>
      <c r="I43" s="294"/>
      <c r="J43" s="291">
        <v>0.26414696652793423</v>
      </c>
      <c r="K43" s="291">
        <v>6.2840871372501299</v>
      </c>
      <c r="L43" s="290">
        <v>5.9457438190650187</v>
      </c>
      <c r="M43" s="289">
        <v>1.3880028467999999</v>
      </c>
      <c r="N43" s="291">
        <v>-16.356121860216518</v>
      </c>
      <c r="O43" s="290">
        <v>-16.782798838071443</v>
      </c>
      <c r="P43" s="289"/>
      <c r="Q43" s="291"/>
      <c r="R43" s="290"/>
      <c r="S43" s="505">
        <v>45736.930590277778</v>
      </c>
      <c r="T43" s="479" t="s">
        <v>443</v>
      </c>
    </row>
    <row r="44" spans="1:37">
      <c r="A44" s="287" t="str">
        <f>'Weigh Sheet'!C55</f>
        <v xml:space="preserve">20231120_SS1_H </v>
      </c>
      <c r="B44" s="288">
        <v>45</v>
      </c>
      <c r="C44" s="295">
        <v>26.15</v>
      </c>
      <c r="D44" s="295">
        <v>2.4163437499999998</v>
      </c>
      <c r="E44" s="467">
        <v>46111456</v>
      </c>
      <c r="F44" s="294">
        <v>4.0977092500000003</v>
      </c>
      <c r="G44" s="467">
        <v>43513688</v>
      </c>
      <c r="H44" s="294"/>
      <c r="I44" s="294"/>
      <c r="J44" s="291">
        <v>0.2548746787310896</v>
      </c>
      <c r="K44" s="291">
        <v>5.8202448964356943</v>
      </c>
      <c r="L44" s="290">
        <v>5.493557934342526</v>
      </c>
      <c r="M44" s="289">
        <v>1.1632691121000001</v>
      </c>
      <c r="N44" s="291">
        <v>-17.10590128866275</v>
      </c>
      <c r="O44" s="290">
        <v>-17.553878569442318</v>
      </c>
      <c r="P44" s="289"/>
      <c r="Q44" s="291"/>
      <c r="R44" s="290"/>
      <c r="S44" s="505">
        <v>45736.938483796293</v>
      </c>
      <c r="T44" s="479" t="s">
        <v>444</v>
      </c>
    </row>
    <row r="45" spans="1:37">
      <c r="A45" s="287" t="str">
        <f>'Weigh Sheet'!C56</f>
        <v xml:space="preserve">20231120_SS1_I </v>
      </c>
      <c r="B45" s="288">
        <v>46</v>
      </c>
      <c r="C45" s="294">
        <v>26.305</v>
      </c>
      <c r="D45" s="295">
        <v>2.2294452499999999</v>
      </c>
      <c r="E45" s="467">
        <v>41718648</v>
      </c>
      <c r="F45" s="294">
        <v>4.0152557499999997</v>
      </c>
      <c r="G45" s="467">
        <v>43078796</v>
      </c>
      <c r="H45" s="294"/>
      <c r="I45" s="294"/>
      <c r="J45" s="291">
        <v>0.24175812599808993</v>
      </c>
      <c r="K45" s="291">
        <v>6.1973298159518482</v>
      </c>
      <c r="L45" s="290">
        <v>5.8611667093594981</v>
      </c>
      <c r="M45" s="289">
        <v>1.1463892383000001</v>
      </c>
      <c r="N45" s="291">
        <v>-16.054176423092457</v>
      </c>
      <c r="O45" s="290">
        <v>-16.472275505857908</v>
      </c>
      <c r="P45" s="289"/>
      <c r="Q45" s="291"/>
      <c r="R45" s="290"/>
      <c r="S45" s="505">
        <v>45736.94636574074</v>
      </c>
      <c r="T45" s="479" t="s">
        <v>445</v>
      </c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>
      <c r="A46" s="287" t="str">
        <f>'Weigh Sheet'!C57</f>
        <v>ISIRF Ulva</v>
      </c>
      <c r="B46" s="288">
        <v>47</v>
      </c>
      <c r="C46" s="295">
        <v>1.127</v>
      </c>
      <c r="D46" s="295">
        <v>4.2676964999999996</v>
      </c>
      <c r="E46" s="467">
        <v>66902776</v>
      </c>
      <c r="F46" s="294">
        <v>5.2077010000000001</v>
      </c>
      <c r="G46" s="467">
        <v>53465916</v>
      </c>
      <c r="H46" s="294"/>
      <c r="I46" s="294"/>
      <c r="J46" s="291">
        <v>4.2348740238577589</v>
      </c>
      <c r="K46" s="291">
        <v>7.8698973741715852</v>
      </c>
      <c r="L46" s="290">
        <v>7.4917026427487574</v>
      </c>
      <c r="M46" s="289">
        <v>33.083056028599998</v>
      </c>
      <c r="N46" s="291">
        <v>-12.606616996108643</v>
      </c>
      <c r="O46" s="290">
        <v>-12.926775194716136</v>
      </c>
      <c r="P46" s="289"/>
      <c r="Q46" s="291"/>
      <c r="R46" s="290"/>
      <c r="S46" s="505">
        <v>45736.954201388886</v>
      </c>
      <c r="T46" s="479" t="s">
        <v>446</v>
      </c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>
      <c r="A47" s="287" t="str">
        <f>'Weigh Sheet'!C58</f>
        <v xml:space="preserve">20231120_SS1_J </v>
      </c>
      <c r="B47" s="288">
        <v>48</v>
      </c>
      <c r="C47" s="295">
        <v>24.992000000000001</v>
      </c>
      <c r="D47" s="295">
        <v>2.27540875</v>
      </c>
      <c r="E47" s="467">
        <v>42885568</v>
      </c>
      <c r="F47" s="294">
        <v>3.9760019999999998</v>
      </c>
      <c r="G47" s="467">
        <v>41891984</v>
      </c>
      <c r="H47" s="294"/>
      <c r="I47" s="294"/>
      <c r="J47" s="291">
        <v>0.24976852433864838</v>
      </c>
      <c r="K47" s="291">
        <v>6.5201372682359384</v>
      </c>
      <c r="L47" s="290">
        <v>6.1758620099638506</v>
      </c>
      <c r="M47" s="289">
        <v>1.1743931833000001</v>
      </c>
      <c r="N47" s="291">
        <v>-14.830528689134137</v>
      </c>
      <c r="O47" s="290">
        <v>-15.213865458587817</v>
      </c>
      <c r="P47" s="289"/>
      <c r="Q47" s="291"/>
      <c r="R47" s="290"/>
      <c r="S47" s="505">
        <v>45736.962060185186</v>
      </c>
      <c r="T47" s="479" t="s">
        <v>447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>20231120_SS1_K</v>
      </c>
      <c r="B48" s="288">
        <v>49</v>
      </c>
      <c r="C48" s="295">
        <v>25.155999999999999</v>
      </c>
      <c r="D48" s="295">
        <v>2.4227034999999999</v>
      </c>
      <c r="E48" s="467">
        <v>45252312</v>
      </c>
      <c r="F48" s="294">
        <v>4.0378772500000002</v>
      </c>
      <c r="G48" s="467">
        <v>43902796</v>
      </c>
      <c r="H48" s="294"/>
      <c r="I48" s="294"/>
      <c r="J48" s="291">
        <v>0.25279573854771165</v>
      </c>
      <c r="K48" s="291">
        <v>6.3919212604177931</v>
      </c>
      <c r="L48" s="290">
        <v>6.0508680705825757</v>
      </c>
      <c r="M48" s="289">
        <v>1.2240879599000001</v>
      </c>
      <c r="N48" s="291">
        <v>-16.490657021108021</v>
      </c>
      <c r="O48" s="290">
        <v>-16.921155975896806</v>
      </c>
      <c r="P48" s="289"/>
      <c r="Q48" s="291"/>
      <c r="R48" s="290"/>
      <c r="S48" s="505">
        <v>45736.969942129632</v>
      </c>
      <c r="T48" s="479" t="s">
        <v>448</v>
      </c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 xml:space="preserve">20231120_W1_A </v>
      </c>
      <c r="B49" s="288">
        <v>50</v>
      </c>
      <c r="C49" s="295">
        <v>24.911999999999999</v>
      </c>
      <c r="D49" s="295">
        <v>2.4287550000000002</v>
      </c>
      <c r="E49" s="467">
        <v>46003280</v>
      </c>
      <c r="F49" s="294">
        <v>4.6414790000000004</v>
      </c>
      <c r="G49" s="467">
        <v>50990624</v>
      </c>
      <c r="H49" s="294"/>
      <c r="I49" s="294"/>
      <c r="J49" s="291">
        <v>0.25818084561263477</v>
      </c>
      <c r="K49" s="291">
        <v>6.5654010188529055</v>
      </c>
      <c r="L49" s="290">
        <v>6.2199882824711867</v>
      </c>
      <c r="M49" s="289">
        <v>1.4321171338000001</v>
      </c>
      <c r="N49" s="291">
        <v>-16.232534821236293</v>
      </c>
      <c r="O49" s="290">
        <v>-16.65570084471188</v>
      </c>
      <c r="P49" s="289"/>
      <c r="Q49" s="291"/>
      <c r="R49" s="290"/>
      <c r="S49" s="505">
        <v>45736.977824074071</v>
      </c>
      <c r="T49" s="479" t="s">
        <v>449</v>
      </c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>
      <c r="A50" s="287" t="str">
        <f>'Weigh Sheet'!C61</f>
        <v xml:space="preserve">20231120_W1_B </v>
      </c>
      <c r="B50" s="288">
        <v>51</v>
      </c>
      <c r="C50" s="295">
        <v>25.379000000000001</v>
      </c>
      <c r="D50" s="295">
        <v>2.4218924999999998</v>
      </c>
      <c r="E50" s="467">
        <v>45441456</v>
      </c>
      <c r="F50" s="294">
        <v>4.5130844999999997</v>
      </c>
      <c r="G50" s="467">
        <v>49016940</v>
      </c>
      <c r="H50" s="294"/>
      <c r="I50" s="294"/>
      <c r="J50" s="291">
        <v>0.25532281867534301</v>
      </c>
      <c r="K50" s="291">
        <v>6.9465539907635554</v>
      </c>
      <c r="L50" s="290">
        <v>6.5915628797208914</v>
      </c>
      <c r="M50" s="289">
        <v>1.3477316052999999</v>
      </c>
      <c r="N50" s="291">
        <v>-15.877967917256706</v>
      </c>
      <c r="O50" s="290">
        <v>-16.291061135084011</v>
      </c>
      <c r="P50" s="289"/>
      <c r="Q50" s="291"/>
      <c r="R50" s="290"/>
      <c r="S50" s="505">
        <v>45736.985717592594</v>
      </c>
      <c r="T50" s="479" t="s">
        <v>450</v>
      </c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 xml:space="preserve">20231120_W1_C </v>
      </c>
      <c r="B51" s="288">
        <v>52</v>
      </c>
      <c r="C51" s="295">
        <v>25.408999999999999</v>
      </c>
      <c r="D51" s="295">
        <v>2.7785757499999999</v>
      </c>
      <c r="E51" s="467">
        <v>53482712</v>
      </c>
      <c r="F51" s="294">
        <v>5.4438465000000003</v>
      </c>
      <c r="G51" s="467">
        <v>59213724</v>
      </c>
      <c r="H51" s="294"/>
      <c r="I51" s="294"/>
      <c r="J51" s="291">
        <v>0.27773311710307058</v>
      </c>
      <c r="K51" s="291">
        <v>6.5517825254224116</v>
      </c>
      <c r="L51" s="290">
        <v>6.2067120217976388</v>
      </c>
      <c r="M51" s="289">
        <v>1.6234288290999999</v>
      </c>
      <c r="N51" s="291">
        <v>-15.495178034406827</v>
      </c>
      <c r="O51" s="290">
        <v>-15.897396666786932</v>
      </c>
      <c r="P51" s="289"/>
      <c r="Q51" s="291"/>
      <c r="R51" s="290"/>
      <c r="S51" s="505">
        <v>45736.99359953704</v>
      </c>
      <c r="T51" s="479" t="s">
        <v>451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 xml:space="preserve">20231120_W1_D </v>
      </c>
      <c r="B52" s="288">
        <v>53</v>
      </c>
      <c r="C52" s="295">
        <v>26.213999999999999</v>
      </c>
      <c r="D52" s="295">
        <v>3.0068492500000001</v>
      </c>
      <c r="E52" s="467">
        <v>55839752</v>
      </c>
      <c r="F52" s="294">
        <v>5.4621510000000004</v>
      </c>
      <c r="G52" s="467">
        <v>59057412</v>
      </c>
      <c r="H52" s="294"/>
      <c r="I52" s="294"/>
      <c r="J52" s="291">
        <v>0.28133639333992178</v>
      </c>
      <c r="K52" s="291">
        <v>6.3579689060511182</v>
      </c>
      <c r="L52" s="290">
        <v>6.0177689389236111</v>
      </c>
      <c r="M52" s="289">
        <v>1.5702241016999998</v>
      </c>
      <c r="N52" s="291">
        <v>-16.385919059451172</v>
      </c>
      <c r="O52" s="290">
        <v>-16.81344253875162</v>
      </c>
      <c r="P52" s="289"/>
      <c r="Q52" s="291"/>
      <c r="R52" s="290"/>
      <c r="S52" s="505">
        <v>45737.001516203702</v>
      </c>
      <c r="T52" s="479" t="s">
        <v>452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 xml:space="preserve">20231120_W1_E </v>
      </c>
      <c r="B53" s="288">
        <v>54</v>
      </c>
      <c r="C53" s="295">
        <v>25.594999999999999</v>
      </c>
      <c r="D53" s="295">
        <v>3.2488432500000002</v>
      </c>
      <c r="E53" s="467">
        <v>61092648</v>
      </c>
      <c r="F53" s="294">
        <v>5.7772645000000002</v>
      </c>
      <c r="G53" s="467">
        <v>61896672</v>
      </c>
      <c r="H53" s="294"/>
      <c r="I53" s="294"/>
      <c r="J53" s="291">
        <v>0.29244828322837008</v>
      </c>
      <c r="K53" s="291">
        <v>5.9312194668729337</v>
      </c>
      <c r="L53" s="290">
        <v>5.6017437136858454</v>
      </c>
      <c r="M53" s="289">
        <v>1.6807312671999999</v>
      </c>
      <c r="N53" s="291">
        <v>-16.487191820716411</v>
      </c>
      <c r="O53" s="290">
        <v>-16.91759233346313</v>
      </c>
      <c r="P53" s="289"/>
      <c r="Q53" s="291"/>
      <c r="R53" s="290"/>
      <c r="S53" s="505">
        <v>45737.009386574071</v>
      </c>
      <c r="T53" s="479" t="s">
        <v>453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 xml:space="preserve">20231120_W1_F </v>
      </c>
      <c r="B54" s="288">
        <v>55</v>
      </c>
      <c r="C54" s="295">
        <v>24.814</v>
      </c>
      <c r="D54" s="295">
        <v>2.5411589999999999</v>
      </c>
      <c r="E54" s="467">
        <v>46368056</v>
      </c>
      <c r="F54" s="294">
        <v>4.8551155000000001</v>
      </c>
      <c r="G54" s="467">
        <v>52190008</v>
      </c>
      <c r="H54" s="294"/>
      <c r="I54" s="294"/>
      <c r="J54" s="291">
        <v>0.25590878434830783</v>
      </c>
      <c r="K54" s="291">
        <v>7.9362027896534553</v>
      </c>
      <c r="L54" s="290">
        <v>7.5563418030566183</v>
      </c>
      <c r="M54" s="289">
        <v>1.4665707518</v>
      </c>
      <c r="N54" s="291">
        <v>-17.133405708388533</v>
      </c>
      <c r="O54" s="290">
        <v>-17.582164355593612</v>
      </c>
      <c r="P54" s="289"/>
      <c r="Q54" s="291"/>
      <c r="R54" s="290"/>
      <c r="S54" s="505">
        <v>45737.017291666663</v>
      </c>
      <c r="T54" s="479" t="s">
        <v>454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 xml:space="preserve">20231120_W1_G </v>
      </c>
      <c r="B55" s="288">
        <v>56</v>
      </c>
      <c r="C55" s="295">
        <v>25.81</v>
      </c>
      <c r="D55" s="295">
        <v>3.5473669999999999</v>
      </c>
      <c r="E55" s="467">
        <v>66279352</v>
      </c>
      <c r="F55" s="294">
        <v>6.7032730000000003</v>
      </c>
      <c r="G55" s="467">
        <v>72668840</v>
      </c>
      <c r="H55" s="294"/>
      <c r="I55" s="294"/>
      <c r="J55" s="291">
        <v>0.30480968301663341</v>
      </c>
      <c r="K55" s="291">
        <v>7.8953231119464293</v>
      </c>
      <c r="L55" s="290">
        <v>7.5164894317015101</v>
      </c>
      <c r="M55" s="289">
        <v>1.9606221624999998</v>
      </c>
      <c r="N55" s="291">
        <v>-17.807223888152397</v>
      </c>
      <c r="O55" s="290">
        <v>-18.275124873491301</v>
      </c>
      <c r="P55" s="289"/>
      <c r="Q55" s="291"/>
      <c r="R55" s="290"/>
      <c r="S55" s="505">
        <v>45737.025138888886</v>
      </c>
      <c r="T55" s="479" t="s">
        <v>455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 xml:space="preserve">R1-20231120_S3_A </v>
      </c>
      <c r="B56" s="288">
        <v>57</v>
      </c>
      <c r="C56" s="295">
        <v>25.632999999999999</v>
      </c>
      <c r="D56" s="295">
        <v>2.6433650000000002</v>
      </c>
      <c r="E56" s="467">
        <v>49496064</v>
      </c>
      <c r="F56" s="294">
        <v>4.7209064999999999</v>
      </c>
      <c r="G56" s="467">
        <v>50341912</v>
      </c>
      <c r="H56" s="294"/>
      <c r="I56" s="294"/>
      <c r="J56" s="291">
        <v>0.26647267253696927</v>
      </c>
      <c r="K56" s="291">
        <v>6.531985990676775</v>
      </c>
      <c r="L56" s="290">
        <v>6.1874129739949257</v>
      </c>
      <c r="M56" s="289">
        <v>1.3713785609</v>
      </c>
      <c r="N56" s="291">
        <v>-17.048798417247561</v>
      </c>
      <c r="O56" s="290">
        <v>-17.495153476327168</v>
      </c>
      <c r="P56" s="289"/>
      <c r="Q56" s="291"/>
      <c r="R56" s="290"/>
      <c r="S56" s="505">
        <v>45737.033032407409</v>
      </c>
      <c r="T56" s="479" t="s">
        <v>456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>
        <v>58</v>
      </c>
      <c r="C57" s="295">
        <v>37.5</v>
      </c>
      <c r="D57" s="295">
        <v>7.4412265625000001E-2</v>
      </c>
      <c r="E57" s="467">
        <v>1793476</v>
      </c>
      <c r="F57" s="294">
        <v>0</v>
      </c>
      <c r="G57" s="467">
        <v>0</v>
      </c>
      <c r="H57" s="294"/>
      <c r="I57" s="294"/>
      <c r="J57" s="291">
        <v>0.13227745508661468</v>
      </c>
      <c r="K57" s="291">
        <v>8.1636103605071177</v>
      </c>
      <c r="L57" s="290">
        <v>7.7780346213702369</v>
      </c>
      <c r="M57" s="289">
        <v>0</v>
      </c>
      <c r="N57" s="291">
        <v>-1.4538342610310846E-2</v>
      </c>
      <c r="O57" s="290">
        <v>2.3028783850525827E-2</v>
      </c>
      <c r="P57" s="289"/>
      <c r="Q57" s="291"/>
      <c r="R57" s="290"/>
      <c r="S57" s="505">
        <v>45737.040949074071</v>
      </c>
      <c r="T57" s="479" t="s">
        <v>457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>
        <v>59</v>
      </c>
      <c r="C58" s="295">
        <v>1.2869999999999999</v>
      </c>
      <c r="D58" s="295">
        <v>4.8505335000000001</v>
      </c>
      <c r="E58" s="467">
        <v>76374312</v>
      </c>
      <c r="F58" s="294">
        <v>5.8810644999999999</v>
      </c>
      <c r="G58" s="467">
        <v>61022260</v>
      </c>
      <c r="H58" s="294"/>
      <c r="I58" s="294"/>
      <c r="J58" s="291">
        <v>4.2120304409535434</v>
      </c>
      <c r="K58" s="291">
        <v>7.9699775554404093</v>
      </c>
      <c r="L58" s="290">
        <v>7.5892678089370929</v>
      </c>
      <c r="M58" s="289">
        <v>32.974082390499994</v>
      </c>
      <c r="N58" s="291">
        <v>-12.56329013289076</v>
      </c>
      <c r="O58" s="290">
        <v>-12.882217469092188</v>
      </c>
      <c r="P58" s="289"/>
      <c r="Q58" s="291"/>
      <c r="R58" s="290"/>
      <c r="S58" s="505">
        <v>45737.048831018517</v>
      </c>
      <c r="T58" s="479" t="s">
        <v>458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>
        <v>60</v>
      </c>
      <c r="C59" s="295">
        <v>1.075</v>
      </c>
      <c r="D59" s="295">
        <v>6.4589239999999997</v>
      </c>
      <c r="E59" s="467">
        <v>101522176</v>
      </c>
      <c r="F59" s="294">
        <v>6.7358359999999999</v>
      </c>
      <c r="G59" s="467">
        <v>71001712</v>
      </c>
      <c r="H59" s="294"/>
      <c r="I59" s="294"/>
      <c r="J59" s="291">
        <v>6.5638589647500627</v>
      </c>
      <c r="K59" s="291">
        <v>-4.9150766493881308</v>
      </c>
      <c r="L59" s="290">
        <v>-4.9719849676046373</v>
      </c>
      <c r="M59" s="289">
        <v>45.848261747999999</v>
      </c>
      <c r="N59" s="291">
        <v>-20.531388960511723</v>
      </c>
      <c r="O59" s="290">
        <v>-21.076680094281663</v>
      </c>
      <c r="P59" s="289"/>
      <c r="Q59" s="291"/>
      <c r="R59" s="290"/>
      <c r="S59" s="505">
        <v>45737.056689814817</v>
      </c>
      <c r="T59" s="479" t="s">
        <v>459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>
        <v>61</v>
      </c>
      <c r="C60" s="295">
        <v>1.411</v>
      </c>
      <c r="D60" s="295">
        <v>3.8569179999999998</v>
      </c>
      <c r="E60" s="467">
        <v>60686528</v>
      </c>
      <c r="F60" s="294">
        <v>8.5714170000000003</v>
      </c>
      <c r="G60" s="467">
        <v>92152592</v>
      </c>
      <c r="H60" s="294"/>
      <c r="I60" s="294"/>
      <c r="J60" s="291">
        <v>3.1143186625869097</v>
      </c>
      <c r="K60" s="291">
        <v>2.07135683527365</v>
      </c>
      <c r="L60" s="290">
        <v>1.8388794348474202</v>
      </c>
      <c r="M60" s="289">
        <v>45.287272143099997</v>
      </c>
      <c r="N60" s="291">
        <v>-29.550902035523265</v>
      </c>
      <c r="O60" s="290">
        <v>-30.352426340598893</v>
      </c>
      <c r="P60" s="289"/>
      <c r="Q60" s="291"/>
      <c r="R60" s="290"/>
      <c r="S60" s="505">
        <v>45737.064571759256</v>
      </c>
      <c r="T60" s="479" t="s">
        <v>460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.5" thickBot="1">
      <c r="A61" s="287" t="str">
        <f>'Weigh Sheet'!C72</f>
        <v>NBS 1572 Citrus Leaf</v>
      </c>
      <c r="B61" s="288">
        <v>62</v>
      </c>
      <c r="C61" s="295">
        <v>2.073</v>
      </c>
      <c r="D61" s="295">
        <v>4.8448244999999996</v>
      </c>
      <c r="E61" s="467">
        <v>80026360</v>
      </c>
      <c r="F61" s="294">
        <v>11.915153</v>
      </c>
      <c r="G61" s="467">
        <v>130774160</v>
      </c>
      <c r="H61" s="294"/>
      <c r="I61" s="294"/>
      <c r="J61" s="291">
        <v>2.7546067155102811</v>
      </c>
      <c r="K61" s="291">
        <v>4.8520743871594831</v>
      </c>
      <c r="L61" s="290">
        <v>4.5497175511756272</v>
      </c>
      <c r="M61" s="289">
        <v>43.569141999500005</v>
      </c>
      <c r="N61" s="291">
        <v>-26.539618883942069</v>
      </c>
      <c r="O61" s="290">
        <v>-27.255596372331251</v>
      </c>
      <c r="P61" s="289"/>
      <c r="Q61" s="291"/>
      <c r="R61" s="290"/>
      <c r="S61" s="505">
        <v>45737.072453703702</v>
      </c>
      <c r="T61" s="479" t="s">
        <v>461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6.2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207</v>
      </c>
      <c r="H62" s="363" t="s">
        <v>183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208</v>
      </c>
      <c r="N62" s="357" t="s">
        <v>160</v>
      </c>
      <c r="O62" s="338"/>
      <c r="P62" s="339"/>
      <c r="Q62" s="340"/>
      <c r="S62" s="341"/>
    </row>
    <row r="63" spans="1:37" ht="13.5" thickBot="1">
      <c r="A63" s="364" t="s">
        <v>248</v>
      </c>
      <c r="B63" s="308" t="s">
        <v>137</v>
      </c>
      <c r="C63" s="308">
        <v>7.4989402826592171</v>
      </c>
      <c r="D63" s="308">
        <v>4.2927354420000006</v>
      </c>
      <c r="E63" s="318">
        <v>-12.890511300308667</v>
      </c>
      <c r="F63" s="365">
        <v>33.294437556499993</v>
      </c>
      <c r="G63" s="318"/>
      <c r="H63" s="365"/>
      <c r="I63" s="371">
        <v>0.97486999874897939</v>
      </c>
      <c r="J63" s="372">
        <v>-0.18042420056449293</v>
      </c>
      <c r="K63" s="372">
        <v>1.0284087587849482</v>
      </c>
      <c r="L63" s="373">
        <v>3.7980142729185928E-2</v>
      </c>
      <c r="M63" s="372"/>
      <c r="N63" s="373"/>
      <c r="O63" s="297"/>
      <c r="P63" s="298"/>
      <c r="Q63" s="184"/>
      <c r="R63" s="2"/>
      <c r="S63"/>
      <c r="T63" s="2"/>
    </row>
    <row r="64" spans="1:37" ht="13.5" thickTop="1">
      <c r="A64" s="364" t="s">
        <v>254</v>
      </c>
      <c r="B64" s="308" t="s">
        <v>129</v>
      </c>
      <c r="C64" s="308">
        <v>-5.009378479975914</v>
      </c>
      <c r="D64" s="308">
        <v>6.5259674513333339</v>
      </c>
      <c r="E64" s="318">
        <v>-21.201039386165913</v>
      </c>
      <c r="F64" s="365">
        <v>44.925158736166672</v>
      </c>
      <c r="G64" s="318"/>
      <c r="H64" s="365"/>
      <c r="N64" s="43"/>
      <c r="O64" s="43"/>
    </row>
    <row r="65" spans="1:15">
      <c r="A65" s="364" t="s">
        <v>253</v>
      </c>
      <c r="B65" s="308" t="s">
        <v>130</v>
      </c>
      <c r="C65" s="308">
        <v>2.0694573473526137</v>
      </c>
      <c r="D65" s="308">
        <v>3.046377295333333</v>
      </c>
      <c r="E65" s="318">
        <v>-30.291663706283909</v>
      </c>
      <c r="F65" s="365">
        <v>45.850178489166666</v>
      </c>
      <c r="G65" s="318"/>
      <c r="H65" s="365"/>
      <c r="N65" s="43"/>
      <c r="O65" s="43"/>
    </row>
    <row r="66" spans="1:15" ht="13.5" thickBot="1">
      <c r="A66" s="366" t="s">
        <v>354</v>
      </c>
      <c r="B66" s="367" t="s">
        <v>462</v>
      </c>
      <c r="C66" s="367">
        <v>4.6267128424999386</v>
      </c>
      <c r="D66" s="367">
        <v>2.7467009260000004</v>
      </c>
      <c r="E66" s="368">
        <v>-27.295919880831075</v>
      </c>
      <c r="F66" s="369">
        <v>43.692042301333338</v>
      </c>
      <c r="G66" s="368"/>
      <c r="H66" s="369"/>
      <c r="N66" s="43"/>
      <c r="O66" s="43"/>
    </row>
    <row r="67" spans="1:15" ht="13.5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3" priority="2" operator="notBetween">
      <formula>1</formula>
      <formula>40</formula>
    </cfRule>
  </conditionalFormatting>
  <conditionalFormatting sqref="F6:F61">
    <cfRule type="cellIs" dxfId="12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topLeftCell="A7" workbookViewId="0">
      <selection activeCell="Q18" sqref="Q18"/>
    </sheetView>
  </sheetViews>
  <sheetFormatPr defaultColWidth="9.140625" defaultRowHeight="12"/>
  <cols>
    <col min="1" max="1" width="17.42578125" style="31" customWidth="1"/>
    <col min="2" max="2" width="16" style="31" customWidth="1"/>
    <col min="3" max="3" width="21.28515625" style="31" customWidth="1"/>
    <col min="4" max="4" width="18.5703125" style="31" bestFit="1" customWidth="1"/>
    <col min="5" max="5" width="9.42578125" style="31" bestFit="1" customWidth="1"/>
    <col min="6" max="6" width="5.5703125" style="31" bestFit="1" customWidth="1"/>
    <col min="7" max="7" width="7.85546875" style="31" bestFit="1" customWidth="1"/>
    <col min="8" max="8" width="8" style="31" bestFit="1" customWidth="1"/>
    <col min="9" max="9" width="9.5703125" style="31" bestFit="1" customWidth="1"/>
    <col min="10" max="10" width="5.85546875" style="31" customWidth="1"/>
    <col min="11" max="11" width="5.42578125" style="31" bestFit="1" customWidth="1"/>
    <col min="12" max="12" width="8.85546875" style="31" customWidth="1"/>
    <col min="13" max="13" width="10.7109375" style="31" customWidth="1"/>
    <col min="14" max="14" width="8" style="31" customWidth="1"/>
    <col min="15" max="16384" width="9.140625" style="31"/>
  </cols>
  <sheetData>
    <row r="1" spans="1:19" ht="12.75" thickBot="1">
      <c r="A1" s="185" t="s">
        <v>10</v>
      </c>
      <c r="B1" s="186" t="str">
        <f>COVER!C2</f>
        <v>IC13C-241217-10KansasROAR-2Carbon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.75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212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7.4989402826592171</v>
      </c>
      <c r="D4" s="309">
        <f>'ISIRF RAW'!D63</f>
        <v>4.2927354420000006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-5.009378479975914</v>
      </c>
      <c r="D5" s="309">
        <f>'ISIRF RAW'!D64</f>
        <v>6.5259674513333339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2.0694573473526137</v>
      </c>
      <c r="D6" s="309">
        <f>'ISIRF RAW'!D65</f>
        <v>3.046377295333333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.75" thickBot="1">
      <c r="A7" s="313" t="str">
        <f>'Weigh Sheet'!C12</f>
        <v>NBS 1572 Citrus Leaf</v>
      </c>
      <c r="B7" s="310" t="s">
        <v>213</v>
      </c>
      <c r="C7" s="310">
        <f>'ISIRF RAW'!C66</f>
        <v>4.6267128424999386</v>
      </c>
      <c r="D7" s="311">
        <f>'ISIRF RAW'!D66</f>
        <v>2.7467009260000004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.75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6"/>
      <c r="C9" s="487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6.25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210</v>
      </c>
      <c r="I10" s="201" t="s">
        <v>140</v>
      </c>
      <c r="J10" s="202" t="s">
        <v>68</v>
      </c>
      <c r="K10" s="203" t="s">
        <v>212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0">
        <f>'ISIRF RAW'!S8</f>
        <v>45736.654097222221</v>
      </c>
      <c r="B11" s="490" t="str">
        <f>'ISIRF RAW'!T8</f>
        <v>IC15N-241218-10KansasRoarCarbon-2_3.raw</v>
      </c>
      <c r="C11" s="491"/>
      <c r="D11" s="446" t="str">
        <f>'ISIRF RAW'!A8</f>
        <v>ISIRF Ulva</v>
      </c>
      <c r="E11" s="447" t="str">
        <f>$B$4</f>
        <v>QC.STD</v>
      </c>
      <c r="F11" s="446">
        <f>'ISIRF RAW'!B8</f>
        <v>9</v>
      </c>
      <c r="G11" s="447">
        <f>'ISIRF RAW'!C8</f>
        <v>1.121</v>
      </c>
      <c r="H11" s="447">
        <f>'ISIRF RAW'!D8</f>
        <v>4.0550154999999997</v>
      </c>
      <c r="I11" s="468">
        <f>'ISIRF RAW'!E8</f>
        <v>65098980</v>
      </c>
      <c r="J11" s="447">
        <f>'ISIRF RAW'!J8</f>
        <v>4.0198312243097902</v>
      </c>
      <c r="K11" s="447">
        <f>'ISIRF RAW'!L8</f>
        <v>7.4541073505540147</v>
      </c>
      <c r="L11" s="448"/>
      <c r="M11" s="189"/>
      <c r="N11" s="242"/>
      <c r="O11" s="334"/>
      <c r="P11" s="334"/>
      <c r="Q11" s="242"/>
    </row>
    <row r="12" spans="1:19" ht="12" customHeight="1">
      <c r="A12" s="501">
        <f>'ISIRF RAW'!S21</f>
        <v>45736.757314814815</v>
      </c>
      <c r="B12" s="492" t="str">
        <f>'ISIRF RAW'!T21</f>
        <v>IC15N-241218-10KansasRoarCarbon-2_16.raw</v>
      </c>
      <c r="C12" s="493"/>
      <c r="D12" s="449" t="str">
        <f>'ISIRF RAW'!A21</f>
        <v>ISIRF Ulva</v>
      </c>
      <c r="E12" s="450" t="str">
        <f>$B$4</f>
        <v>QC.STD</v>
      </c>
      <c r="F12" s="449">
        <f>'ISIRF RAW'!B21</f>
        <v>22</v>
      </c>
      <c r="G12" s="450">
        <f>'ISIRF RAW'!C21</f>
        <v>1.1579999999999999</v>
      </c>
      <c r="H12" s="450">
        <f>'ISIRF RAW'!D21</f>
        <v>4.3573955</v>
      </c>
      <c r="I12" s="469">
        <f>'ISIRF RAW'!E21</f>
        <v>70089952</v>
      </c>
      <c r="J12" s="450">
        <f>'ISIRF RAW'!J21</f>
        <v>4.3287358210215459</v>
      </c>
      <c r="K12" s="450">
        <f>'ISIRF RAW'!L21</f>
        <v>7.6380308066738358</v>
      </c>
      <c r="L12" s="451"/>
      <c r="M12" s="189"/>
      <c r="N12" s="242"/>
      <c r="O12" s="334"/>
      <c r="P12" s="334"/>
      <c r="Q12" s="242"/>
    </row>
    <row r="13" spans="1:19" ht="12" customHeight="1">
      <c r="A13" s="501">
        <f>'ISIRF RAW'!S33</f>
        <v>45736.851805555554</v>
      </c>
      <c r="B13" s="492" t="str">
        <f>'ISIRF RAW'!T33</f>
        <v>IC15N-241218-10KansasRoarCarbon-2_28.raw</v>
      </c>
      <c r="C13" s="493"/>
      <c r="D13" s="449" t="str">
        <f>'ISIRF RAW'!A33</f>
        <v>ISIRF Ulva</v>
      </c>
      <c r="E13" s="450" t="str">
        <f>$B$4</f>
        <v>QC.STD</v>
      </c>
      <c r="F13" s="449">
        <f>'ISIRF RAW'!B33</f>
        <v>34</v>
      </c>
      <c r="G13" s="450">
        <f>'ISIRF RAW'!C33</f>
        <v>1.109</v>
      </c>
      <c r="H13" s="450">
        <f>'ISIRF RAW'!D33</f>
        <v>4.2977670000000003</v>
      </c>
      <c r="I13" s="469">
        <f>'ISIRF RAW'!E33</f>
        <v>68777024</v>
      </c>
      <c r="J13" s="450">
        <f>'ISIRF RAW'!J33</f>
        <v>4.5043208475773344</v>
      </c>
      <c r="K13" s="450">
        <f>'ISIRF RAW'!L33</f>
        <v>7.4959822459889054</v>
      </c>
      <c r="L13" s="451"/>
      <c r="M13" s="189"/>
      <c r="N13" s="242"/>
      <c r="O13" s="334"/>
      <c r="P13" s="334"/>
      <c r="Q13" s="242"/>
    </row>
    <row r="14" spans="1:19" ht="12" customHeight="1">
      <c r="A14" s="501">
        <f>'ISIRF RAW'!S46</f>
        <v>45736.954201388886</v>
      </c>
      <c r="B14" s="492" t="str">
        <f>'ISIRF RAW'!T46</f>
        <v>IC15N-241218-10KansasRoarCarbon-2_41.raw</v>
      </c>
      <c r="C14" s="493"/>
      <c r="D14" s="449" t="str">
        <f>'ISIRF RAW'!A46</f>
        <v>ISIRF Ulva</v>
      </c>
      <c r="E14" s="450" t="str">
        <f>$B$4</f>
        <v>QC.STD</v>
      </c>
      <c r="F14" s="449">
        <f>'ISIRF RAW'!B46</f>
        <v>47</v>
      </c>
      <c r="G14" s="450">
        <f>'ISIRF RAW'!C46</f>
        <v>1.127</v>
      </c>
      <c r="H14" s="450">
        <f>'ISIRF RAW'!D46</f>
        <v>4.2676964999999996</v>
      </c>
      <c r="I14" s="469">
        <f>'ISIRF RAW'!E46</f>
        <v>66902776</v>
      </c>
      <c r="J14" s="450">
        <f>'ISIRF RAW'!J46</f>
        <v>4.2348740238577589</v>
      </c>
      <c r="K14" s="450">
        <f>'ISIRF RAW'!L46</f>
        <v>7.4917026427487574</v>
      </c>
      <c r="L14" s="451"/>
      <c r="M14" s="189"/>
      <c r="N14" s="242"/>
      <c r="O14" s="334"/>
      <c r="P14" s="334"/>
      <c r="Q14" s="242"/>
    </row>
    <row r="15" spans="1:19" ht="12" customHeight="1">
      <c r="A15" s="502">
        <f>'ISIRF RAW'!S58</f>
        <v>45737.048831018517</v>
      </c>
      <c r="B15" s="494" t="str">
        <f>'ISIRF RAW'!T58</f>
        <v>IC15N-241218-10KansasRoarCarbon-2_53.raw</v>
      </c>
      <c r="C15" s="495"/>
      <c r="D15" s="458" t="str">
        <f>'ISIRF RAW'!A58</f>
        <v>ISIRF Ulva</v>
      </c>
      <c r="E15" s="459" t="str">
        <f>$B$4</f>
        <v>QC.STD</v>
      </c>
      <c r="F15" s="458">
        <f>'ISIRF RAW'!B58</f>
        <v>59</v>
      </c>
      <c r="G15" s="459">
        <f>'ISIRF RAW'!C58</f>
        <v>1.2869999999999999</v>
      </c>
      <c r="H15" s="459">
        <f>'ISIRF RAW'!D58</f>
        <v>4.8505335000000001</v>
      </c>
      <c r="I15" s="470">
        <f>'ISIRF RAW'!E58</f>
        <v>76374312</v>
      </c>
      <c r="J15" s="459">
        <f>'ISIRF RAW'!J58</f>
        <v>4.2120304409535434</v>
      </c>
      <c r="K15" s="459">
        <f>'ISIRF RAW'!L58</f>
        <v>7.5892678089370929</v>
      </c>
      <c r="L15" s="460"/>
      <c r="M15" s="189"/>
      <c r="N15" s="242"/>
      <c r="O15" s="334"/>
      <c r="P15" s="334"/>
      <c r="Q15" s="242"/>
    </row>
    <row r="16" spans="1:19" ht="12" customHeight="1">
      <c r="A16" s="503">
        <f>'ISIRF RAW'!S9</f>
        <v>45736.663124999999</v>
      </c>
      <c r="B16" s="496" t="str">
        <f>'ISIRF RAW'!T9</f>
        <v>IC15N-241218-10KansasRoarCarbon-2_4.raw</v>
      </c>
      <c r="C16" s="497"/>
      <c r="D16" s="456" t="str">
        <f>'ISIRF RAW'!A9</f>
        <v>ISIRF Chitin</v>
      </c>
      <c r="E16" s="456" t="str">
        <f t="shared" ref="E16:E18" si="0">B$5</f>
        <v>Cal-H.STD</v>
      </c>
      <c r="F16" s="455">
        <f>'ISIRF RAW'!B9</f>
        <v>10</v>
      </c>
      <c r="G16" s="456">
        <f>'ISIRF RAW'!C9</f>
        <v>1.054</v>
      </c>
      <c r="H16" s="456">
        <f>'ISIRF RAW'!D9</f>
        <v>6.2796574999999999</v>
      </c>
      <c r="I16" s="471">
        <f>'ISIRF RAW'!E9</f>
        <v>98473056</v>
      </c>
      <c r="J16" s="456">
        <f>'ISIRF RAW'!J9</f>
        <v>6.4582242093822728</v>
      </c>
      <c r="K16" s="456">
        <f>'ISIRF RAW'!L9</f>
        <v>-4.8942624143243201</v>
      </c>
      <c r="L16" s="457"/>
      <c r="M16" s="189"/>
      <c r="N16" s="242"/>
      <c r="O16" s="334"/>
      <c r="P16" s="334"/>
      <c r="Q16" s="242"/>
    </row>
    <row r="17" spans="1:19" ht="12" customHeight="1">
      <c r="A17" s="501">
        <f>'ISIRF RAW'!S34</f>
        <v>45736.859664351854</v>
      </c>
      <c r="B17" s="492" t="str">
        <f>'ISIRF RAW'!T34</f>
        <v>IC15N-241218-10KansasRoarCarbon-2_29.raw</v>
      </c>
      <c r="C17" s="493"/>
      <c r="D17" s="450" t="str">
        <f>'ISIRF RAW'!A34</f>
        <v>ISIRF Chitin</v>
      </c>
      <c r="E17" s="450" t="str">
        <f t="shared" si="0"/>
        <v>Cal-H.STD</v>
      </c>
      <c r="F17" s="449">
        <f>'ISIRF RAW'!B34</f>
        <v>35</v>
      </c>
      <c r="G17" s="450">
        <f>'ISIRF RAW'!C34</f>
        <v>1.038</v>
      </c>
      <c r="H17" s="450">
        <f>'ISIRF RAW'!D34</f>
        <v>6.1936344999999999</v>
      </c>
      <c r="I17" s="469">
        <f>'ISIRF RAW'!E34</f>
        <v>96445160</v>
      </c>
      <c r="J17" s="450">
        <f>'ISIRF RAW'!J34</f>
        <v>6.5723051234784036</v>
      </c>
      <c r="K17" s="450">
        <f>'ISIRF RAW'!L34</f>
        <v>-5.0134754803709942</v>
      </c>
      <c r="L17" s="451"/>
      <c r="M17" s="189"/>
      <c r="N17" s="242"/>
      <c r="O17" s="334"/>
      <c r="P17" s="334"/>
      <c r="Q17" s="242"/>
    </row>
    <row r="18" spans="1:19" ht="12" customHeight="1">
      <c r="A18" s="502">
        <f>'ISIRF RAW'!S59</f>
        <v>45737.056689814817</v>
      </c>
      <c r="B18" s="494" t="str">
        <f>'ISIRF RAW'!T59</f>
        <v>IC15N-241218-10KansasRoarCarbon-2_54.raw</v>
      </c>
      <c r="C18" s="495"/>
      <c r="D18" s="459" t="str">
        <f>'ISIRF RAW'!A59</f>
        <v>ISIRF Chitin</v>
      </c>
      <c r="E18" s="459" t="str">
        <f t="shared" si="0"/>
        <v>Cal-H.STD</v>
      </c>
      <c r="F18" s="458">
        <f>'ISIRF RAW'!B59</f>
        <v>60</v>
      </c>
      <c r="G18" s="459">
        <f>'ISIRF RAW'!C59</f>
        <v>1.075</v>
      </c>
      <c r="H18" s="459">
        <f>'ISIRF RAW'!D59</f>
        <v>6.4589239999999997</v>
      </c>
      <c r="I18" s="470">
        <f>'ISIRF RAW'!E59</f>
        <v>101522176</v>
      </c>
      <c r="J18" s="459">
        <f>'ISIRF RAW'!J59</f>
        <v>6.5638589647500627</v>
      </c>
      <c r="K18" s="459">
        <f>'ISIRF RAW'!L59</f>
        <v>-4.9719849676046373</v>
      </c>
      <c r="L18" s="460"/>
      <c r="M18" s="189"/>
      <c r="N18" s="335"/>
      <c r="O18" s="335"/>
      <c r="P18" s="335"/>
      <c r="Q18" s="242"/>
    </row>
    <row r="19" spans="1:19" ht="12" customHeight="1">
      <c r="A19" s="503">
        <f>'ISIRF RAW'!S10</f>
        <v>45736.670949074076</v>
      </c>
      <c r="B19" s="496" t="str">
        <f>'ISIRF RAW'!T10</f>
        <v>IC15N-241218-10KansasRoarCarbon-2_5.raw</v>
      </c>
      <c r="C19" s="497"/>
      <c r="D19" s="455" t="str">
        <f>'ISIRF RAW'!A10</f>
        <v>ISIRF Bamboo</v>
      </c>
      <c r="E19" s="455" t="str">
        <f t="shared" ref="E19:E21" si="1">B$6</f>
        <v>Cal-L.STD</v>
      </c>
      <c r="F19" s="455">
        <f>'ISIRF RAW'!B10</f>
        <v>11</v>
      </c>
      <c r="G19" s="456">
        <f>'ISIRF RAW'!C10</f>
        <v>1.595</v>
      </c>
      <c r="H19" s="456">
        <f>'ISIRF RAW'!D10</f>
        <v>4.4175414999999996</v>
      </c>
      <c r="I19" s="471">
        <f>'ISIRF RAW'!E10</f>
        <v>70395120</v>
      </c>
      <c r="J19" s="456">
        <f>'ISIRF RAW'!J10</f>
        <v>3.1026538191760857</v>
      </c>
      <c r="K19" s="456">
        <f>'ISIRF RAW'!L10</f>
        <v>2.055608492317214</v>
      </c>
      <c r="L19" s="457"/>
      <c r="M19" s="189"/>
      <c r="N19" s="335"/>
      <c r="O19" s="335"/>
      <c r="P19" s="335"/>
      <c r="Q19" s="242"/>
    </row>
    <row r="20" spans="1:19" ht="12" customHeight="1">
      <c r="A20" s="501">
        <f>'ISIRF RAW'!S35</f>
        <v>45736.867569444446</v>
      </c>
      <c r="B20" s="492" t="str">
        <f>'ISIRF RAW'!T35</f>
        <v>IC15N-241218-10KansasRoarCarbon-2_30.raw</v>
      </c>
      <c r="C20" s="493"/>
      <c r="D20" s="449" t="str">
        <f>'ISIRF RAW'!A35</f>
        <v>ISIRF Bamboo</v>
      </c>
      <c r="E20" s="449" t="str">
        <f t="shared" si="1"/>
        <v>Cal-L.STD</v>
      </c>
      <c r="F20" s="449">
        <f>'ISIRF RAW'!B35</f>
        <v>36</v>
      </c>
      <c r="G20" s="450">
        <f>'ISIRF RAW'!C35</f>
        <v>1.474</v>
      </c>
      <c r="H20" s="450">
        <f>'ISIRF RAW'!D35</f>
        <v>3.8693002500000002</v>
      </c>
      <c r="I20" s="469">
        <f>'ISIRF RAW'!E35</f>
        <v>61914048</v>
      </c>
      <c r="J20" s="450">
        <f>'ISIRF RAW'!J35</f>
        <v>3.0695583129062802</v>
      </c>
      <c r="K20" s="450">
        <f>'ISIRF RAW'!L35</f>
        <v>1.9910820956588999</v>
      </c>
      <c r="L20" s="451"/>
      <c r="M20" s="194"/>
      <c r="N20" s="335"/>
      <c r="O20" s="335"/>
      <c r="P20" s="335"/>
      <c r="Q20" s="242"/>
    </row>
    <row r="21" spans="1:19" ht="12" customHeight="1">
      <c r="A21" s="502">
        <f>'ISIRF RAW'!S60</f>
        <v>45737.064571759256</v>
      </c>
      <c r="B21" s="494" t="str">
        <f>'ISIRF RAW'!T60</f>
        <v>IC15N-241218-10KansasRoarCarbon-2_55.raw</v>
      </c>
      <c r="C21" s="495"/>
      <c r="D21" s="458" t="str">
        <f>'ISIRF RAW'!A60</f>
        <v>ISIRF Bamboo</v>
      </c>
      <c r="E21" s="458" t="str">
        <f t="shared" si="1"/>
        <v>Cal-L.STD</v>
      </c>
      <c r="F21" s="458">
        <f>'ISIRF RAW'!B60</f>
        <v>61</v>
      </c>
      <c r="G21" s="459">
        <f>'ISIRF RAW'!C60</f>
        <v>1.411</v>
      </c>
      <c r="H21" s="459">
        <f>'ISIRF RAW'!D60</f>
        <v>3.8569179999999998</v>
      </c>
      <c r="I21" s="470">
        <f>'ISIRF RAW'!E60</f>
        <v>60686528</v>
      </c>
      <c r="J21" s="459">
        <f>'ISIRF RAW'!J60</f>
        <v>3.1143186625869097</v>
      </c>
      <c r="K21" s="459">
        <f>'ISIRF RAW'!L60</f>
        <v>1.8388794348474202</v>
      </c>
      <c r="L21" s="460"/>
      <c r="M21" s="189"/>
      <c r="N21" s="336"/>
      <c r="O21" s="242"/>
      <c r="P21" s="242"/>
      <c r="Q21" s="242"/>
    </row>
    <row r="22" spans="1:19" ht="12" customHeight="1">
      <c r="A22" s="503">
        <f>'ISIRF RAW'!S11</f>
        <v>45736.678819444445</v>
      </c>
      <c r="B22" s="496" t="str">
        <f>'ISIRF RAW'!T11</f>
        <v>IC15N-241218-10KansasRoarCarbon-2_6.raw</v>
      </c>
      <c r="C22" s="497"/>
      <c r="D22" s="455" t="str">
        <f>'ISIRF RAW'!A11</f>
        <v>NBS 1572 Citrus Leaf</v>
      </c>
      <c r="E22" s="456" t="s">
        <v>165</v>
      </c>
      <c r="F22" s="455">
        <f>'ISIRF RAW'!B11</f>
        <v>12</v>
      </c>
      <c r="G22" s="456">
        <f>'ISIRF RAW'!C11</f>
        <v>2.0960000000000001</v>
      </c>
      <c r="H22" s="456">
        <f>'ISIRF RAW'!D11</f>
        <v>4.9164254999999999</v>
      </c>
      <c r="I22" s="471">
        <f>'ISIRF RAW'!E11</f>
        <v>80364024</v>
      </c>
      <c r="J22" s="456">
        <f>'ISIRF RAW'!J11</f>
        <v>2.7083822769510046</v>
      </c>
      <c r="K22" s="456">
        <f>'ISIRF RAW'!L11</f>
        <v>4.5419471780718723</v>
      </c>
      <c r="L22" s="457"/>
      <c r="M22" s="189"/>
      <c r="N22" s="242"/>
      <c r="O22" s="242"/>
      <c r="P22" s="242"/>
      <c r="Q22" s="242"/>
      <c r="R22" s="30"/>
    </row>
    <row r="23" spans="1:19" ht="12" customHeight="1">
      <c r="A23" s="501">
        <f>'ISIRF RAW'!S36</f>
        <v>45736.875486111108</v>
      </c>
      <c r="B23" s="492" t="str">
        <f>'ISIRF RAW'!T36</f>
        <v>IC15N-241218-10KansasRoarCarbon-2_31.raw</v>
      </c>
      <c r="C23" s="493"/>
      <c r="D23" s="449" t="str">
        <f>'ISIRF RAW'!A36</f>
        <v>NBS 1572 Citrus Leaf</v>
      </c>
      <c r="E23" s="450" t="s">
        <v>165</v>
      </c>
      <c r="F23" s="449">
        <f>'ISIRF RAW'!B36</f>
        <v>37</v>
      </c>
      <c r="G23" s="450">
        <f>'ISIRF RAW'!C36</f>
        <v>2.069</v>
      </c>
      <c r="H23" s="450">
        <f>'ISIRF RAW'!D36</f>
        <v>5.0351745000000001</v>
      </c>
      <c r="I23" s="469">
        <f>'ISIRF RAW'!E36</f>
        <v>80505120</v>
      </c>
      <c r="J23" s="450">
        <f>'ISIRF RAW'!J36</f>
        <v>2.8042115982899292</v>
      </c>
      <c r="K23" s="450">
        <f>'ISIRF RAW'!L36</f>
        <v>4.5522639801354785</v>
      </c>
      <c r="L23" s="451"/>
      <c r="M23" s="189"/>
      <c r="N23" s="242"/>
      <c r="O23" s="242"/>
      <c r="P23" s="242"/>
      <c r="Q23" s="242"/>
    </row>
    <row r="24" spans="1:19" ht="12.75" customHeight="1" thickBot="1">
      <c r="A24" s="504">
        <f>'ISIRF RAW'!S61</f>
        <v>45737.072453703702</v>
      </c>
      <c r="B24" s="498" t="str">
        <f>'ISIRF RAW'!T61</f>
        <v>IC15N-241218-10KansasRoarCarbon-2_56.raw</v>
      </c>
      <c r="C24" s="499"/>
      <c r="D24" s="452" t="str">
        <f>'ISIRF RAW'!A61</f>
        <v>NBS 1572 Citrus Leaf</v>
      </c>
      <c r="E24" s="453" t="s">
        <v>165</v>
      </c>
      <c r="F24" s="452">
        <f>'ISIRF RAW'!B61</f>
        <v>62</v>
      </c>
      <c r="G24" s="453">
        <f>'ISIRF RAW'!C61</f>
        <v>2.073</v>
      </c>
      <c r="H24" s="453">
        <f>'ISIRF RAW'!D61</f>
        <v>4.8448244999999996</v>
      </c>
      <c r="I24" s="472">
        <f>'ISIRF RAW'!E61</f>
        <v>80026360</v>
      </c>
      <c r="J24" s="453">
        <f>'ISIRF RAW'!J61</f>
        <v>2.7546067155102811</v>
      </c>
      <c r="K24" s="453">
        <f>'ISIRF RAW'!L61</f>
        <v>4.5497175511756272</v>
      </c>
      <c r="L24" s="454"/>
      <c r="M24" s="189"/>
      <c r="N24" s="189"/>
      <c r="O24" s="194"/>
      <c r="P24" s="194"/>
      <c r="Q24" s="189"/>
    </row>
    <row r="25" spans="1:19" ht="12.75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.5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230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.5" thickTop="1">
      <c r="A28" s="224" t="s">
        <v>25</v>
      </c>
      <c r="B28" s="225">
        <f>AVERAGE('ISIRF RAW'!L12,'ISIRF RAW'!L56)</f>
        <v>6.0605288399874118</v>
      </c>
      <c r="C28" s="226">
        <f>VAR('ISIRF RAW'!L12,'ISIRF RAW'!L56)</f>
        <v>3.2199166925673525E-2</v>
      </c>
      <c r="D28" s="227">
        <f>STDEV('ISIRF RAW'!L12,'ISIRF RAW'!L56)</f>
        <v>0.17944126316339151</v>
      </c>
      <c r="E28" s="225">
        <f>AVERAGE('ISIRF RAW'!J12,'ISIRF RAW'!J56)</f>
        <v>0.2672195724440582</v>
      </c>
      <c r="F28" s="226">
        <f>VAR('ISIRF RAW'!J12,'ISIRF RAW'!J56)</f>
        <v>1.1157189424188958E-6</v>
      </c>
      <c r="G28" s="227">
        <f>(STDEV('ISIRF RAW'!J12,'ISIRF RAW'!J56))/E28</f>
        <v>3.9528391153364865E-3</v>
      </c>
      <c r="H28" s="228">
        <f>COUNT('ISIRF RAW'!J12,'ISIRF RAW'!J56)</f>
        <v>2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.5" thickBot="1">
      <c r="A29" s="224" t="s">
        <v>26</v>
      </c>
      <c r="B29" s="229">
        <f>AVERAGE('ISIRF RAW'!L26:L27)</f>
        <v>7.6324035801510615</v>
      </c>
      <c r="C29" s="226">
        <f>VAR('ISIRF RAW'!L26:L27)</f>
        <v>1.5427377123664003E-4</v>
      </c>
      <c r="D29" s="227">
        <f>STDEV('ISIRF RAW'!L26:L27)</f>
        <v>1.2420699305459417E-2</v>
      </c>
      <c r="E29" s="229">
        <f>AVERAGE('ISIRF RAW'!J26:J27)</f>
        <v>0.35917491791129708</v>
      </c>
      <c r="F29" s="226">
        <f>VAR('ISIRF RAW'!J26:J27)</f>
        <v>2.979847207501549E-6</v>
      </c>
      <c r="G29" s="227">
        <f>(STDEV('ISIRF RAW'!J26:J27))/E29</f>
        <v>4.8060800138146039E-3</v>
      </c>
      <c r="H29" s="230">
        <f>COUNT('ISIRF RAW'!J26:J27)</f>
        <v>2</v>
      </c>
      <c r="I29" s="218"/>
      <c r="J29" s="218"/>
      <c r="K29" s="218"/>
      <c r="L29" s="242"/>
      <c r="M29" s="189"/>
      <c r="N29" s="189"/>
      <c r="O29" s="189"/>
      <c r="P29" s="189"/>
    </row>
    <row r="30" spans="1:19" ht="13.5" thickTop="1">
      <c r="A30" s="231" t="str">
        <f>B4</f>
        <v>QC.STD</v>
      </c>
      <c r="B30" s="225">
        <f>AVERAGE(K11:K15)</f>
        <v>7.5338181709805214</v>
      </c>
      <c r="C30" s="232">
        <f>VAR(K11:K15)</f>
        <v>5.8735064047352034E-3</v>
      </c>
      <c r="D30" s="233">
        <f>STDEV(K11:K15)</f>
        <v>7.663880482324345E-2</v>
      </c>
      <c r="E30" s="225">
        <f>AVERAGE(J11:J15)</f>
        <v>4.2599584715439942</v>
      </c>
      <c r="F30" s="232">
        <f>VAR(J11:J15)</f>
        <v>3.1257678779524005E-2</v>
      </c>
      <c r="G30" s="233">
        <f>(STDEV(J11:J15))/E30</f>
        <v>4.1502379427378965E-2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-4.9599076207666508</v>
      </c>
      <c r="C31" s="238">
        <f>VAR(K16:K18)</f>
        <v>3.6623355090459439E-3</v>
      </c>
      <c r="D31" s="239">
        <f>STDEV(K16:K18)</f>
        <v>6.0517233157555576E-2</v>
      </c>
      <c r="E31" s="237">
        <f>AVERAGE(J16:J18)</f>
        <v>6.5314627658702475</v>
      </c>
      <c r="F31" s="238">
        <f>VAR(J16:J18)</f>
        <v>4.0407490166476509E-3</v>
      </c>
      <c r="G31" s="374">
        <f>(STDEV(J16:J18))/E31</f>
        <v>9.7324119333026572E-3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.75" thickBot="1">
      <c r="A32" s="532" t="str">
        <f>B6</f>
        <v>Cal-L.STD</v>
      </c>
      <c r="B32" s="533">
        <f>AVERAGE(K19:K21)</f>
        <v>1.9618566742745116</v>
      </c>
      <c r="C32" s="534">
        <f>VAR(K19:K21)</f>
        <v>1.23834650292576E-2</v>
      </c>
      <c r="D32" s="535">
        <f>STDEV(K19:K21)</f>
        <v>0.11128101827920879</v>
      </c>
      <c r="E32" s="533">
        <f>AVERAGE(J19:J21)</f>
        <v>3.0955102648897586</v>
      </c>
      <c r="F32" s="534">
        <f>VAR(J19:J21)</f>
        <v>5.3914500176433433E-4</v>
      </c>
      <c r="G32" s="536">
        <f>(STDEV(J19:J21))/E32</f>
        <v>7.5010237956304295E-3</v>
      </c>
      <c r="H32" s="525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3.5" thickTop="1" thickBot="1">
      <c r="A33" s="526" t="str">
        <f>B7</f>
        <v>Check QC</v>
      </c>
      <c r="B33" s="527">
        <f>AVERAGE(K22:K24)</f>
        <v>4.5479762364609924</v>
      </c>
      <c r="C33" s="528">
        <f>VAR(K22:K24)</f>
        <v>2.8883233906459188E-5</v>
      </c>
      <c r="D33" s="529">
        <f>STDEV(K22:K24)</f>
        <v>5.374312412435584E-3</v>
      </c>
      <c r="E33" s="527">
        <f>AVERAGE(J22:J24)</f>
        <v>2.7557335302504051</v>
      </c>
      <c r="F33" s="528">
        <f>VAR(J22:J24)</f>
        <v>2.296766990663634E-3</v>
      </c>
      <c r="G33" s="530">
        <f>(STDEV(J22:J24))/E33</f>
        <v>1.739086758622423E-2</v>
      </c>
      <c r="H33" s="531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workbookViewId="0">
      <selection activeCell="I33" sqref="I33"/>
    </sheetView>
  </sheetViews>
  <sheetFormatPr defaultColWidth="9.140625" defaultRowHeight="12"/>
  <cols>
    <col min="1" max="1" width="17.7109375" style="30" bestFit="1" customWidth="1"/>
    <col min="2" max="2" width="24.7109375" style="30" customWidth="1"/>
    <col min="3" max="3" width="13" style="30" customWidth="1"/>
    <col min="4" max="4" width="20.42578125" style="30" customWidth="1"/>
    <col min="5" max="5" width="9.42578125" style="30" bestFit="1" customWidth="1"/>
    <col min="6" max="6" width="8.28515625" style="30" bestFit="1" customWidth="1"/>
    <col min="7" max="7" width="7.85546875" style="30" bestFit="1" customWidth="1"/>
    <col min="8" max="8" width="8" style="41" bestFit="1" customWidth="1"/>
    <col min="9" max="9" width="9.5703125" style="41" bestFit="1" customWidth="1"/>
    <col min="10" max="10" width="5.42578125" style="41" bestFit="1" customWidth="1"/>
    <col min="11" max="11" width="6" style="30" bestFit="1" customWidth="1"/>
    <col min="12" max="12" width="9.85546875" style="30" customWidth="1"/>
    <col min="13" max="13" width="9.140625" style="30" bestFit="1"/>
    <col min="14" max="14" width="7.85546875" style="30" customWidth="1"/>
    <col min="15" max="16384" width="9.140625" style="30"/>
  </cols>
  <sheetData>
    <row r="1" spans="1:18" ht="12.75" thickBot="1">
      <c r="A1" s="185" t="s">
        <v>10</v>
      </c>
      <c r="B1" s="186" t="str">
        <f>COVER!C2</f>
        <v>IC13C-241217-10KansasROAR-2Carbon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.75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-12.890511300308667</v>
      </c>
      <c r="D4" s="319">
        <f>'ISIRF RAW'!F63</f>
        <v>33.294437556499993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-21.201039386165913</v>
      </c>
      <c r="D5" s="319">
        <f>'ISIRF RAW'!F64</f>
        <v>44.925158736166672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-30.291663706283909</v>
      </c>
      <c r="D6" s="319">
        <f>'ISIRF RAW'!F65</f>
        <v>45.850178489166666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.75" thickBot="1">
      <c r="A7" s="313" t="str">
        <f>'Weigh Sheet'!C12</f>
        <v>NBS 1572 Citrus Leaf</v>
      </c>
      <c r="B7" s="310" t="s">
        <v>213</v>
      </c>
      <c r="C7" s="320">
        <f>'ISIRF RAW'!E66</f>
        <v>-27.295919880831075</v>
      </c>
      <c r="D7" s="321">
        <f>'ISIRF RAW'!F66</f>
        <v>43.692042301333338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.75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6"/>
      <c r="C9" s="487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6.25">
      <c r="A10" s="198" t="s">
        <v>75</v>
      </c>
      <c r="B10" s="488" t="s">
        <v>76</v>
      </c>
      <c r="C10" s="489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225</v>
      </c>
      <c r="I10" s="250" t="s">
        <v>133</v>
      </c>
      <c r="J10" s="203" t="s">
        <v>67</v>
      </c>
      <c r="K10" s="203" t="s">
        <v>214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0">
        <f>'ISIRF RAW'!S8</f>
        <v>45736.654097222221</v>
      </c>
      <c r="B11" s="516" t="str">
        <f>'ISIRF RAW'!T8</f>
        <v>IC15N-241218-10KansasRoarCarbon-2_3.raw</v>
      </c>
      <c r="C11" s="517"/>
      <c r="D11" s="446" t="str">
        <f>'ISIRF RAW'!A8</f>
        <v>ISIRF Ulva</v>
      </c>
      <c r="E11" s="205" t="s">
        <v>137</v>
      </c>
      <c r="F11" s="205">
        <f>'ISIRF RAW'!B8</f>
        <v>9</v>
      </c>
      <c r="G11" s="206">
        <f>'ISIRF RAW'!C8</f>
        <v>1.121</v>
      </c>
      <c r="H11" s="206">
        <f>'ISIRF RAW'!F8</f>
        <v>4.8012540000000001</v>
      </c>
      <c r="I11" s="511">
        <f>'ISIRF RAW'!G8</f>
        <v>50739732</v>
      </c>
      <c r="J11" s="206">
        <f>'ISIRF RAW'!M8</f>
        <v>31.457683993300002</v>
      </c>
      <c r="K11" s="206">
        <f>'ISIRF RAW'!O8</f>
        <v>-12.828393904071751</v>
      </c>
      <c r="L11" s="252"/>
      <c r="M11" s="194"/>
      <c r="N11" s="240"/>
      <c r="O11" s="334"/>
      <c r="P11" s="334"/>
      <c r="Q11" s="242"/>
      <c r="R11" s="242"/>
    </row>
    <row r="12" spans="1:18">
      <c r="A12" s="501">
        <f>'ISIRF RAW'!S21</f>
        <v>45736.757314814815</v>
      </c>
      <c r="B12" s="492" t="str">
        <f>'ISIRF RAW'!T21</f>
        <v>IC15N-241218-10KansasRoarCarbon-2_16.raw</v>
      </c>
      <c r="C12" s="493"/>
      <c r="D12" s="205" t="str">
        <f>'ISIRF RAW'!A21</f>
        <v>ISIRF Ulva</v>
      </c>
      <c r="E12" s="205" t="s">
        <v>137</v>
      </c>
      <c r="F12" s="205">
        <f>'ISIRF RAW'!B21</f>
        <v>22</v>
      </c>
      <c r="G12" s="206">
        <f>'ISIRF RAW'!C21</f>
        <v>1.1579999999999999</v>
      </c>
      <c r="H12" s="206">
        <f>'ISIRF RAW'!F21</f>
        <v>5.1803165</v>
      </c>
      <c r="I12" s="511">
        <f>'ISIRF RAW'!G21</f>
        <v>54420504</v>
      </c>
      <c r="J12" s="206">
        <f>'ISIRF RAW'!M21</f>
        <v>33.110450991599997</v>
      </c>
      <c r="K12" s="206">
        <f>'ISIRF RAW'!O21</f>
        <v>-12.934886492200956</v>
      </c>
      <c r="L12" s="253"/>
      <c r="M12" s="194"/>
      <c r="N12" s="240"/>
      <c r="O12" s="334"/>
      <c r="P12" s="334"/>
      <c r="Q12" s="242"/>
      <c r="R12" s="242"/>
    </row>
    <row r="13" spans="1:18">
      <c r="A13" s="501">
        <f>'ISIRF RAW'!S33</f>
        <v>45736.851805555554</v>
      </c>
      <c r="B13" s="492" t="str">
        <f>'ISIRF RAW'!T33</f>
        <v>IC15N-241218-10KansasRoarCarbon-2_28.raw</v>
      </c>
      <c r="C13" s="493"/>
      <c r="D13" s="205" t="str">
        <f>'ISIRF RAW'!A33</f>
        <v>ISIRF Ulva</v>
      </c>
      <c r="E13" s="205" t="s">
        <v>137</v>
      </c>
      <c r="F13" s="205">
        <f>'ISIRF RAW'!B33</f>
        <v>34</v>
      </c>
      <c r="G13" s="206">
        <f>'ISIRF RAW'!C33</f>
        <v>1.109</v>
      </c>
      <c r="H13" s="206">
        <f>'ISIRF RAW'!F33</f>
        <v>5.2664419999999996</v>
      </c>
      <c r="I13" s="511">
        <f>'ISIRF RAW'!G33</f>
        <v>54829624</v>
      </c>
      <c r="J13" s="206">
        <f>'ISIRF RAW'!M33</f>
        <v>34.436976182800002</v>
      </c>
      <c r="K13" s="206">
        <f>'ISIRF RAW'!O33</f>
        <v>-13.03394503572089</v>
      </c>
      <c r="L13" s="253"/>
      <c r="M13" s="194"/>
      <c r="N13" s="240"/>
      <c r="O13" s="334"/>
      <c r="P13" s="334"/>
      <c r="Q13" s="242"/>
      <c r="R13" s="242"/>
    </row>
    <row r="14" spans="1:18">
      <c r="A14" s="501">
        <f>'ISIRF RAW'!S46</f>
        <v>45736.954201388886</v>
      </c>
      <c r="B14" s="492" t="str">
        <f>'ISIRF RAW'!T46</f>
        <v>IC15N-241218-10KansasRoarCarbon-2_41.raw</v>
      </c>
      <c r="C14" s="493"/>
      <c r="D14" s="205" t="str">
        <f>'ISIRF RAW'!A46</f>
        <v>ISIRF Ulva</v>
      </c>
      <c r="E14" s="205" t="s">
        <v>137</v>
      </c>
      <c r="F14" s="205">
        <f>'ISIRF RAW'!B46</f>
        <v>47</v>
      </c>
      <c r="G14" s="206">
        <f>'ISIRF RAW'!C46</f>
        <v>1.127</v>
      </c>
      <c r="H14" s="206">
        <f>'ISIRF RAW'!F46</f>
        <v>5.2077010000000001</v>
      </c>
      <c r="I14" s="511">
        <f>'ISIRF RAW'!G46</f>
        <v>53465916</v>
      </c>
      <c r="J14" s="206">
        <f>'ISIRF RAW'!M46</f>
        <v>33.083056028599998</v>
      </c>
      <c r="K14" s="206">
        <f>'ISIRF RAW'!O46</f>
        <v>-12.926775194716136</v>
      </c>
      <c r="L14" s="253"/>
      <c r="M14" s="194"/>
      <c r="N14" s="240"/>
      <c r="O14" s="334"/>
      <c r="P14" s="334"/>
      <c r="Q14" s="242"/>
      <c r="R14" s="242"/>
    </row>
    <row r="15" spans="1:18">
      <c r="A15" s="502">
        <f>'ISIRF RAW'!S58</f>
        <v>45737.048831018517</v>
      </c>
      <c r="B15" s="494" t="str">
        <f>'ISIRF RAW'!T58</f>
        <v>IC15N-241218-10KansasRoarCarbon-2_53.raw</v>
      </c>
      <c r="C15" s="495"/>
      <c r="D15" s="512" t="str">
        <f>'ISIRF RAW'!A58</f>
        <v>ISIRF Ulva</v>
      </c>
      <c r="E15" s="512" t="s">
        <v>137</v>
      </c>
      <c r="F15" s="512">
        <f>'ISIRF RAW'!B58</f>
        <v>59</v>
      </c>
      <c r="G15" s="513">
        <f>'ISIRF RAW'!C58</f>
        <v>1.2869999999999999</v>
      </c>
      <c r="H15" s="513">
        <f>'ISIRF RAW'!F58</f>
        <v>5.8810644999999999</v>
      </c>
      <c r="I15" s="514">
        <f>'ISIRF RAW'!G58</f>
        <v>61022260</v>
      </c>
      <c r="J15" s="513">
        <f>'ISIRF RAW'!M58</f>
        <v>32.974082390499994</v>
      </c>
      <c r="K15" s="513">
        <f>'ISIRF RAW'!O58</f>
        <v>-12.882217469092188</v>
      </c>
      <c r="L15" s="515"/>
      <c r="M15" s="194"/>
      <c r="N15" s="337"/>
      <c r="O15" s="334"/>
      <c r="P15" s="334"/>
      <c r="Q15" s="242"/>
      <c r="R15" s="242"/>
    </row>
    <row r="16" spans="1:18">
      <c r="A16" s="503">
        <f>'ISIRF RAW'!S9</f>
        <v>45736.663124999999</v>
      </c>
      <c r="B16" s="496" t="str">
        <f>'ISIRF RAW'!T9</f>
        <v>IC15N-241218-10KansasRoarCarbon-2_4.raw</v>
      </c>
      <c r="C16" s="497"/>
      <c r="D16" s="205" t="str">
        <f>'ISIRF RAW'!A9</f>
        <v>ISIRF Chitin</v>
      </c>
      <c r="E16" s="205" t="s">
        <v>129</v>
      </c>
      <c r="F16" s="205">
        <f>'ISIRF RAW'!B9</f>
        <v>10</v>
      </c>
      <c r="G16" s="206">
        <f>'ISIRF RAW'!C9</f>
        <v>1.054</v>
      </c>
      <c r="H16" s="206">
        <f>'ISIRF RAW'!F9</f>
        <v>6.7245454999999996</v>
      </c>
      <c r="I16" s="511">
        <f>'ISIRF RAW'!G9</f>
        <v>69110720</v>
      </c>
      <c r="J16" s="206">
        <f>'ISIRF RAW'!M9</f>
        <v>45.222021567200002</v>
      </c>
      <c r="K16" s="206">
        <f>'ISIRF RAW'!O9</f>
        <v>-21.233095798722406</v>
      </c>
      <c r="L16" s="252"/>
      <c r="M16" s="194"/>
      <c r="N16" s="337"/>
      <c r="O16" s="334"/>
      <c r="P16" s="334"/>
      <c r="Q16" s="242"/>
      <c r="R16" s="242"/>
    </row>
    <row r="17" spans="1:18">
      <c r="A17" s="501">
        <f>'ISIRF RAW'!S34</f>
        <v>45736.859664351854</v>
      </c>
      <c r="B17" s="492" t="str">
        <f>'ISIRF RAW'!T34</f>
        <v>IC15N-241218-10KansasRoarCarbon-2_29.raw</v>
      </c>
      <c r="C17" s="493"/>
      <c r="D17" s="207" t="str">
        <f>'ISIRF RAW'!A34</f>
        <v>ISIRF Chitin</v>
      </c>
      <c r="E17" s="207" t="s">
        <v>129</v>
      </c>
      <c r="F17" s="205">
        <f>'ISIRF RAW'!B34</f>
        <v>35</v>
      </c>
      <c r="G17" s="206">
        <f>'ISIRF RAW'!C34</f>
        <v>1.038</v>
      </c>
      <c r="H17" s="206">
        <f>'ISIRF RAW'!F34</f>
        <v>6.5923235</v>
      </c>
      <c r="I17" s="511">
        <f>'ISIRF RAW'!G34</f>
        <v>69005184</v>
      </c>
      <c r="J17" s="206">
        <f>'ISIRF RAW'!M34</f>
        <v>46.258045735799996</v>
      </c>
      <c r="K17" s="206">
        <f>'ISIRF RAW'!O34</f>
        <v>-21.009877799036264</v>
      </c>
      <c r="L17" s="253"/>
      <c r="M17" s="194"/>
      <c r="N17" s="335"/>
      <c r="O17" s="335"/>
      <c r="P17" s="335"/>
      <c r="Q17" s="242"/>
      <c r="R17" s="242"/>
    </row>
    <row r="18" spans="1:18">
      <c r="A18" s="502">
        <f>'ISIRF RAW'!S59</f>
        <v>45737.056689814817</v>
      </c>
      <c r="B18" s="494" t="str">
        <f>'ISIRF RAW'!T59</f>
        <v>IC15N-241218-10KansasRoarCarbon-2_54.raw</v>
      </c>
      <c r="C18" s="495"/>
      <c r="D18" s="512" t="str">
        <f>'ISIRF RAW'!A59</f>
        <v>ISIRF Chitin</v>
      </c>
      <c r="E18" s="512" t="s">
        <v>129</v>
      </c>
      <c r="F18" s="518">
        <f>'ISIRF RAW'!B59</f>
        <v>60</v>
      </c>
      <c r="G18" s="519">
        <f>'ISIRF RAW'!C59</f>
        <v>1.075</v>
      </c>
      <c r="H18" s="519">
        <f>'ISIRF RAW'!F59</f>
        <v>6.7358359999999999</v>
      </c>
      <c r="I18" s="520">
        <f>'ISIRF RAW'!G59</f>
        <v>71001712</v>
      </c>
      <c r="J18" s="519">
        <f>'ISIRF RAW'!M59</f>
        <v>45.848261747999999</v>
      </c>
      <c r="K18" s="519">
        <f>'ISIRF RAW'!O59</f>
        <v>-21.076680094281663</v>
      </c>
      <c r="L18" s="515"/>
      <c r="M18" s="194"/>
      <c r="N18" s="335"/>
      <c r="O18" s="335"/>
      <c r="P18" s="335"/>
      <c r="Q18" s="242"/>
      <c r="R18" s="242"/>
    </row>
    <row r="19" spans="1:18">
      <c r="A19" s="503">
        <f>'ISIRF RAW'!S10</f>
        <v>45736.670949074076</v>
      </c>
      <c r="B19" s="496" t="str">
        <f>'ISIRF RAW'!T10</f>
        <v>IC15N-241218-10KansasRoarCarbon-2_5.raw</v>
      </c>
      <c r="C19" s="497"/>
      <c r="D19" s="205" t="str">
        <f>'ISIRF RAW'!A10</f>
        <v>ISIRF Bamboo</v>
      </c>
      <c r="E19" s="205" t="s">
        <v>130</v>
      </c>
      <c r="F19" s="205">
        <f>'ISIRF RAW'!B10</f>
        <v>11</v>
      </c>
      <c r="G19" s="206">
        <f>'ISIRF RAW'!C10</f>
        <v>1.595</v>
      </c>
      <c r="H19" s="206">
        <f>'ISIRF RAW'!F10</f>
        <v>9.5394769999999998</v>
      </c>
      <c r="I19" s="511">
        <f>'ISIRF RAW'!G10</f>
        <v>104629040</v>
      </c>
      <c r="J19" s="206">
        <f>'ISIRF RAW'!M10</f>
        <v>45.110957090899994</v>
      </c>
      <c r="K19" s="206">
        <f>'ISIRF RAW'!O10</f>
        <v>-30.397331737571676</v>
      </c>
      <c r="L19" s="252"/>
      <c r="M19" s="194"/>
      <c r="N19" s="333"/>
      <c r="O19" s="335"/>
      <c r="P19" s="335"/>
      <c r="Q19" s="242"/>
      <c r="R19" s="242"/>
    </row>
    <row r="20" spans="1:18">
      <c r="A20" s="501">
        <f>'ISIRF RAW'!S35</f>
        <v>45736.867569444446</v>
      </c>
      <c r="B20" s="492" t="str">
        <f>'ISIRF RAW'!T35</f>
        <v>IC15N-241218-10KansasRoarCarbon-2_30.raw</v>
      </c>
      <c r="C20" s="493"/>
      <c r="D20" s="207" t="str">
        <f>'ISIRF RAW'!A35</f>
        <v>ISIRF Bamboo</v>
      </c>
      <c r="E20" s="207" t="s">
        <v>130</v>
      </c>
      <c r="F20" s="205">
        <f>'ISIRF RAW'!B35</f>
        <v>36</v>
      </c>
      <c r="G20" s="206">
        <f>'ISIRF RAW'!C35</f>
        <v>1.474</v>
      </c>
      <c r="H20" s="206">
        <f>'ISIRF RAW'!F35</f>
        <v>8.9978759999999998</v>
      </c>
      <c r="I20" s="511">
        <f>'ISIRF RAW'!G35</f>
        <v>96966336</v>
      </c>
      <c r="J20" s="206">
        <f>'ISIRF RAW'!M35</f>
        <v>45.501844182699998</v>
      </c>
      <c r="K20" s="206">
        <f>'ISIRF RAW'!O35</f>
        <v>-30.255035912879997</v>
      </c>
      <c r="L20" s="253"/>
      <c r="M20" s="194"/>
      <c r="N20" s="242"/>
      <c r="O20" s="242"/>
      <c r="P20" s="242"/>
      <c r="Q20" s="242"/>
      <c r="R20" s="242"/>
    </row>
    <row r="21" spans="1:18">
      <c r="A21" s="502">
        <f>'ISIRF RAW'!S60</f>
        <v>45737.064571759256</v>
      </c>
      <c r="B21" s="494" t="str">
        <f>'ISIRF RAW'!T60</f>
        <v>IC15N-241218-10KansasRoarCarbon-2_55.raw</v>
      </c>
      <c r="C21" s="495"/>
      <c r="D21" s="512" t="str">
        <f>'ISIRF RAW'!A60</f>
        <v>ISIRF Bamboo</v>
      </c>
      <c r="E21" s="512" t="s">
        <v>130</v>
      </c>
      <c r="F21" s="518">
        <f>'ISIRF RAW'!B60</f>
        <v>61</v>
      </c>
      <c r="G21" s="519">
        <f>'ISIRF RAW'!C60</f>
        <v>1.411</v>
      </c>
      <c r="H21" s="519">
        <f>'ISIRF RAW'!F60</f>
        <v>8.5714170000000003</v>
      </c>
      <c r="I21" s="520">
        <f>'ISIRF RAW'!G60</f>
        <v>92152592</v>
      </c>
      <c r="J21" s="519">
        <f>'ISIRF RAW'!M60</f>
        <v>45.287272143099997</v>
      </c>
      <c r="K21" s="519">
        <f>'ISIRF RAW'!O60</f>
        <v>-30.352426340598893</v>
      </c>
      <c r="L21" s="515"/>
      <c r="M21" s="194"/>
      <c r="N21" s="242"/>
      <c r="O21" s="242"/>
      <c r="P21" s="242"/>
      <c r="Q21" s="242"/>
      <c r="R21" s="242"/>
    </row>
    <row r="22" spans="1:18">
      <c r="A22" s="503">
        <f>'ISIRF RAW'!S11</f>
        <v>45736.678819444445</v>
      </c>
      <c r="B22" s="496" t="str">
        <f>'ISIRF RAW'!T11</f>
        <v>IC15N-241218-10KansasRoarCarbon-2_6.raw</v>
      </c>
      <c r="C22" s="497"/>
      <c r="D22" s="205" t="str">
        <f>'ISIRF RAW'!A11</f>
        <v>NBS 1572 Citrus Leaf</v>
      </c>
      <c r="E22" s="205" t="s">
        <v>130</v>
      </c>
      <c r="F22" s="205">
        <f>'ISIRF RAW'!B11</f>
        <v>12</v>
      </c>
      <c r="G22" s="206">
        <f>'ISIRF RAW'!C11</f>
        <v>2.0960000000000001</v>
      </c>
      <c r="H22" s="206">
        <f>'ISIRF RAW'!F11</f>
        <v>12.089029</v>
      </c>
      <c r="I22" s="511">
        <f>'ISIRF RAW'!G11</f>
        <v>132884152</v>
      </c>
      <c r="J22" s="206">
        <f>'ISIRF RAW'!M11</f>
        <v>43.5285302817</v>
      </c>
      <c r="K22" s="206">
        <f>'ISIRF RAW'!O11</f>
        <v>-27.138636605717338</v>
      </c>
      <c r="L22" s="252"/>
      <c r="M22" s="194"/>
      <c r="N22" s="242"/>
      <c r="O22" s="242"/>
      <c r="P22" s="242"/>
      <c r="Q22" s="242"/>
      <c r="R22" s="242"/>
    </row>
    <row r="23" spans="1:18">
      <c r="A23" s="501">
        <f>'ISIRF RAW'!S36</f>
        <v>45736.875486111108</v>
      </c>
      <c r="B23" s="492" t="str">
        <f>'ISIRF RAW'!T36</f>
        <v>IC15N-241218-10KansasRoarCarbon-2_31.raw</v>
      </c>
      <c r="C23" s="493"/>
      <c r="D23" s="207" t="str">
        <f>'ISIRF RAW'!A36</f>
        <v>NBS 1572 Citrus Leaf</v>
      </c>
      <c r="E23" s="207" t="s">
        <v>130</v>
      </c>
      <c r="F23" s="205">
        <f>'ISIRF RAW'!B36</f>
        <v>37</v>
      </c>
      <c r="G23" s="206">
        <f>'ISIRF RAW'!C36</f>
        <v>2.069</v>
      </c>
      <c r="H23" s="206">
        <f>'ISIRF RAW'!F36</f>
        <v>12.042187999999999</v>
      </c>
      <c r="I23" s="511">
        <f>'ISIRF RAW'!G36</f>
        <v>131648272</v>
      </c>
      <c r="J23" s="206">
        <f>'ISIRF RAW'!M36</f>
        <v>43.835750628299998</v>
      </c>
      <c r="K23" s="206">
        <f>'ISIRF RAW'!O36</f>
        <v>-27.285358601521448</v>
      </c>
      <c r="L23" s="253"/>
      <c r="M23" s="194"/>
      <c r="N23" s="242"/>
      <c r="O23" s="242"/>
      <c r="P23" s="242"/>
      <c r="Q23" s="242"/>
      <c r="R23" s="242"/>
    </row>
    <row r="24" spans="1:18" ht="12.75" thickBot="1">
      <c r="A24" s="504">
        <f>'ISIRF RAW'!S61</f>
        <v>45737.072453703702</v>
      </c>
      <c r="B24" s="498" t="str">
        <f>'ISIRF RAW'!T61</f>
        <v>IC15N-241218-10KansasRoarCarbon-2_56.raw</v>
      </c>
      <c r="C24" s="499"/>
      <c r="D24" s="537" t="str">
        <f>'ISIRF RAW'!A61</f>
        <v>NBS 1572 Citrus Leaf</v>
      </c>
      <c r="E24" s="537" t="s">
        <v>130</v>
      </c>
      <c r="F24" s="538">
        <f>'ISIRF RAW'!B61</f>
        <v>62</v>
      </c>
      <c r="G24" s="539">
        <f>'ISIRF RAW'!C61</f>
        <v>2.073</v>
      </c>
      <c r="H24" s="539">
        <f>'ISIRF RAW'!F61</f>
        <v>11.915153</v>
      </c>
      <c r="I24" s="540">
        <f>'ISIRF RAW'!G61</f>
        <v>130774160</v>
      </c>
      <c r="J24" s="539">
        <f>'ISIRF RAW'!M61</f>
        <v>43.569141999500005</v>
      </c>
      <c r="K24" s="539">
        <f>'ISIRF RAW'!O61</f>
        <v>-27.255596372331251</v>
      </c>
      <c r="L24" s="541"/>
      <c r="M24" s="194"/>
      <c r="N24" s="242"/>
      <c r="O24" s="242"/>
      <c r="P24" s="242"/>
      <c r="Q24" s="242"/>
      <c r="R24" s="242"/>
    </row>
    <row r="25" spans="1:18" ht="12.75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.75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231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.75" thickTop="1">
      <c r="A28" s="224" t="s">
        <v>25</v>
      </c>
      <c r="B28" s="263">
        <f>AVERAGE('ISIRF RAW'!O12,'ISIRF RAW'!O56)</f>
        <v>-17.471787851166283</v>
      </c>
      <c r="C28" s="264">
        <f>VAR('ISIRF RAW'!O12,'ISIRF RAW'!O56)</f>
        <v>1.0919048783177908E-3</v>
      </c>
      <c r="D28" s="424">
        <f>STDEV('ISIRF RAW'!O12,'ISIRF RAW'!O56)</f>
        <v>3.3043983995846973E-2</v>
      </c>
      <c r="E28" s="265">
        <f>AVERAGE('ISIRF RAW'!M12,'ISIRF RAW'!M56)</f>
        <v>1.3862741683499999</v>
      </c>
      <c r="F28" s="265">
        <f>VAR('ISIRF RAW'!M12,'ISIRF RAW'!M56)</f>
        <v>4.4375824260898855E-4</v>
      </c>
      <c r="G28" s="424">
        <f>(STDEV('ISIRF RAW'!M12,'ISIRF RAW'!M56))/E28</f>
        <v>1.5195818083120424E-2</v>
      </c>
      <c r="H28" s="228">
        <f>COUNT('ISIRF RAW'!M12,'ISIRF RAW'!M56)</f>
        <v>2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.75" thickBot="1">
      <c r="A29" s="224" t="s">
        <v>26</v>
      </c>
      <c r="B29" s="266">
        <f>AVERAGE('ISIRF RAW'!O26:O27)</f>
        <v>-19.927058176502786</v>
      </c>
      <c r="C29" s="264">
        <f>VAR('ISIRF RAW'!O26:O27)</f>
        <v>2.0626295581246713E-3</v>
      </c>
      <c r="D29" s="424">
        <f>STDEV('ISIRF RAW'!O26:O27)</f>
        <v>4.5416181677070469E-2</v>
      </c>
      <c r="E29" s="265">
        <f>AVERAGE('ISIRF RAW'!M26:M27)</f>
        <v>2.4549079389999999</v>
      </c>
      <c r="F29" s="265">
        <f>VAR('ISIRF RAW'!M26:M27)</f>
        <v>7.7145432470437792E-5</v>
      </c>
      <c r="G29" s="424">
        <f>(STDEV('ISIRF RAW'!M26:M27))/E29</f>
        <v>3.5778316256791613E-3</v>
      </c>
      <c r="H29" s="230">
        <f>COUNT('ISIRF RAW'!M26:M27)</f>
        <v>2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.75" thickTop="1">
      <c r="A30" s="231" t="str">
        <f>B4</f>
        <v>QC.STD</v>
      </c>
      <c r="B30" s="263">
        <f>AVERAGE(K11:K15)</f>
        <v>-12.921243619160384</v>
      </c>
      <c r="C30" s="425">
        <f>VAR(K11:K15)</f>
        <v>5.7656113972151552E-3</v>
      </c>
      <c r="D30" s="268">
        <f>STDEV(K11:K15)</f>
        <v>7.5931623169896448E-2</v>
      </c>
      <c r="E30" s="267">
        <f>AVERAGE(J11:J15)</f>
        <v>33.012449917360001</v>
      </c>
      <c r="F30" s="263">
        <f>VAR(J11:J15)</f>
        <v>1.1156584150401405</v>
      </c>
      <c r="G30" s="268">
        <f>(STDEV(J11:J15))/E30</f>
        <v>3.1995423826069833E-2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-21.106551230680111</v>
      </c>
      <c r="C31" s="426">
        <f>VAR(K16:K18)</f>
        <v>1.3125782438271625E-2</v>
      </c>
      <c r="D31" s="271">
        <f>STDEV(K16:K18)</f>
        <v>0.11456780716358163</v>
      </c>
      <c r="E31" s="270">
        <f>AVERAGE(J16:J18)</f>
        <v>45.776109683666668</v>
      </c>
      <c r="F31" s="266">
        <f>VAR(J16:J18)</f>
        <v>0.27224095977149815</v>
      </c>
      <c r="G31" s="271">
        <f>(STDEV(J16:J18))/E31</f>
        <v>1.139824145210871E-2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.75" thickBot="1">
      <c r="A32" s="521" t="str">
        <f t="shared" si="0"/>
        <v>Cal-L.STD</v>
      </c>
      <c r="B32" s="522">
        <f>AVERAGE(K19:K21)</f>
        <v>-30.334931330350187</v>
      </c>
      <c r="C32" s="523">
        <f>VAR(K19:K21)</f>
        <v>5.2915819688729724E-3</v>
      </c>
      <c r="D32" s="524">
        <f>STDEV(K19:K21)</f>
        <v>7.2743260642295735E-2</v>
      </c>
      <c r="E32" s="522">
        <f>AVERAGE(J19:J21)</f>
        <v>45.300024472233325</v>
      </c>
      <c r="F32" s="522">
        <f>VAR(J19:J21)</f>
        <v>3.8320146057709698E-2</v>
      </c>
      <c r="G32" s="524">
        <f>(STDEV(J19:J21))/E32</f>
        <v>4.3213072000464637E-3</v>
      </c>
      <c r="H32" s="525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3.5" thickTop="1" thickBot="1">
      <c r="A33" s="526" t="str">
        <f t="shared" si="0"/>
        <v>Check QC</v>
      </c>
      <c r="B33" s="527">
        <f>AVERAGE(K22:K24)</f>
        <v>-27.226530526523348</v>
      </c>
      <c r="C33" s="528">
        <f>VAR(K22:K24)</f>
        <v>6.0154535575820574E-3</v>
      </c>
      <c r="D33" s="529">
        <f>STDEV(K22:K24)</f>
        <v>7.7559355061669111E-2</v>
      </c>
      <c r="E33" s="527">
        <f>AVERAGE(J22:J24)</f>
        <v>43.644474303166668</v>
      </c>
      <c r="F33" s="528">
        <f>VAR(J22:J24)</f>
        <v>2.7852302323050401E-2</v>
      </c>
      <c r="G33" s="530">
        <f>(STDEV(J22:J24))/E33</f>
        <v>3.8238538374532256E-3</v>
      </c>
      <c r="H33" s="531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C17" sqref="C17"/>
    </sheetView>
  </sheetViews>
  <sheetFormatPr defaultRowHeight="12.75"/>
  <cols>
    <col min="1" max="1" width="25.28515625" bestFit="1" customWidth="1"/>
    <col min="2" max="2" width="21.28515625" bestFit="1" customWidth="1"/>
    <col min="3" max="3" width="6.42578125" bestFit="1" customWidth="1"/>
    <col min="5" max="5" width="12.42578125" bestFit="1" customWidth="1"/>
    <col min="6" max="6" width="12.85546875" bestFit="1" customWidth="1"/>
    <col min="7" max="7" width="11.28515625" bestFit="1" customWidth="1"/>
    <col min="8" max="8" width="12.85546875" bestFit="1" customWidth="1"/>
    <col min="9" max="9" width="20.28515625" bestFit="1" customWidth="1"/>
    <col min="10" max="10" width="25" bestFit="1" customWidth="1"/>
    <col min="11" max="11" width="9" bestFit="1" customWidth="1"/>
    <col min="14" max="14" width="19.5703125" bestFit="1" customWidth="1"/>
  </cols>
  <sheetData>
    <row r="1" spans="1:11" ht="30.75" customHeight="1" thickTop="1">
      <c r="A1" s="584" t="s">
        <v>235</v>
      </c>
      <c r="B1" s="585" t="s">
        <v>0</v>
      </c>
      <c r="C1" s="639" t="s">
        <v>334</v>
      </c>
      <c r="E1" s="595" t="s">
        <v>256</v>
      </c>
      <c r="F1" s="596" t="s">
        <v>257</v>
      </c>
      <c r="G1" s="596" t="s">
        <v>258</v>
      </c>
      <c r="H1" s="596" t="s">
        <v>259</v>
      </c>
      <c r="I1" s="597" t="s">
        <v>260</v>
      </c>
      <c r="J1" s="597" t="s">
        <v>261</v>
      </c>
      <c r="K1" s="598" t="s">
        <v>262</v>
      </c>
    </row>
    <row r="2" spans="1:11">
      <c r="A2" s="590" t="s">
        <v>351</v>
      </c>
      <c r="B2" s="591" t="s">
        <v>250</v>
      </c>
      <c r="C2" s="636">
        <v>3</v>
      </c>
      <c r="E2" s="599" t="s">
        <v>263</v>
      </c>
      <c r="F2" s="600" t="s">
        <v>264</v>
      </c>
      <c r="G2" s="600" t="s">
        <v>265</v>
      </c>
      <c r="H2" s="601">
        <v>11</v>
      </c>
      <c r="I2" s="602" t="s">
        <v>266</v>
      </c>
      <c r="J2" s="603" t="s">
        <v>267</v>
      </c>
      <c r="K2" s="604">
        <v>4791</v>
      </c>
    </row>
    <row r="3" spans="1:11" ht="15">
      <c r="A3" s="588" t="s">
        <v>352</v>
      </c>
      <c r="B3" s="589" t="s">
        <v>245</v>
      </c>
      <c r="C3" s="637">
        <v>3</v>
      </c>
      <c r="E3" s="599" t="s">
        <v>268</v>
      </c>
      <c r="F3" s="600" t="s">
        <v>269</v>
      </c>
      <c r="G3" s="600" t="s">
        <v>265</v>
      </c>
      <c r="H3" s="600">
        <v>8</v>
      </c>
      <c r="I3" s="605" t="s">
        <v>270</v>
      </c>
      <c r="J3" s="603" t="s">
        <v>271</v>
      </c>
      <c r="K3" s="604">
        <v>4684</v>
      </c>
    </row>
    <row r="4" spans="1:11">
      <c r="A4" s="586" t="s">
        <v>253</v>
      </c>
      <c r="B4" s="587" t="s">
        <v>237</v>
      </c>
      <c r="C4" s="638">
        <v>1.5</v>
      </c>
      <c r="E4" s="599" t="s">
        <v>272</v>
      </c>
      <c r="F4" s="600" t="s">
        <v>273</v>
      </c>
      <c r="G4" s="600" t="s">
        <v>274</v>
      </c>
      <c r="H4" s="600">
        <v>10</v>
      </c>
      <c r="I4" s="605" t="s">
        <v>275</v>
      </c>
      <c r="J4" s="603" t="s">
        <v>276</v>
      </c>
      <c r="K4" s="604">
        <v>4620</v>
      </c>
    </row>
    <row r="5" spans="1:11">
      <c r="A5" s="586" t="s">
        <v>353</v>
      </c>
      <c r="B5" s="587" t="s">
        <v>238</v>
      </c>
      <c r="C5" s="638">
        <v>1</v>
      </c>
      <c r="E5" s="599" t="s">
        <v>277</v>
      </c>
      <c r="F5" s="600" t="s">
        <v>278</v>
      </c>
      <c r="G5" s="600" t="s">
        <v>279</v>
      </c>
      <c r="H5" s="600">
        <v>19</v>
      </c>
      <c r="I5" s="605" t="s">
        <v>280</v>
      </c>
      <c r="J5" s="603" t="s">
        <v>281</v>
      </c>
      <c r="K5" s="604">
        <v>4029</v>
      </c>
    </row>
    <row r="6" spans="1:11">
      <c r="A6" s="586" t="s">
        <v>254</v>
      </c>
      <c r="B6" s="587" t="s">
        <v>239</v>
      </c>
      <c r="C6" s="638">
        <v>1</v>
      </c>
      <c r="E6" s="599" t="s">
        <v>282</v>
      </c>
      <c r="F6" s="600" t="s">
        <v>283</v>
      </c>
      <c r="G6" s="600" t="s">
        <v>284</v>
      </c>
      <c r="H6" s="600">
        <v>23</v>
      </c>
      <c r="I6" s="605"/>
      <c r="J6" s="603"/>
      <c r="K6" s="604"/>
    </row>
    <row r="7" spans="1:11">
      <c r="A7" s="586" t="s">
        <v>354</v>
      </c>
      <c r="B7" s="587" t="s">
        <v>240</v>
      </c>
      <c r="C7" s="638">
        <v>2</v>
      </c>
      <c r="E7" s="599" t="s">
        <v>285</v>
      </c>
      <c r="F7" s="600" t="s">
        <v>286</v>
      </c>
      <c r="G7" s="600" t="s">
        <v>284</v>
      </c>
      <c r="H7" s="600">
        <v>22</v>
      </c>
      <c r="I7" s="605"/>
      <c r="J7" s="603"/>
      <c r="K7" s="604"/>
    </row>
    <row r="8" spans="1:11">
      <c r="A8" s="586" t="s">
        <v>355</v>
      </c>
      <c r="B8" s="587" t="s">
        <v>241</v>
      </c>
      <c r="C8" s="638">
        <v>6.5</v>
      </c>
      <c r="E8" s="599" t="s">
        <v>287</v>
      </c>
      <c r="F8" s="600" t="s">
        <v>288</v>
      </c>
      <c r="G8" s="600" t="s">
        <v>265</v>
      </c>
      <c r="H8" s="600">
        <v>2</v>
      </c>
      <c r="I8" s="605" t="s">
        <v>289</v>
      </c>
      <c r="J8" s="603" t="s">
        <v>290</v>
      </c>
      <c r="K8" s="604">
        <v>4696</v>
      </c>
    </row>
    <row r="9" spans="1:11">
      <c r="A9" s="586" t="s">
        <v>356</v>
      </c>
      <c r="B9" s="587" t="s">
        <v>244</v>
      </c>
      <c r="C9" s="638">
        <v>6.5</v>
      </c>
      <c r="E9" s="599" t="s">
        <v>291</v>
      </c>
      <c r="F9" s="600" t="s">
        <v>292</v>
      </c>
      <c r="G9" s="600" t="s">
        <v>293</v>
      </c>
      <c r="H9" s="600">
        <v>16</v>
      </c>
      <c r="I9" s="605" t="s">
        <v>294</v>
      </c>
      <c r="J9" s="603" t="s">
        <v>295</v>
      </c>
      <c r="K9" s="604">
        <v>4026</v>
      </c>
    </row>
    <row r="10" spans="1:11">
      <c r="A10" s="588" t="s">
        <v>349</v>
      </c>
      <c r="B10" s="589" t="s">
        <v>242</v>
      </c>
      <c r="C10" s="637">
        <v>0.5</v>
      </c>
      <c r="E10" s="599" t="s">
        <v>296</v>
      </c>
      <c r="F10" s="600" t="s">
        <v>297</v>
      </c>
      <c r="G10" s="600" t="s">
        <v>265</v>
      </c>
      <c r="H10" s="600">
        <v>17</v>
      </c>
      <c r="I10" s="605" t="s">
        <v>298</v>
      </c>
      <c r="J10" s="603"/>
      <c r="K10" s="604">
        <v>4832</v>
      </c>
    </row>
    <row r="11" spans="1:11">
      <c r="A11" s="588" t="s">
        <v>350</v>
      </c>
      <c r="B11" s="589" t="s">
        <v>246</v>
      </c>
      <c r="C11" s="637">
        <v>1</v>
      </c>
      <c r="E11" s="599" t="s">
        <v>299</v>
      </c>
      <c r="F11" s="600" t="s">
        <v>300</v>
      </c>
      <c r="G11" s="600" t="s">
        <v>265</v>
      </c>
      <c r="H11" s="600">
        <v>14</v>
      </c>
      <c r="I11" s="605" t="s">
        <v>301</v>
      </c>
      <c r="J11" s="603"/>
      <c r="K11" s="604">
        <v>4631</v>
      </c>
    </row>
    <row r="12" spans="1:11">
      <c r="A12" s="588" t="s">
        <v>347</v>
      </c>
      <c r="B12" s="589" t="s">
        <v>236</v>
      </c>
      <c r="C12" s="637">
        <v>0.5</v>
      </c>
      <c r="E12" s="599" t="s">
        <v>302</v>
      </c>
      <c r="F12" s="600" t="s">
        <v>303</v>
      </c>
      <c r="G12" s="600" t="s">
        <v>274</v>
      </c>
      <c r="H12" s="600">
        <v>24</v>
      </c>
      <c r="I12" s="605" t="s">
        <v>346</v>
      </c>
      <c r="J12" s="603" t="s">
        <v>255</v>
      </c>
      <c r="K12" s="604">
        <v>4581</v>
      </c>
    </row>
    <row r="13" spans="1:11">
      <c r="A13" s="588" t="s">
        <v>348</v>
      </c>
      <c r="B13" s="589" t="s">
        <v>236</v>
      </c>
      <c r="C13" s="637">
        <v>0.5</v>
      </c>
      <c r="E13" s="599" t="s">
        <v>304</v>
      </c>
      <c r="F13" s="600" t="s">
        <v>305</v>
      </c>
      <c r="G13" s="600" t="s">
        <v>265</v>
      </c>
      <c r="H13" s="600">
        <v>13</v>
      </c>
      <c r="I13" s="605" t="s">
        <v>306</v>
      </c>
      <c r="J13" s="603"/>
      <c r="K13" s="604">
        <v>4397</v>
      </c>
    </row>
    <row r="14" spans="1:11">
      <c r="A14" s="588" t="s">
        <v>357</v>
      </c>
      <c r="B14" s="589" t="s">
        <v>243</v>
      </c>
      <c r="C14" s="637">
        <v>0.5</v>
      </c>
      <c r="E14" s="606" t="s">
        <v>307</v>
      </c>
      <c r="F14" s="607" t="s">
        <v>308</v>
      </c>
      <c r="G14" s="607" t="s">
        <v>309</v>
      </c>
      <c r="H14" s="607">
        <v>0</v>
      </c>
      <c r="I14" s="608" t="s">
        <v>344</v>
      </c>
      <c r="J14" s="609" t="s">
        <v>310</v>
      </c>
      <c r="K14" s="610">
        <v>4604</v>
      </c>
    </row>
    <row r="15" spans="1:11">
      <c r="A15" s="588" t="s">
        <v>358</v>
      </c>
      <c r="B15" s="589" t="s">
        <v>243</v>
      </c>
      <c r="C15" s="637">
        <v>0.5</v>
      </c>
      <c r="E15" s="606" t="s">
        <v>343</v>
      </c>
      <c r="F15" s="607" t="s">
        <v>308</v>
      </c>
      <c r="G15" s="607" t="s">
        <v>309</v>
      </c>
      <c r="H15" s="607">
        <v>0</v>
      </c>
      <c r="I15" s="608" t="s">
        <v>344</v>
      </c>
      <c r="J15" s="603" t="s">
        <v>345</v>
      </c>
      <c r="K15" s="610"/>
    </row>
    <row r="16" spans="1:11">
      <c r="A16" s="586" t="s">
        <v>248</v>
      </c>
      <c r="B16" s="587" t="s">
        <v>249</v>
      </c>
      <c r="C16" s="638">
        <v>1.2</v>
      </c>
      <c r="E16" s="606" t="s">
        <v>311</v>
      </c>
      <c r="F16" s="607" t="s">
        <v>312</v>
      </c>
      <c r="G16" s="607" t="s">
        <v>313</v>
      </c>
      <c r="H16" s="607">
        <v>25</v>
      </c>
      <c r="I16" s="611" t="s">
        <v>314</v>
      </c>
      <c r="J16" s="609" t="s">
        <v>315</v>
      </c>
      <c r="K16" s="612"/>
    </row>
    <row r="17" spans="1:8" ht="13.5" thickBot="1">
      <c r="A17" s="646" t="s">
        <v>359</v>
      </c>
      <c r="B17" s="647" t="s">
        <v>247</v>
      </c>
      <c r="C17" s="648">
        <v>0.6</v>
      </c>
    </row>
    <row r="18" spans="1:8" ht="15.75" thickTop="1">
      <c r="E18" s="613" t="s">
        <v>316</v>
      </c>
      <c r="H18" s="621" t="s">
        <v>321</v>
      </c>
    </row>
    <row r="19" spans="1:8" ht="15">
      <c r="E19" s="614" t="s">
        <v>317</v>
      </c>
      <c r="H19" s="622" t="s">
        <v>322</v>
      </c>
    </row>
    <row r="20" spans="1:8" ht="15.75" thickBot="1">
      <c r="E20" s="615" t="s">
        <v>318</v>
      </c>
      <c r="H20" s="622" t="s">
        <v>323</v>
      </c>
    </row>
    <row r="21" spans="1:8" ht="13.5" thickTop="1">
      <c r="E21" s="616"/>
      <c r="H21" s="623" t="s">
        <v>324</v>
      </c>
    </row>
    <row r="22" spans="1:8">
      <c r="E22" s="616"/>
    </row>
    <row r="23" spans="1:8">
      <c r="E23" s="616" t="s">
        <v>319</v>
      </c>
      <c r="H23" s="621" t="s">
        <v>325</v>
      </c>
    </row>
    <row r="24" spans="1:8">
      <c r="E24" s="617">
        <f ca="1">TODAY()</f>
        <v>44279</v>
      </c>
      <c r="H24" s="622" t="s">
        <v>326</v>
      </c>
    </row>
    <row r="25" spans="1:8">
      <c r="E25" s="616"/>
      <c r="H25" s="622" t="s">
        <v>327</v>
      </c>
    </row>
    <row r="26" spans="1:8">
      <c r="E26" s="616"/>
      <c r="H26" s="623" t="s">
        <v>328</v>
      </c>
    </row>
    <row r="27" spans="1:8">
      <c r="E27" s="678" t="s">
        <v>320</v>
      </c>
      <c r="F27" s="679"/>
    </row>
    <row r="28" spans="1:8">
      <c r="E28" s="618" t="str">
        <f ca="1">TEXT(E24,"yymmdd")</f>
        <v>250325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B35" sqref="B35"/>
    </sheetView>
  </sheetViews>
  <sheetFormatPr defaultRowHeight="12.75"/>
  <cols>
    <col min="1" max="1" width="10.140625" bestFit="1" customWidth="1"/>
    <col min="2" max="2" width="90.85546875" bestFit="1" customWidth="1"/>
  </cols>
  <sheetData>
    <row r="1" spans="1:3" ht="15">
      <c r="A1" s="641" t="s">
        <v>9</v>
      </c>
      <c r="B1" s="641" t="s">
        <v>337</v>
      </c>
      <c r="C1" s="641" t="s">
        <v>338</v>
      </c>
    </row>
    <row r="2" spans="1:3">
      <c r="A2" s="427">
        <v>42542</v>
      </c>
      <c r="B2" t="s">
        <v>335</v>
      </c>
      <c r="C2" t="s">
        <v>336</v>
      </c>
    </row>
    <row r="3" spans="1:3">
      <c r="A3" s="427"/>
    </row>
    <row r="4" spans="1:3">
      <c r="A4" s="427"/>
    </row>
    <row r="5" spans="1:3">
      <c r="A5" s="427"/>
    </row>
    <row r="6" spans="1:3">
      <c r="A6" s="427"/>
    </row>
    <row r="7" spans="1:3">
      <c r="A7" s="427"/>
    </row>
    <row r="8" spans="1:3">
      <c r="A8" s="427"/>
    </row>
    <row r="9" spans="1:3">
      <c r="A9" s="427"/>
    </row>
    <row r="10" spans="1:3">
      <c r="A10" s="42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29f62856-1543-49d4-a736-4569d363f533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Props1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</vt:lpstr>
      <vt:lpstr>Investigator Data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Trine, Lisandra</cp:lastModifiedBy>
  <cp:lastPrinted>2025-03-17T21:51:01Z</cp:lastPrinted>
  <dcterms:created xsi:type="dcterms:W3CDTF">2000-03-01T21:58:50Z</dcterms:created>
  <dcterms:modified xsi:type="dcterms:W3CDTF">2025-03-25T16:01:56Z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