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ISIRF\Processed Isocube files\EA FY24 (Oct23-Sep24)\"/>
    </mc:Choice>
  </mc:AlternateContent>
  <xr:revisionPtr revIDLastSave="0" documentId="13_ncr:1_{602658BD-D5D9-40B2-BCBF-CBAEB527F51C}" xr6:coauthVersionLast="47" xr6:coauthVersionMax="47" xr10:uidLastSave="{00000000-0000-0000-0000-000000000000}"/>
  <bookViews>
    <workbookView xWindow="28680" yWindow="-120" windowWidth="29040" windowHeight="1644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J23" i="6398" l="1"/>
  <c r="N45" i="6395" s="1"/>
  <c r="J22" i="6398"/>
  <c r="N44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5" i="6395"/>
  <c r="E44" i="6395"/>
  <c r="R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3" i="6396"/>
  <c r="B45" i="6395" s="1"/>
  <c r="A23" i="6396"/>
  <c r="B22" i="6396"/>
  <c r="B44" i="6395" s="1"/>
  <c r="A22" i="6396"/>
  <c r="B20" i="6396"/>
  <c r="B42" i="6395" s="1"/>
  <c r="A20" i="6396"/>
  <c r="B19" i="6396"/>
  <c r="B41" i="6395" s="1"/>
  <c r="A19" i="6396"/>
  <c r="B17" i="6396"/>
  <c r="B39" i="6395" s="1"/>
  <c r="A17" i="6396"/>
  <c r="B16" i="6396"/>
  <c r="B38" i="6395" s="1"/>
  <c r="A16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3" i="6396" l="1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9" i="6398"/>
  <c r="D19" i="6396"/>
  <c r="D41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<sst xmlns="http://schemas.openxmlformats.org/spreadsheetml/2006/main" count="618" uniqueCount="461">
  <si>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</si>
  <si>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</si>
  <si>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</si>
  <si>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</si>
  <si>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</si>
  <si>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</si>
  <si>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</si>
  <si>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</si>
  <si>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</si>
  <si>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</si>
  <si>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</si>
  <si>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</si>
  <si>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</si>
  <si>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</si>
  <si>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</si>
  <si>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</si>
  <si>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</si>
  <si>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</si>
  <si>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</si>
  <si>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</si>
  <si>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</si>
  <si>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</si>
  <si>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</si>
  <si>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</si>
  <si>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</si>
  <si>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</si>
  <si>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</si>
  <si>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</si>
  <si>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</si>
  <si>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</si>
  <si>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</si>
  <si>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</si>
  <si>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</si>
  <si>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</si>
  <si>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</si>
  <si>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</si>
  <si>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</si>
  <si>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</si>
  <si>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</si>
  <si>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</si>
  <si>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</si>
  <si>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</si>
  <si>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</si>
  <si>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</si>
  <si>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</si>
  <si>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</si>
  <si>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</si>
  <si>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</si>
  <si>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</si>
  <si>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</si>
  <si>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</si>
  <si>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</si>
  <si>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</si>
  <si>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</si>
  <si>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</si>
  <si>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</si>
  <si>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</si>
  <si>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</si>
  <si>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</si>
  <si>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</si>
  <si>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</si>
  <si>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</si>
  <si>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</si>
  <si>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</si>
  <si>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</si>
  <si>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</si>
  <si>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</si>
  <si>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</si>
  <si>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</si>
  <si>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</si>
  <si>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</si>
  <si>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</si>
  <si>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</si>
  <si>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</si>
  <si>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</si>
  <si>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</si>
  <si>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</si>
  <si>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</si>
  <si>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</si>
  <si>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</si>
  <si>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</si>
  <si>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</si>
  <si>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</si>
  <si>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</si>
  <si>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</si>
  <si>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</si>
  <si>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</si>
  <si>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</si>
  <si>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</si>
  <si>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</si>
  <si>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</si>
  <si>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</si>
  <si>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</si>
  <si>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</si>
  <si>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</si>
  <si>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</si>
  <si>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</si>
  <si>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</si>
  <si>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</si>
  <si>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</si>
  <si>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</si>
  <si>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</si>
  <si>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</si>
  <si>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</si>
  <si>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</si>
  <si>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</si>
  <si>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</si>
  <si>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</si>
  <si>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</si>
  <si>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</si>
  <si>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</si>
  <si>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</si>
  <si>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</si>
  <si>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</si>
  <si>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</si>
  <si>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</si>
  <si>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</si>
  <si>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</si>
  <si>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</si>
  <si>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</si>
  <si>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</si>
  <si>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</si>
  <si>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</si>
  <si>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</si>
  <si>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</si>
  <si>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</si>
  <si>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</si>
  <si>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</si>
  <si>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</si>
  <si>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</si>
  <si>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</si>
  <si>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</si>
  <si>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</si>
  <si>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</si>
  <si>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</si>
  <si>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</si>
  <si>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</si>
  <si>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</si>
  <si>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</si>
  <si>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</si>
  <si>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</si>
  <si>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</si>
  <si>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</si>
  <si>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</si>
  <si>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</si>
  <si>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</si>
  <si>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</si>
  <si>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</si>
  <si>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</si>
  <si>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</si>
  <si>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</si>
  <si>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</si>
  <si>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</si>
  <si>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</si>
  <si>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</si>
  <si>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</si>
  <si>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</si>
  <si>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</si>
  <si>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</si>
  <si>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</si>
  <si>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</si>
  <si>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</si>
  <si>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</si>
  <si>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</si>
  <si>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</si>
  <si>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</si>
  <si>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</si>
  <si>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</si>
  <si>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</si>
  <si>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</si>
  <si>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</si>
  <si>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</si>
  <si>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</si>
  <si>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</si>
  <si>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</si>
  <si>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</si>
  <si>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</si>
  <si>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</si>
  <si>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</si>
  <si>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</si>
  <si>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</si>
  <si>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</si>
  <si>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</si>
  <si>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</si>
  <si>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</si>
  <si>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</si>
  <si>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</si>
  <si>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</si>
  <si>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</si>
  <si>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</si>
  <si>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</si>
  <si>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</si>
  <si>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</si>
  <si>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</si>
  <si>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</si>
  <si>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</si>
  <si>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</si>
  <si>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</si>
  <si>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</si>
  <si>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</si>
  <si>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</si>
  <si>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</si>
  <si>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</si>
  <si>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</si>
  <si>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</si>
  <si>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</si>
  <si>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</si>
  <si>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</si>
  <si>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</si>
  <si>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</si>
  <si>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</si>
  <si>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</si>
  <si>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</si>
  <si>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</si>
  <si>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</si>
  <si>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</si>
  <si>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</si>
  <si>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</si>
  <si>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</si>
  <si>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</si>
  <si>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</si>
  <si>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</si>
  <si>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</si>
  <si>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</si>
  <si>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</si>
  <si>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</si>
  <si>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</si>
  <si>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</si>
  <si>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</si>
  <si>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</si>
  <si>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</si>
  <si>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</si>
  <si>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</si>
  <si>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</si>
  <si>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</si>
  <si>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</si>
  <si>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</si>
  <si>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</si>
  <si>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</si>
  <si>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</si>
  <si>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</si>
  <si>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</si>
  <si>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</si>
  <si>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</si>
  <si>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</si>
  <si>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</si>
  <si>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</si>
  <si>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</si>
  <si>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</si>
  <si>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</si>
  <si>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</si>
  <si>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</si>
  <si>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</si>
  <si>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</si>
  <si>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</si>
  <si>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</si>
  <si>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</si>
  <si>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</si>
  <si>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</si>
  <si>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</si>
  <si>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</si>
  <si>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</si>
  <si>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</si>
  <si>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</si>
  <si>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</si>
  <si>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</si>
  <si>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</si>
  <si>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</si>
  <si>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</si>
  <si>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</si>
  <si>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</si>
  <si>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</si>
  <si>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</si>
  <si>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</si>
  <si>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</si>
  <si>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</si>
  <si>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</si>
  <si>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</si>
  <si>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</si>
  <si>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</si>
  <si>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</si>
  <si>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</si>
  <si>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</si>
  <si>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</si>
  <si>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</si>
  <si>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</si>
  <si>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</si>
  <si>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</si>
  <si>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</si>
  <si>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</si>
  <si>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</si>
  <si>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</si>
  <si>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</si>
  <si>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</si>
  <si>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</si>
  <si>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</si>
  <si>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</si>
  <si>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</si>
  <si>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</si>
  <si>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</si>
  <si>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</si>
  <si>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</si>
  <si>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</si>
  <si>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</si>
  <si>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</si>
  <si>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</si>
  <si>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</si>
  <si>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</si>
  <si>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</si>
  <si>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</si>
  <si>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</si>
  <si>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</si>
  <si>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</si>
  <si>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</si>
  <si>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</si>
  <si>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</si>
  <si>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</si>
  <si>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</si>
  <si>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</si>
  <si>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</si>
  <si>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</si>
  <si>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</si>
  <si>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</si>
  <si>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</si>
  <si>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</si>
  <si>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</si>
  <si>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</si>
  <si>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</si>
  <si>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</si>
  <si>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</si>
  <si>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</si>
  <si>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</si>
  <si>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</si>
  <si>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</si>
  <si>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</si>
  <si>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</si>
  <si>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</si>
  <si>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</si>
  <si>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</si>
  <si>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</si>
  <si>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</si>
  <si>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</si>
  <si>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</si>
  <si>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</si>
  <si>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</si>
  <si>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</si>
  <si>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</si>
  <si>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</si>
  <si>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</si>
  <si>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</si>
  <si>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</si>
  <si>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</si>
  <si>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</si>
  <si>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</si>
  <si>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</si>
  <si>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</si>
  <si>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</si>
  <si>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</si>
  <si>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</si>
  <si>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</si>
  <si>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20231120_W1_H </t>
  </si>
  <si>
    <t xml:space="preserve">20240407_E1_A </t>
  </si>
  <si>
    <t xml:space="preserve">20240407_E1_B </t>
  </si>
  <si>
    <t xml:space="preserve">20240407_E1_C </t>
  </si>
  <si>
    <t xml:space="preserve">20240407_E1_D </t>
  </si>
  <si>
    <t xml:space="preserve">20240407_E1_E </t>
  </si>
  <si>
    <t xml:space="preserve">20240407_E1_F </t>
  </si>
  <si>
    <t xml:space="preserve">20240407_E1_G </t>
  </si>
  <si>
    <t xml:space="preserve">20240407_E1_H </t>
  </si>
  <si>
    <t xml:space="preserve">20240407_E1_I </t>
  </si>
  <si>
    <t>20240407_E2_A</t>
  </si>
  <si>
    <t xml:space="preserve">20240407_E2_B </t>
  </si>
  <si>
    <t xml:space="preserve">20240407_E2_C </t>
  </si>
  <si>
    <t xml:space="preserve">20240407_E2_D </t>
  </si>
  <si>
    <t xml:space="preserve">20240407_E2_E </t>
  </si>
  <si>
    <t xml:space="preserve">20240407_E2_F </t>
  </si>
  <si>
    <t xml:space="preserve">20240407_E2_G </t>
  </si>
  <si>
    <t xml:space="preserve">20240407_E3_A </t>
  </si>
  <si>
    <t>20240407_E3_A_Dup</t>
  </si>
  <si>
    <t xml:space="preserve">20240407_E3_B </t>
  </si>
  <si>
    <t xml:space="preserve">20240407_E3_C </t>
  </si>
  <si>
    <t xml:space="preserve">20240407_E3_D </t>
  </si>
  <si>
    <t xml:space="preserve">20240407_E3_E </t>
  </si>
  <si>
    <t xml:space="preserve">20240407_E3_F </t>
  </si>
  <si>
    <t xml:space="preserve">20240407_E3_G </t>
  </si>
  <si>
    <t xml:space="preserve">20240407_E3_H </t>
  </si>
  <si>
    <t xml:space="preserve">20240407_E3_I </t>
  </si>
  <si>
    <t xml:space="preserve">20240407_S2_A </t>
  </si>
  <si>
    <t xml:space="preserve">20240407_S2_B </t>
  </si>
  <si>
    <t xml:space="preserve">20240407_S2_C </t>
  </si>
  <si>
    <t xml:space="preserve">20240407_S2_D </t>
  </si>
  <si>
    <t xml:space="preserve">20240407_S2_E </t>
  </si>
  <si>
    <t xml:space="preserve">20240407_S2_F </t>
  </si>
  <si>
    <t xml:space="preserve">20240407_S2_G </t>
  </si>
  <si>
    <t>20240407_S2_H</t>
  </si>
  <si>
    <t xml:space="preserve">20240407_S2_I </t>
  </si>
  <si>
    <t>KansasROAR-3</t>
  </si>
  <si>
    <t>240610</t>
  </si>
  <si>
    <t>The Kansas ROAR projects investigates soil health practices influences over nitrate leaching (Soil Samples collected from 0-8 inches in Kansas farmlands)</t>
  </si>
  <si>
    <t>Soil</t>
  </si>
  <si>
    <t>-</t>
  </si>
  <si>
    <t>IC15N-240517-10KansasRoar-3_1.raw</t>
  </si>
  <si>
    <t>IC15N-240517-10KansasRoar-3_2.raw</t>
  </si>
  <si>
    <t>IC15N-240517-10KansasRoar-3_3.raw</t>
  </si>
  <si>
    <t>IC15N-240517-10KansasRoar-3_4.raw</t>
  </si>
  <si>
    <t>IC15N-240517-10KansasRoar-3_5.raw</t>
  </si>
  <si>
    <t>IC15N-240517-10KansasRoar-3_6.raw</t>
  </si>
  <si>
    <t>IC15N-240517-10KansasRoar-3_7.raw</t>
  </si>
  <si>
    <t>IC15N-240517-10KansasRoar-3_8.raw</t>
  </si>
  <si>
    <t>IC15N-240517-10KansasRoar-3_9.raw</t>
  </si>
  <si>
    <t>IC15N-240517-10KansasRoar-3_10.raw</t>
  </si>
  <si>
    <t>IC15N-240517-10KansasRoar-3_11.raw</t>
  </si>
  <si>
    <t>IC15N-240517-10KansasRoar-3_12.raw</t>
  </si>
  <si>
    <t>IC15N-240517-10KansasRoar-3_13.raw</t>
  </si>
  <si>
    <t>IC15N-240517-10KansasRoar-3_14.raw</t>
  </si>
  <si>
    <t>IC15N-240517-10KansasRoar-3_15.raw</t>
  </si>
  <si>
    <t>IC15N-240517-10KansasRoar-3_16.raw</t>
  </si>
  <si>
    <t>IC15N-240517-10KansasRoar-3_17.raw</t>
  </si>
  <si>
    <t>IC15N-240517-10KansasRoar-3_18.raw</t>
  </si>
  <si>
    <t>IC15N-240517-10KansasRoar-3_19.raw</t>
  </si>
  <si>
    <t>IC15N-240517-10KansasRoar-3_20.raw</t>
  </si>
  <si>
    <t>IC15N-240517-10KansasRoar-3_21.raw</t>
  </si>
  <si>
    <t>IC15N-240517-10KansasRoar-3_22.raw</t>
  </si>
  <si>
    <t>IC15N-240517-10KansasRoar-3_23.raw</t>
  </si>
  <si>
    <t>IC15N-240517-10KansasRoar-3_24.raw</t>
  </si>
  <si>
    <t>IC15N-240517-10KansasRoar-3_25.raw</t>
  </si>
  <si>
    <t>IC15N-240517-10KansasRoar-3_26.raw</t>
  </si>
  <si>
    <t>IC15N-240517-10KansasRoar-3_27.raw</t>
  </si>
  <si>
    <t>IC15N-240517-10KansasRoar-3_28.raw</t>
  </si>
  <si>
    <t>IC15N-240517-10KansasRoar-3_29.raw</t>
  </si>
  <si>
    <t>IC15N-240517-10KansasRoar-3_30.raw</t>
  </si>
  <si>
    <t>IC15N-240517-10KansasRoar-3_31.raw</t>
  </si>
  <si>
    <t>IC15N-240517-10KansasRoar-3_32.raw</t>
  </si>
  <si>
    <t>IC15N-240517-10KansasRoar-3_33.raw</t>
  </si>
  <si>
    <t>IC15N-240517-10KansasRoar-3_34.raw</t>
  </si>
  <si>
    <t>IC15N-240517-10KansasRoar-3_35.raw</t>
  </si>
  <si>
    <t>IC15N-240517-10KansasRoar-3_36.raw</t>
  </si>
  <si>
    <t>IC15N-240517-10KansasRoar-3_37.raw</t>
  </si>
  <si>
    <t>IC15N-240517-10KansasRoar-3_38.raw</t>
  </si>
  <si>
    <t>IC15N-240517-10KansasRoar-3_39.raw</t>
  </si>
  <si>
    <t>IC15N-240517-10KansasRoar-3_40.raw</t>
  </si>
  <si>
    <t>IC15N-240517-10KansasRoar-3_41.raw</t>
  </si>
  <si>
    <t>IC15N-240517-10KansasRoar-3_42.raw</t>
  </si>
  <si>
    <t>IC15N-240517-10KansasRoar-3_43.raw</t>
  </si>
  <si>
    <t>IC15N-240517-10KansasRoar-3_44.raw</t>
  </si>
  <si>
    <t>IC15N-240517-10KansasRoar-3_45.raw</t>
  </si>
  <si>
    <t>IC15N-240517-10KansasRoar-3_46.raw</t>
  </si>
  <si>
    <t>IC15N-240517-10KansasRoar-3_47.raw</t>
  </si>
  <si>
    <t>IC15N-240517-10KansasRoar-3_48.raw</t>
  </si>
  <si>
    <t>IC15N-240517-10KansasRoar-3_49.raw</t>
  </si>
  <si>
    <t>IC15N-240517-10KansasRoar-3_50.raw</t>
  </si>
  <si>
    <t>IC15N-240517-10KansasRoar-3_51.raw</t>
  </si>
  <si>
    <t>IC15N-240517-10KansasRoar-3_52.raw</t>
  </si>
  <si>
    <t/>
  </si>
  <si>
    <t>Actual d15N</t>
  </si>
  <si>
    <t>Actual d13C</t>
  </si>
  <si>
    <t>Actual d34S</t>
  </si>
  <si>
    <t>Slope d15N</t>
  </si>
  <si>
    <t>Slope d13C</t>
  </si>
  <si>
    <t>Slope d34S</t>
  </si>
  <si>
    <t>Isotope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</si>
</sst>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2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1" fillId="0" borderId="213" applyNumberFormat="0" applyFill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4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5" fillId="10" borderId="59" xfId="0" applyFont="1" applyFill="1" applyBorder="1" applyAlignment="1">
      <alignment horizontal="center" wrapText="1"/>
    </xf>
    <xf numFmtId="0" fontId="35" fillId="10" borderId="23" xfId="0" applyFont="1" applyFill="1" applyBorder="1" applyAlignment="1">
      <alignment horizontal="center" wrapText="1"/>
    </xf>
    <xf numFmtId="0" fontId="32" fillId="10" borderId="163" xfId="0" applyFont="1" applyFill="1" applyBorder="1" applyAlignment="1">
      <alignment horizontal="center"/>
    </xf>
    <xf numFmtId="0" fontId="32" fillId="10" borderId="49" xfId="0" applyFont="1" applyFill="1" applyBorder="1"/>
    <xf numFmtId="0" fontId="33" fillId="10" borderId="163" xfId="0" applyFont="1" applyFill="1" applyBorder="1" applyAlignment="1">
      <alignment horizontal="center"/>
    </xf>
    <xf numFmtId="0" fontId="36" fillId="10" borderId="49" xfId="0" applyFont="1" applyFill="1" applyBorder="1"/>
    <xf numFmtId="0" fontId="33" fillId="10" borderId="215" xfId="0" applyFont="1" applyFill="1" applyBorder="1" applyAlignment="1">
      <alignment horizontal="center"/>
    </xf>
    <xf numFmtId="0" fontId="36" fillId="10" borderId="173" xfId="0" applyFont="1" applyFill="1" applyBorder="1"/>
    <xf numFmtId="0" fontId="37" fillId="0" borderId="164" xfId="0" applyFont="1" applyFill="1" applyBorder="1" applyAlignment="1" applyProtection="1">
      <alignment horizontal="center"/>
      <protection locked="0"/>
    </xf>
    <xf numFmtId="0" fontId="37" fillId="0" borderId="149" xfId="0" applyFont="1" applyFill="1" applyBorder="1" applyAlignment="1" applyProtection="1">
      <alignment horizontal="center"/>
      <protection locked="0"/>
    </xf>
    <xf numFmtId="0" fontId="38" fillId="0" borderId="164" xfId="0" applyFont="1" applyFill="1" applyBorder="1" applyAlignment="1" applyProtection="1">
      <alignment horizontal="center"/>
      <protection locked="0"/>
    </xf>
    <xf numFmtId="0" fontId="39" fillId="14" borderId="150" xfId="5" applyBorder="1"/>
    <xf numFmtId="0" fontId="39" fillId="14" borderId="46" xfId="5" applyBorder="1"/>
    <xf numFmtId="0" fontId="39" fillId="14" borderId="46" xfId="5" applyBorder="1" applyAlignment="1">
      <alignment horizontal="center"/>
    </xf>
    <xf numFmtId="0" fontId="39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39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6" fillId="10" borderId="223" xfId="0" applyNumberFormat="1" applyFont="1" applyFill="1" applyBorder="1"/>
    <xf numFmtId="2" fontId="36" fillId="10" borderId="164" xfId="0" applyNumberFormat="1" applyFont="1" applyFill="1" applyBorder="1"/>
    <xf numFmtId="2" fontId="32" fillId="10" borderId="164" xfId="0" applyNumberFormat="1" applyFont="1" applyFill="1" applyBorder="1"/>
    <xf numFmtId="2" fontId="41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3" fillId="10" borderId="165" xfId="0" applyFont="1" applyFill="1" applyBorder="1" applyAlignment="1">
      <alignment horizontal="center"/>
    </xf>
    <xf numFmtId="0" fontId="36" fillId="10" borderId="148" xfId="0" applyFont="1" applyFill="1" applyBorder="1"/>
    <xf numFmtId="2" fontId="36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F17" sqref="F17"/>
    </sheetView>
  </sheetViews>
  <sheetFormatPr defaultColWidth="9.140625" defaultRowHeight="12.75"/>
  <cols>
    <col min="1" max="1" width="2.7109375" style="14" customWidth="1"/>
    <col min="2" max="2" width="36.5703125" style="14" customWidth="1"/>
    <col min="3" max="3" width="69.28515625" style="14" customWidth="1"/>
    <col min="4" max="16384" width="9.140625" style="14"/>
  </cols>
  <sheetData>
    <row r="1" spans="2:16" s="5" customFormat="1" ht="13.5" thickBot="1"/>
    <row r="2" spans="2:16" s="23" customFormat="1" ht="15.75" thickBot="1">
      <c r="B2" s="16" t="s">
        <v>10</v>
      </c>
      <c r="C2" s="627" t="str">
        <f>"IC"&amp;C15&amp;"-"&amp;C23&amp;"-"&amp;C22&amp;C8</f>
        <v>IC15N-240610-10KansasROAR-3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>
      <c r="B4" s="28" t="s">
        <v>358</v>
      </c>
      <c r="D4" s="29"/>
      <c r="E4" s="29"/>
      <c r="F4" s="29"/>
      <c r="G4" s="29"/>
      <c r="H4" s="29"/>
    </row>
    <row r="5" spans="2:16" ht="13.5" thickBot="1"/>
    <row r="6" spans="2:16" ht="13.5" thickTop="1">
      <c r="B6" s="36" t="s">
        <v>356</v>
      </c>
      <c r="C6" s="620" t="s">
        <v>359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398</v>
      </c>
      <c r="D7" s="13"/>
      <c r="E7" s="15"/>
      <c r="F7" s="15"/>
      <c r="G7" s="15"/>
      <c r="H7" s="15"/>
      <c r="I7" s="15"/>
    </row>
    <row r="8" spans="2:16">
      <c r="B8" s="37" t="s">
        <v>150</v>
      </c>
      <c r="C8" s="619" t="s">
        <v>396</v>
      </c>
      <c r="D8" s="13"/>
      <c r="E8" s="15"/>
      <c r="F8" s="15"/>
      <c r="G8" s="15"/>
      <c r="H8" s="15"/>
      <c r="I8" s="15"/>
    </row>
    <row r="9" spans="2:16">
      <c r="B9" s="37" t="s">
        <v>23</v>
      </c>
      <c r="C9" s="619" t="s">
        <v>268</v>
      </c>
      <c r="D9" s="15"/>
      <c r="E9" s="15"/>
      <c r="F9" s="15"/>
      <c r="G9" s="15"/>
      <c r="H9" s="15"/>
      <c r="I9" s="15"/>
    </row>
    <row r="10" spans="2:16" ht="1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>
      <c r="B14" s="37" t="s">
        <v>29</v>
      </c>
      <c r="C14" s="625" t="s">
        <v>321</v>
      </c>
      <c r="D14" s="15"/>
      <c r="E14" s="15"/>
      <c r="F14" s="15"/>
      <c r="G14" s="15"/>
      <c r="H14" s="15"/>
      <c r="I14" s="15"/>
    </row>
    <row r="15" spans="2:16">
      <c r="B15" s="37" t="s">
        <v>175</v>
      </c>
      <c r="C15" s="619" t="s">
        <v>318</v>
      </c>
      <c r="D15" s="15"/>
      <c r="E15" s="15"/>
      <c r="F15" s="15"/>
      <c r="G15" s="15"/>
      <c r="H15" s="15"/>
      <c r="I15" s="15"/>
    </row>
    <row r="16" spans="2:16">
      <c r="B16" s="37" t="s">
        <v>328</v>
      </c>
      <c r="C16" s="619"/>
      <c r="D16" s="15"/>
      <c r="E16" s="15"/>
      <c r="F16" s="15"/>
      <c r="G16" s="15"/>
      <c r="H16" s="15"/>
      <c r="I16" s="15"/>
    </row>
    <row r="17" spans="2:9">
      <c r="B17" s="37" t="s">
        <v>327</v>
      </c>
      <c r="C17" s="619"/>
      <c r="D17" s="15"/>
      <c r="E17" s="15"/>
      <c r="F17" s="15"/>
      <c r="G17" s="15"/>
      <c r="H17" s="15"/>
      <c r="I17" s="15"/>
    </row>
    <row r="18" spans="2:9">
      <c r="B18" s="37" t="s">
        <v>329</v>
      </c>
      <c r="C18" s="619"/>
      <c r="D18" s="15"/>
      <c r="E18" s="15"/>
      <c r="F18" s="15"/>
      <c r="G18" s="15"/>
      <c r="H18" s="15"/>
      <c r="I18" s="15"/>
    </row>
    <row r="19" spans="2:9">
      <c r="B19" s="37" t="s">
        <v>153</v>
      </c>
      <c r="C19" s="619" t="s">
        <v>399</v>
      </c>
      <c r="D19" s="15"/>
      <c r="E19" s="15"/>
      <c r="F19" s="15"/>
      <c r="G19" s="15"/>
      <c r="H19" s="15"/>
      <c r="I19" s="15"/>
    </row>
    <row r="20" spans="2:9">
      <c r="B20" s="37" t="s">
        <v>71</v>
      </c>
      <c r="C20" s="619" t="s">
        <v>314</v>
      </c>
      <c r="D20" s="15"/>
      <c r="E20" s="15"/>
      <c r="F20" s="15"/>
      <c r="G20" s="15"/>
      <c r="H20" s="15"/>
      <c r="I20" s="15"/>
    </row>
    <row r="21" spans="2:9">
      <c r="B21" s="37" t="s">
        <v>72</v>
      </c>
      <c r="C21" s="619" t="s">
        <v>314</v>
      </c>
      <c r="D21" s="15"/>
      <c r="E21" s="15"/>
      <c r="F21" s="15"/>
      <c r="G21" s="15"/>
      <c r="H21" s="15"/>
      <c r="I21" s="15"/>
    </row>
    <row r="22" spans="2:9" ht="1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397</v>
      </c>
      <c r="D23" s="15"/>
      <c r="E23" s="15"/>
      <c r="F23" s="15"/>
      <c r="G23" s="15"/>
      <c r="H23" s="15"/>
      <c r="I23" s="15"/>
    </row>
    <row r="24" spans="2:9" ht="13.5" thickTop="1">
      <c r="C24" s="5"/>
    </row>
    <row r="26" spans="2:9">
      <c r="B26" s="13" t="s">
        <v>27</v>
      </c>
    </row>
    <row r="27" spans="2:9">
      <c r="B27" s="15" t="s">
        <v>73</v>
      </c>
      <c r="C27" s="13"/>
    </row>
    <row r="28" spans="2:9">
      <c r="B28" s="15" t="s">
        <v>160</v>
      </c>
      <c r="C28" s="15"/>
    </row>
    <row r="29" spans="2:9">
      <c r="B29" s="15" t="s">
        <v>357</v>
      </c>
      <c r="C29" s="15"/>
    </row>
    <row r="30" spans="2:9">
      <c r="B30" s="15" t="s">
        <v>325</v>
      </c>
      <c r="C30" s="15"/>
    </row>
    <row r="31" spans="2:9">
      <c r="B31" s="15" t="s">
        <v>326</v>
      </c>
      <c r="C31" s="15"/>
    </row>
    <row r="32" spans="2:9">
      <c r="B32" s="15" t="s">
        <v>154</v>
      </c>
      <c r="C32" s="15"/>
    </row>
    <row r="33" spans="2:4" ht="13.5" thickBot="1">
      <c r="C33" s="15"/>
    </row>
    <row r="34" spans="2:4" s="5" customFormat="1" ht="13.5" thickTop="1">
      <c r="B34" s="650" t="s">
        <v>98</v>
      </c>
      <c r="C34" s="651"/>
      <c r="D34" s="652"/>
    </row>
    <row r="35" spans="2:4">
      <c r="B35" s="34" t="s">
        <v>100</v>
      </c>
      <c r="C35" s="655" t="s">
        <v>99</v>
      </c>
      <c r="D35" s="656"/>
    </row>
    <row r="36" spans="2:4">
      <c r="B36" s="35" t="s">
        <v>105</v>
      </c>
      <c r="C36" s="657" t="s">
        <v>104</v>
      </c>
      <c r="D36" s="658"/>
    </row>
    <row r="37" spans="2:4">
      <c r="B37" s="35" t="s">
        <v>120</v>
      </c>
      <c r="C37" s="657" t="s">
        <v>122</v>
      </c>
      <c r="D37" s="658"/>
    </row>
    <row r="38" spans="2:4">
      <c r="B38" s="48" t="s">
        <v>121</v>
      </c>
      <c r="C38" s="657" t="s">
        <v>106</v>
      </c>
      <c r="D38" s="658"/>
    </row>
    <row r="39" spans="2:4">
      <c r="B39" s="642" t="s">
        <v>146</v>
      </c>
      <c r="C39" s="659" t="s">
        <v>108</v>
      </c>
      <c r="D39" s="660"/>
    </row>
    <row r="40" spans="2:4">
      <c r="B40" s="643" t="s">
        <v>101</v>
      </c>
      <c r="C40" s="663" t="s">
        <v>107</v>
      </c>
      <c r="D40" s="664"/>
    </row>
    <row r="41" spans="2:4" ht="14.25">
      <c r="B41" s="436" t="s">
        <v>102</v>
      </c>
      <c r="C41" s="665" t="s">
        <v>147</v>
      </c>
      <c r="D41" s="666"/>
    </row>
    <row r="42" spans="2:4" ht="14.25">
      <c r="B42" s="436" t="s">
        <v>103</v>
      </c>
      <c r="C42" s="665" t="s">
        <v>148</v>
      </c>
      <c r="D42" s="666"/>
    </row>
    <row r="43" spans="2:4" ht="14.25">
      <c r="B43" s="436" t="s">
        <v>176</v>
      </c>
      <c r="C43" s="667" t="s">
        <v>177</v>
      </c>
      <c r="D43" s="668"/>
    </row>
    <row r="44" spans="2:4">
      <c r="B44" s="644" t="s">
        <v>335</v>
      </c>
      <c r="C44" s="653" t="s">
        <v>337</v>
      </c>
      <c r="D44" s="654"/>
    </row>
    <row r="45" spans="2:4" ht="13.5" thickBot="1">
      <c r="B45" s="645" t="s">
        <v>336</v>
      </c>
      <c r="C45" s="661" t="s">
        <v>338</v>
      </c>
      <c r="D45" s="662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B36" sqref="B36:H36"/>
    </sheetView>
  </sheetViews>
  <sheetFormatPr defaultColWidth="11.42578125" defaultRowHeight="12.75"/>
  <cols>
    <col min="1" max="1" width="8.28515625" style="15" customWidth="1"/>
    <col min="2" max="2" width="26" style="411" customWidth="1"/>
    <col min="3" max="3" width="19.140625" style="411" customWidth="1"/>
    <col min="4" max="4" width="12.5703125" style="411" customWidth="1"/>
    <col min="5" max="6" width="10.85546875" style="411" customWidth="1"/>
    <col min="7" max="8" width="12.7109375" style="411" customWidth="1"/>
    <col min="9" max="9" width="29.7109375" style="412" bestFit="1" customWidth="1"/>
    <col min="10" max="11" width="11.42578125" style="15" customWidth="1"/>
    <col min="12" max="12" width="9.5703125" style="15" customWidth="1"/>
    <col min="13" max="13" width="13" style="15" customWidth="1"/>
    <col min="14" max="14" width="9.28515625" style="15" customWidth="1"/>
    <col min="15" max="15" width="12.42578125" style="15" customWidth="1"/>
    <col min="16" max="16" width="11.140625" style="15" customWidth="1"/>
    <col min="17" max="17" width="7.7109375" style="15" customWidth="1"/>
    <col min="18" max="18" width="7.42578125" style="15" customWidth="1"/>
    <col min="19" max="19" width="6.85546875" style="15" customWidth="1"/>
    <col min="20" max="16384" width="11.42578125" style="15"/>
  </cols>
  <sheetData>
    <row r="1" spans="1:17" ht="13.5" thickBot="1"/>
    <row r="2" spans="1:17" s="23" customFormat="1" ht="13.5" thickTop="1">
      <c r="A2" s="408"/>
      <c r="B2" s="438" t="s">
        <v>10</v>
      </c>
      <c r="C2" s="669" t="str">
        <f>COVER!C2</f>
        <v>IC15N-240610-10KansasROAR-3</v>
      </c>
      <c r="D2" s="670"/>
      <c r="E2" s="576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4.25">
      <c r="A3" s="414" t="s">
        <v>66</v>
      </c>
      <c r="B3" s="437" t="s">
        <v>21</v>
      </c>
      <c r="C3" s="437" t="s">
        <v>158</v>
      </c>
      <c r="D3" s="679" t="s">
        <v>67</v>
      </c>
      <c r="E3" s="679" t="s">
        <v>179</v>
      </c>
      <c r="F3" s="415" t="s">
        <v>68</v>
      </c>
      <c r="G3" s="415" t="s">
        <v>180</v>
      </c>
      <c r="H3" s="682" t="s">
        <v>248</v>
      </c>
      <c r="I3" s="594"/>
      <c r="J3" s="23"/>
    </row>
    <row r="4" spans="1:17" s="22" customFormat="1">
      <c r="A4" s="418" t="s">
        <v>74</v>
      </c>
      <c r="B4" s="572" t="s">
        <v>360</v>
      </c>
      <c r="C4" s="572">
        <v>30</v>
      </c>
      <c r="D4" s="680">
        <f>IF(COUNT('ISIRF RAW'!M12,'ISIRF RAW'!M56)=0,"",AVERAGE('ISIRF RAW'!M12,'ISIRF RAW'!M56))</f>
        <v>1.34605697</v>
      </c>
      <c r="E4" s="680">
        <f>IF(COUNT('ISIRF RAW'!O12,'ISIRF RAW'!O56)=0,"",AVERAGE('ISIRF RAW'!O12,'ISIRF RAW'!O56))</f>
        <v>-16.912340873234164</v>
      </c>
      <c r="F4" s="416">
        <f>IF(COUNT('ISIRF RAW'!J12,'ISIRF RAW'!J56)=0,"",AVERAGE('ISIRF RAW'!J12,'ISIRF RAW'!J56))</f>
        <v>0.14011209960000001</v>
      </c>
      <c r="G4" s="416">
        <f>IF(COUNT('ISIRF RAW'!L12,'ISIRF RAW'!L56)=0,"", AVERAGE('ISIRF RAW'!L12,'ISIRF RAW'!L56))</f>
        <v>6.031428072299617</v>
      </c>
      <c r="H4" s="683">
        <f t="shared" ref="H4" si="0">D4/F4</f>
        <v>9.607000207996311</v>
      </c>
      <c r="I4" s="592"/>
    </row>
    <row r="5" spans="1:17" s="22" customFormat="1">
      <c r="A5" s="417">
        <v>2</v>
      </c>
      <c r="B5" s="572" t="s">
        <v>361</v>
      </c>
      <c r="C5" s="572">
        <v>30</v>
      </c>
      <c r="D5" s="680">
        <f>IF(COUNT('ISIRF RAW'!M13)=0,"",'ISIRF RAW'!M13)</f>
        <v>1.5206887599999999</v>
      </c>
      <c r="E5" s="680">
        <f>IF(COUNT('ISIRF RAW'!O13)=0,"",'ISIRF RAW'!O13)</f>
        <v>-18.854327772109734</v>
      </c>
      <c r="F5" s="416">
        <f>IF(COUNT('ISIRF RAW'!J13)=0,"",'ISIRF RAW'!J13)</f>
        <v>0.15044397600000001</v>
      </c>
      <c r="G5" s="416">
        <f>IF(COUNT('ISIRF RAW'!L13)=0,"",'ISIRF RAW'!L13)</f>
        <v>4.965704077859094</v>
      </c>
      <c r="H5" s="683">
        <f t="shared" ref="H5:H39" si="1">D5/F5</f>
        <v>10.108006983277281</v>
      </c>
      <c r="I5" s="592"/>
    </row>
    <row r="6" spans="1:17" s="22" customFormat="1">
      <c r="A6" s="417">
        <v>3</v>
      </c>
      <c r="B6" s="572" t="s">
        <v>362</v>
      </c>
      <c r="C6" s="572">
        <v>30</v>
      </c>
      <c r="D6" s="680">
        <f>IF(COUNT('ISIRF RAW'!M14)=0,"",'ISIRF RAW'!M14)</f>
        <v>1.24139314</v>
      </c>
      <c r="E6" s="680">
        <f>IF(COUNT('ISIRF RAW'!O14)=0,"",'ISIRF RAW'!O14)</f>
        <v>-19.060407798850736</v>
      </c>
      <c r="F6" s="416">
        <f>IF(COUNT('ISIRF RAW'!J14)=0,"",'ISIRF RAW'!J14)</f>
        <v>0.11936778720000001</v>
      </c>
      <c r="G6" s="416">
        <f>IF(COUNT('ISIRF RAW'!L14)=0,"",'ISIRF RAW'!L14)</f>
        <v>6.073202307556814</v>
      </c>
      <c r="H6" s="683">
        <f t="shared" si="1"/>
        <v>10.399733203733209</v>
      </c>
      <c r="I6" s="592"/>
    </row>
    <row r="7" spans="1:17" s="22" customFormat="1">
      <c r="A7" s="417">
        <v>4</v>
      </c>
      <c r="B7" s="572" t="s">
        <v>363</v>
      </c>
      <c r="C7" s="572">
        <v>30</v>
      </c>
      <c r="D7" s="680">
        <f>IF(COUNT('ISIRF RAW'!M15)=0,"",'ISIRF RAW'!M15)</f>
        <v>1.23753538</v>
      </c>
      <c r="E7" s="680">
        <f>IF(COUNT('ISIRF RAW'!O15)=0,"",'ISIRF RAW'!O15)</f>
        <v>-18.342904871326084</v>
      </c>
      <c r="F7" s="416">
        <f>IF(COUNT('ISIRF RAW'!J15)=0,"",'ISIRF RAW'!J15)</f>
        <v>0.1255032408</v>
      </c>
      <c r="G7" s="416">
        <f>IF(COUNT('ISIRF RAW'!L15)=0,"",'ISIRF RAW'!L15)</f>
        <v>6.8253355955202535</v>
      </c>
      <c r="H7" s="683">
        <f t="shared" si="1"/>
        <v>9.8605850503264456</v>
      </c>
      <c r="I7" s="592"/>
    </row>
    <row r="8" spans="1:17" s="22" customFormat="1">
      <c r="A8" s="417">
        <v>5</v>
      </c>
      <c r="B8" s="572" t="s">
        <v>364</v>
      </c>
      <c r="C8" s="572">
        <v>30</v>
      </c>
      <c r="D8" s="680">
        <f>IF(COUNT('ISIRF RAW'!M16)=0,"",'ISIRF RAW'!M16)</f>
        <v>0.80426587999999988</v>
      </c>
      <c r="E8" s="680">
        <f>IF(COUNT('ISIRF RAW'!O16)=0,"",'ISIRF RAW'!O16)</f>
        <v>-18.856283409696211</v>
      </c>
      <c r="F8" s="416">
        <f>IF(COUNT('ISIRF RAW'!J16)=0,"",'ISIRF RAW'!J16)</f>
        <v>9.0380978400000006E-2</v>
      </c>
      <c r="G8" s="416">
        <f>IF(COUNT('ISIRF RAW'!L16)=0,"",'ISIRF RAW'!L16)</f>
        <v>5.2072940680219961</v>
      </c>
      <c r="H8" s="683">
        <f t="shared" si="1"/>
        <v>8.8986188713354295</v>
      </c>
      <c r="I8" s="592"/>
    </row>
    <row r="9" spans="1:17" s="22" customFormat="1">
      <c r="A9" s="417">
        <v>6</v>
      </c>
      <c r="B9" s="572" t="s">
        <v>365</v>
      </c>
      <c r="C9" s="572">
        <v>30</v>
      </c>
      <c r="D9" s="680">
        <f>IF(COUNT('ISIRF RAW'!M17)=0,"",'ISIRF RAW'!M17)</f>
        <v>1.29024776</v>
      </c>
      <c r="E9" s="680">
        <f>IF(COUNT('ISIRF RAW'!O17)=0,"",'ISIRF RAW'!O17)</f>
        <v>-18.175128657852468</v>
      </c>
      <c r="F9" s="416">
        <f>IF(COUNT('ISIRF RAW'!J17)=0,"",'ISIRF RAW'!J17)</f>
        <v>0.1306280376</v>
      </c>
      <c r="G9" s="416">
        <f>IF(COUNT('ISIRF RAW'!L17)=0,"",'ISIRF RAW'!L17)</f>
        <v>6.3965536591204897</v>
      </c>
      <c r="H9" s="683">
        <f t="shared" si="1"/>
        <v>9.8772651239767235</v>
      </c>
      <c r="I9" s="592"/>
    </row>
    <row r="10" spans="1:17" s="22" customFormat="1">
      <c r="A10" s="417">
        <v>7</v>
      </c>
      <c r="B10" s="572" t="s">
        <v>366</v>
      </c>
      <c r="C10" s="572">
        <v>30</v>
      </c>
      <c r="D10" s="680">
        <f>IF(COUNT('ISIRF RAW'!M18)=0,"",'ISIRF RAW'!M18)</f>
        <v>1.0762558200000001</v>
      </c>
      <c r="E10" s="680">
        <f>IF(COUNT('ISIRF RAW'!O18)=0,"",'ISIRF RAW'!O18)</f>
        <v>-17.762602044416216</v>
      </c>
      <c r="F10" s="416">
        <f>IF(COUNT('ISIRF RAW'!J18)=0,"",'ISIRF RAW'!J18)</f>
        <v>0.1050833208</v>
      </c>
      <c r="G10" s="416">
        <f>IF(COUNT('ISIRF RAW'!L18)=0,"",'ISIRF RAW'!L18)</f>
        <v>6.4256311215003414</v>
      </c>
      <c r="H10" s="683">
        <f t="shared" si="1"/>
        <v>10.241928136705782</v>
      </c>
      <c r="I10" s="592"/>
    </row>
    <row r="11" spans="1:17" s="22" customFormat="1">
      <c r="A11" s="417">
        <v>8</v>
      </c>
      <c r="B11" s="572" t="s">
        <v>367</v>
      </c>
      <c r="C11" s="572">
        <v>30</v>
      </c>
      <c r="D11" s="680">
        <f>IF(COUNT('ISIRF RAW'!M19)=0,"",'ISIRF RAW'!M19)</f>
        <v>0.84967258000000001</v>
      </c>
      <c r="E11" s="680">
        <f>IF(COUNT('ISIRF RAW'!O19)=0,"",'ISIRF RAW'!O19)</f>
        <v>-18.148723466839961</v>
      </c>
      <c r="F11" s="416">
        <f>IF(COUNT('ISIRF RAW'!J19)=0,"",'ISIRF RAW'!J19)</f>
        <v>9.3446551200000005E-2</v>
      </c>
      <c r="G11" s="416">
        <f>IF(COUNT('ISIRF RAW'!L19)=0,"",'ISIRF RAW'!L19)</f>
        <v>6.7256547468630057</v>
      </c>
      <c r="H11" s="683">
        <f t="shared" si="1"/>
        <v>9.0926050141912569</v>
      </c>
      <c r="I11" s="592"/>
    </row>
    <row r="12" spans="1:17" s="22" customFormat="1">
      <c r="A12" s="417">
        <v>9</v>
      </c>
      <c r="B12" s="572" t="s">
        <v>368</v>
      </c>
      <c r="C12" s="572">
        <v>30</v>
      </c>
      <c r="D12" s="680">
        <f>IF(COUNT('ISIRF RAW'!M20)=0,"",'ISIRF RAW'!M20)</f>
        <v>1.0216916399999998</v>
      </c>
      <c r="E12" s="680">
        <f>IF(COUNT('ISIRF RAW'!O20)=0,"",'ISIRF RAW'!O20)</f>
        <v>-20.131694059101054</v>
      </c>
      <c r="F12" s="416">
        <f>IF(COUNT('ISIRF RAW'!J20)=0,"",'ISIRF RAW'!J20)</f>
        <v>0.1125516696</v>
      </c>
      <c r="G12" s="416">
        <f>IF(COUNT('ISIRF RAW'!L20)=0,"",'ISIRF RAW'!L20)</f>
        <v>5.4188802110241507</v>
      </c>
      <c r="H12" s="683">
        <f t="shared" si="1"/>
        <v>9.0775342883052161</v>
      </c>
      <c r="I12" s="592"/>
    </row>
    <row r="13" spans="1:17" s="22" customFormat="1">
      <c r="A13" s="417">
        <v>10</v>
      </c>
      <c r="B13" s="572" t="s">
        <v>369</v>
      </c>
      <c r="C13" s="572">
        <v>30</v>
      </c>
      <c r="D13" s="680">
        <f>IF(COUNT('ISIRF RAW'!M22)=0,"",'ISIRF RAW'!M22)</f>
        <v>1.2083380399999999</v>
      </c>
      <c r="E13" s="680">
        <f>IF(COUNT('ISIRF RAW'!O22)=0,"",'ISIRF RAW'!O22)</f>
        <v>-15.207297940334298</v>
      </c>
      <c r="F13" s="416">
        <f>IF(COUNT('ISIRF RAW'!J22)=0,"",'ISIRF RAW'!J22)</f>
        <v>0.12535849200000002</v>
      </c>
      <c r="G13" s="416">
        <f>IF(COUNT('ISIRF RAW'!L22)=0,"",'ISIRF RAW'!L22)</f>
        <v>5.6620981943653694</v>
      </c>
      <c r="H13" s="683">
        <f t="shared" si="1"/>
        <v>9.6390601124972033</v>
      </c>
      <c r="I13" s="592"/>
    </row>
    <row r="14" spans="1:17" s="22" customFormat="1">
      <c r="A14" s="417">
        <v>11</v>
      </c>
      <c r="B14" s="572" t="s">
        <v>370</v>
      </c>
      <c r="C14" s="572">
        <v>30</v>
      </c>
      <c r="D14" s="680">
        <f>IF(COUNT('ISIRF RAW'!M23)=0,"",'ISIRF RAW'!M23)</f>
        <v>2.0375007599999999</v>
      </c>
      <c r="E14" s="680">
        <f>IF(COUNT('ISIRF RAW'!O23)=0,"",'ISIRF RAW'!O23)</f>
        <v>-16.632814901267434</v>
      </c>
      <c r="F14" s="416">
        <f>IF(COUNT('ISIRF RAW'!J23)=0,"",'ISIRF RAW'!J23)</f>
        <v>0.17677188720000001</v>
      </c>
      <c r="G14" s="416">
        <f>IF(COUNT('ISIRF RAW'!L23)=0,"",'ISIRF RAW'!L23)</f>
        <v>5.4933478359075769</v>
      </c>
      <c r="H14" s="683">
        <f t="shared" si="1"/>
        <v>11.52615832909431</v>
      </c>
      <c r="I14" s="592"/>
    </row>
    <row r="15" spans="1:17" s="22" customFormat="1">
      <c r="A15" s="417">
        <v>12</v>
      </c>
      <c r="B15" s="572" t="s">
        <v>371</v>
      </c>
      <c r="C15" s="572">
        <v>30</v>
      </c>
      <c r="D15" s="680">
        <f>IF(COUNT('ISIRF RAW'!M24)=0,"",'ISIRF RAW'!M24)</f>
        <v>2.0929579400000002</v>
      </c>
      <c r="E15" s="680">
        <f>IF(COUNT('ISIRF RAW'!O24)=0,"",'ISIRF RAW'!O24)</f>
        <v>-18.01857452986556</v>
      </c>
      <c r="F15" s="416">
        <f>IF(COUNT('ISIRF RAW'!J24)=0,"",'ISIRF RAW'!J24)</f>
        <v>0.19658868720000003</v>
      </c>
      <c r="G15" s="416">
        <f>IF(COUNT('ISIRF RAW'!L24)=0,"",'ISIRF RAW'!L24)</f>
        <v>4.5986169308657203</v>
      </c>
      <c r="H15" s="683">
        <f t="shared" si="1"/>
        <v>10.646380368117134</v>
      </c>
      <c r="I15" s="592"/>
    </row>
    <row r="16" spans="1:17" s="22" customFormat="1">
      <c r="A16" s="417">
        <v>13</v>
      </c>
      <c r="B16" s="572" t="s">
        <v>372</v>
      </c>
      <c r="C16" s="572">
        <v>30</v>
      </c>
      <c r="D16" s="680">
        <f>IF(COUNT('ISIRF RAW'!M25)=0,"",'ISIRF RAW'!M25)</f>
        <v>2.0509850599999999</v>
      </c>
      <c r="E16" s="680">
        <f>IF(COUNT('ISIRF RAW'!O25)=0,"",'ISIRF RAW'!O25)</f>
        <v>-17.943714043749399</v>
      </c>
      <c r="F16" s="416">
        <f>IF(COUNT('ISIRF RAW'!J25)=0,"",'ISIRF RAW'!J25)</f>
        <v>0.2036813784</v>
      </c>
      <c r="G16" s="416">
        <f>IF(COUNT('ISIRF RAW'!L25)=0,"",'ISIRF RAW'!L25)</f>
        <v>5.0183493826443559</v>
      </c>
      <c r="H16" s="683">
        <f t="shared" si="1"/>
        <v>10.069575707466834</v>
      </c>
      <c r="I16" s="592"/>
    </row>
    <row r="17" spans="1:9" s="22" customFormat="1">
      <c r="A17" s="418" t="s">
        <v>159</v>
      </c>
      <c r="B17" s="572" t="s">
        <v>373</v>
      </c>
      <c r="C17" s="572">
        <v>30</v>
      </c>
      <c r="D17" s="680">
        <f>IF(COUNT('ISIRF RAW'!M26,'ISIRF RAW'!M27)=0,"",AVERAGE('ISIRF RAW'!M26,'ISIRF RAW'!M27))</f>
        <v>2.1406121799999998</v>
      </c>
      <c r="E17" s="680">
        <f>IF(COUNT('ISIRF RAW'!O26,'ISIRF RAW'!O27)=0,"",AVERAGE('ISIRF RAW'!O26,'ISIRF RAW'!O27))</f>
        <v>-16.681564776788285</v>
      </c>
      <c r="F17" s="416">
        <f>IF(COUNT('ISIRF RAW'!J26,'ISIRF RAW'!J27)=0,"",AVERAGE('ISIRF RAW'!J26,'ISIRF RAW'!J27))</f>
        <v>0.17976508560000001</v>
      </c>
      <c r="G17" s="416">
        <f>IF(COUNT('ISIRF RAW'!L26,'ISIRF RAW'!L27)=0,"", AVERAGE('ISIRF RAW'!L26,'ISIRF RAW'!L27))</f>
        <v>5.5573502688355099</v>
      </c>
      <c r="H17" s="683">
        <f t="shared" si="1"/>
        <v>11.907830560396649</v>
      </c>
      <c r="I17" s="592"/>
    </row>
    <row r="18" spans="1:9" s="22" customFormat="1">
      <c r="A18" s="417">
        <v>15</v>
      </c>
      <c r="B18" s="572" t="s">
        <v>374</v>
      </c>
      <c r="C18" s="572">
        <v>30</v>
      </c>
      <c r="D18" s="680">
        <f>IF(COUNT('ISIRF RAW'!M28)=0,"",'ISIRF RAW'!M28)</f>
        <v>2.1810481599999996</v>
      </c>
      <c r="E18" s="680">
        <f>IF(COUNT('ISIRF RAW'!O28)=0,"",'ISIRF RAW'!O28)</f>
        <v>-17.880625766665052</v>
      </c>
      <c r="F18" s="416">
        <f>IF(COUNT('ISIRF RAW'!J28)=0,"",'ISIRF RAW'!J28)</f>
        <v>0.2073362856</v>
      </c>
      <c r="G18" s="416">
        <f>IF(COUNT('ISIRF RAW'!L28)=0,"",'ISIRF RAW'!L28)</f>
        <v>5.2223208809298818</v>
      </c>
      <c r="H18" s="683">
        <f t="shared" si="1"/>
        <v>10.519375099676232</v>
      </c>
      <c r="I18" s="592"/>
    </row>
    <row r="19" spans="1:9" s="22" customFormat="1">
      <c r="A19" s="417">
        <v>16</v>
      </c>
      <c r="B19" s="572" t="s">
        <v>375</v>
      </c>
      <c r="C19" s="572">
        <v>30</v>
      </c>
      <c r="D19" s="680">
        <f>IF(COUNT('ISIRF RAW'!M29)=0,"",'ISIRF RAW'!M29)</f>
        <v>1.7579438199999999</v>
      </c>
      <c r="E19" s="680">
        <f>IF(COUNT('ISIRF RAW'!O29)=0,"",'ISIRF RAW'!O29)</f>
        <v>-17.487855244741585</v>
      </c>
      <c r="F19" s="416">
        <f>IF(COUNT('ISIRF RAW'!J29)=0,"",'ISIRF RAW'!J29)</f>
        <v>0.1762609584</v>
      </c>
      <c r="G19" s="416">
        <f>IF(COUNT('ISIRF RAW'!L29)=0,"",'ISIRF RAW'!L29)</f>
        <v>5.5871279259750084</v>
      </c>
      <c r="H19" s="683">
        <f t="shared" ref="H19" si="2">D19/F19</f>
        <v>9.9735292259706672</v>
      </c>
      <c r="I19" s="592"/>
    </row>
    <row r="20" spans="1:9" s="22" customFormat="1">
      <c r="A20" s="417">
        <v>17</v>
      </c>
      <c r="B20" s="572" t="s">
        <v>376</v>
      </c>
      <c r="C20" s="572">
        <v>30</v>
      </c>
      <c r="D20" s="680">
        <f>IF(COUNT('ISIRF RAW'!M30)=0,"",'ISIRF RAW'!M30)</f>
        <v>2.1193775799999997</v>
      </c>
      <c r="E20" s="680">
        <f>IF(COUNT('ISIRF RAW'!O30)=0,"",'ISIRF RAW'!O30)</f>
        <v>-17.852066094302071</v>
      </c>
      <c r="F20" s="416">
        <f>IF(COUNT('ISIRF RAW'!J30)=0,"",'ISIRF RAW'!J30)</f>
        <v>0.19414949760000003</v>
      </c>
      <c r="G20" s="416">
        <f>IF(COUNT('ISIRF RAW'!L30)=0,"",'ISIRF RAW'!L30)</f>
        <v>5.7925449233818824</v>
      </c>
      <c r="H20" s="683">
        <f t="shared" si="1"/>
        <v>10.916214598538314</v>
      </c>
      <c r="I20" s="592"/>
    </row>
    <row r="21" spans="1:9" s="22" customFormat="1">
      <c r="A21" s="417">
        <v>18</v>
      </c>
      <c r="B21" s="572" t="s">
        <v>377</v>
      </c>
      <c r="C21" s="572">
        <v>30</v>
      </c>
      <c r="D21" s="680">
        <f>IF(COUNT('ISIRF RAW'!M31)=0,"",'ISIRF RAW'!M31)</f>
        <v>2.2964923800000001</v>
      </c>
      <c r="E21" s="680">
        <f>IF(COUNT('ISIRF RAW'!O31)=0,"",'ISIRF RAW'!O31)</f>
        <v>-18.216382179937927</v>
      </c>
      <c r="F21" s="416">
        <f>IF(COUNT('ISIRF RAW'!J31)=0,"",'ISIRF RAW'!J31)</f>
        <v>0.21638480880000002</v>
      </c>
      <c r="G21" s="416">
        <f>IF(COUNT('ISIRF RAW'!L31)=0,"",'ISIRF RAW'!L31)</f>
        <v>7.161648611082593</v>
      </c>
      <c r="H21" s="683">
        <f t="shared" si="1"/>
        <v>10.613001867994349</v>
      </c>
      <c r="I21" s="592"/>
    </row>
    <row r="22" spans="1:9" s="22" customFormat="1">
      <c r="A22" s="417">
        <v>19</v>
      </c>
      <c r="B22" s="572" t="s">
        <v>378</v>
      </c>
      <c r="C22" s="572">
        <v>30</v>
      </c>
      <c r="D22" s="680">
        <f>IF(COUNT('ISIRF RAW'!M37)=0,"",'ISIRF RAW'!M37)</f>
        <v>2.1688319200000001</v>
      </c>
      <c r="E22" s="680">
        <f>IF(COUNT('ISIRF RAW'!O37)=0,"",'ISIRF RAW'!O37)</f>
        <v>-18.054713234743168</v>
      </c>
      <c r="F22" s="416">
        <f>IF(COUNT('ISIRF RAW'!J37)=0,"",'ISIRF RAW'!J37)</f>
        <v>0.20845291920000003</v>
      </c>
      <c r="G22" s="416">
        <f>IF(COUNT('ISIRF RAW'!L37)=0,"",'ISIRF RAW'!L37)</f>
        <v>6.879640774529137</v>
      </c>
      <c r="H22" s="683">
        <f t="shared" si="1"/>
        <v>10.404420951855876</v>
      </c>
      <c r="I22" s="592"/>
    </row>
    <row r="23" spans="1:9" s="22" customFormat="1">
      <c r="A23" s="417">
        <v>20</v>
      </c>
      <c r="B23" s="572" t="s">
        <v>379</v>
      </c>
      <c r="C23" s="572">
        <v>30</v>
      </c>
      <c r="D23" s="680">
        <f>IF(COUNT('ISIRF RAW'!M38)=0,"",'ISIRF RAW'!M38)</f>
        <v>2.1813066600000002</v>
      </c>
      <c r="E23" s="680">
        <f>IF(COUNT('ISIRF RAW'!O38)=0,"",'ISIRF RAW'!O38)</f>
        <v>-17.340799118868514</v>
      </c>
      <c r="F23" s="416">
        <f>IF(COUNT('ISIRF RAW'!J38)=0,"",'ISIRF RAW'!J38)</f>
        <v>0.21283070879999999</v>
      </c>
      <c r="G23" s="416">
        <f>IF(COUNT('ISIRF RAW'!L38)=0,"",'ISIRF RAW'!L38)</f>
        <v>6.9216321839320001</v>
      </c>
      <c r="H23" s="683">
        <f t="shared" si="1"/>
        <v>10.249022203134251</v>
      </c>
      <c r="I23" s="592"/>
    </row>
    <row r="24" spans="1:9" s="22" customFormat="1">
      <c r="A24" s="417">
        <v>21</v>
      </c>
      <c r="B24" s="572" t="s">
        <v>380</v>
      </c>
      <c r="C24" s="572">
        <v>30</v>
      </c>
      <c r="D24" s="680">
        <f>IF(COUNT('ISIRF RAW'!M39)=0,"",'ISIRF RAW'!M39)</f>
        <v>2.3474018399999999</v>
      </c>
      <c r="E24" s="680">
        <f>IF(COUNT('ISIRF RAW'!O39)=0,"",'ISIRF RAW'!O39)</f>
        <v>-17.138530031516201</v>
      </c>
      <c r="F24" s="416">
        <f>IF(COUNT('ISIRF RAW'!J39)=0,"",'ISIRF RAW'!J39)</f>
        <v>0.2312439624</v>
      </c>
      <c r="G24" s="416">
        <f>IF(COUNT('ISIRF RAW'!L39)=0,"",'ISIRF RAW'!L39)</f>
        <v>6.9114432222299325</v>
      </c>
      <c r="H24" s="683">
        <f t="shared" si="1"/>
        <v>10.151191908481152</v>
      </c>
      <c r="I24" s="592"/>
    </row>
    <row r="25" spans="1:9" s="22" customFormat="1">
      <c r="A25" s="417">
        <v>22</v>
      </c>
      <c r="B25" s="572" t="s">
        <v>381</v>
      </c>
      <c r="C25" s="572">
        <v>30</v>
      </c>
      <c r="D25" s="680">
        <f>IF(COUNT('ISIRF RAW'!M40)=0,"",'ISIRF RAW'!M40)</f>
        <v>2.1881225999999998</v>
      </c>
      <c r="E25" s="680">
        <f>IF(COUNT('ISIRF RAW'!O40)=0,"",'ISIRF RAW'!O40)</f>
        <v>-16.710360996373748</v>
      </c>
      <c r="F25" s="416">
        <f>IF(COUNT('ISIRF RAW'!J40)=0,"",'ISIRF RAW'!J40)</f>
        <v>0.21678459120000004</v>
      </c>
      <c r="G25" s="416">
        <f>IF(COUNT('ISIRF RAW'!L40)=0,"",'ISIRF RAW'!L40)</f>
        <v>6.6564408788964684</v>
      </c>
      <c r="H25" s="683">
        <f t="shared" si="1"/>
        <v>10.093533806474708</v>
      </c>
      <c r="I25" s="592"/>
    </row>
    <row r="26" spans="1:9" s="22" customFormat="1">
      <c r="A26" s="417">
        <v>23</v>
      </c>
      <c r="B26" s="572" t="s">
        <v>382</v>
      </c>
      <c r="C26" s="572">
        <v>30</v>
      </c>
      <c r="D26" s="680">
        <f>IF(COUNT('ISIRF RAW'!M41)=0,"",'ISIRF RAW'!M41)</f>
        <v>2.0081896800000001</v>
      </c>
      <c r="E26" s="680">
        <f>IF(COUNT('ISIRF RAW'!O41)=0,"",'ISIRF RAW'!O41)</f>
        <v>-15.782241285804712</v>
      </c>
      <c r="F26" s="416">
        <f>IF(COUNT('ISIRF RAW'!J41)=0,"",'ISIRF RAW'!J41)</f>
        <v>0.19527560880000003</v>
      </c>
      <c r="G26" s="416">
        <f>IF(COUNT('ISIRF RAW'!L41)=0,"",'ISIRF RAW'!L41)</f>
        <v>6.8007482858825004</v>
      </c>
      <c r="H26" s="683">
        <f t="shared" si="1"/>
        <v>10.283873609923166</v>
      </c>
      <c r="I26" s="592"/>
    </row>
    <row r="27" spans="1:9" s="22" customFormat="1">
      <c r="A27" s="417">
        <v>24</v>
      </c>
      <c r="B27" s="572" t="s">
        <v>383</v>
      </c>
      <c r="C27" s="572">
        <v>30</v>
      </c>
      <c r="D27" s="680">
        <f>IF(COUNT('ISIRF RAW'!M42)=0,"",'ISIRF RAW'!M42)</f>
        <v>1.98267244</v>
      </c>
      <c r="E27" s="680">
        <f>IF(COUNT('ISIRF RAW'!O42)=0,"",'ISIRF RAW'!O42)</f>
        <v>-16.138204149329738</v>
      </c>
      <c r="F27" s="416">
        <f>IF(COUNT('ISIRF RAW'!J42)=0,"",'ISIRF RAW'!J42)</f>
        <v>0.18640888319999999</v>
      </c>
      <c r="G27" s="416">
        <f>IF(COUNT('ISIRF RAW'!L42)=0,"",'ISIRF RAW'!L42)</f>
        <v>6.8110417163491466</v>
      </c>
      <c r="H27" s="683">
        <f t="shared" si="1"/>
        <v>10.63614783783008</v>
      </c>
      <c r="I27" s="592"/>
    </row>
    <row r="28" spans="1:9" s="22" customFormat="1">
      <c r="A28" s="417">
        <v>25</v>
      </c>
      <c r="B28" s="572" t="s">
        <v>384</v>
      </c>
      <c r="C28" s="572">
        <v>30</v>
      </c>
      <c r="D28" s="680">
        <f>IF(COUNT('ISIRF RAW'!M43)=0,"",'ISIRF RAW'!M43)</f>
        <v>2.4037661199999998</v>
      </c>
      <c r="E28" s="680">
        <f>IF(COUNT('ISIRF RAW'!O43)=0,"",'ISIRF RAW'!O43)</f>
        <v>-15.820530704716839</v>
      </c>
      <c r="F28" s="416">
        <f>IF(COUNT('ISIRF RAW'!J43)=0,"",'ISIRF RAW'!J43)</f>
        <v>0.22537474320000001</v>
      </c>
      <c r="G28" s="416">
        <f>IF(COUNT('ISIRF RAW'!L43)=0,"",'ISIRF RAW'!L43)</f>
        <v>6.6953970957464186</v>
      </c>
      <c r="H28" s="683">
        <f t="shared" si="1"/>
        <v>10.665641082358867</v>
      </c>
      <c r="I28" s="592"/>
    </row>
    <row r="29" spans="1:9" s="22" customFormat="1">
      <c r="A29" s="417">
        <v>26</v>
      </c>
      <c r="B29" s="572" t="s">
        <v>385</v>
      </c>
      <c r="C29" s="572">
        <v>30</v>
      </c>
      <c r="D29" s="680">
        <f>IF(COUNT('ISIRF RAW'!M44)=0,"",'ISIRF RAW'!M44)</f>
        <v>2.4822335600000001</v>
      </c>
      <c r="E29" s="680">
        <f>IF(COUNT('ISIRF RAW'!O44)=0,"",'ISIRF RAW'!O44)</f>
        <v>-15.275306844321952</v>
      </c>
      <c r="F29" s="416">
        <f>IF(COUNT('ISIRF RAW'!J44)=0,"",'ISIRF RAW'!J44)</f>
        <v>0.23643337919999999</v>
      </c>
      <c r="G29" s="416">
        <f>IF(COUNT('ISIRF RAW'!L44)=0,"",'ISIRF RAW'!L44)</f>
        <v>6.6193201961164689</v>
      </c>
      <c r="H29" s="683">
        <f t="shared" si="1"/>
        <v>10.498659573360275</v>
      </c>
      <c r="I29" s="592"/>
    </row>
    <row r="30" spans="1:9" s="22" customFormat="1">
      <c r="A30" s="417">
        <v>27</v>
      </c>
      <c r="B30" s="572" t="s">
        <v>386</v>
      </c>
      <c r="C30" s="572">
        <v>30</v>
      </c>
      <c r="D30" s="680">
        <f>IF(COUNT('ISIRF RAW'!M45)=0,"",'ISIRF RAW'!M45)</f>
        <v>2.1030826799999995</v>
      </c>
      <c r="E30" s="680">
        <f>IF(COUNT('ISIRF RAW'!O45)=0,"",'ISIRF RAW'!O45)</f>
        <v>-15.260327089193638</v>
      </c>
      <c r="F30" s="416">
        <f>IF(COUNT('ISIRF RAW'!J45)=0,"",'ISIRF RAW'!J45)</f>
        <v>0.21936594480000002</v>
      </c>
      <c r="G30" s="416">
        <f>IF(COUNT('ISIRF RAW'!L45)=0,"",'ISIRF RAW'!L45)</f>
        <v>6.4849160509205097</v>
      </c>
      <c r="H30" s="683">
        <f t="shared" si="1"/>
        <v>9.5870974043734041</v>
      </c>
      <c r="I30" s="592"/>
    </row>
    <row r="31" spans="1:9" s="22" customFormat="1">
      <c r="A31" s="418">
        <v>28</v>
      </c>
      <c r="B31" s="572" t="s">
        <v>387</v>
      </c>
      <c r="C31" s="572">
        <v>30</v>
      </c>
      <c r="D31" s="680">
        <f>IF(COUNT('ISIRF RAW'!M47)=0,"",'ISIRF RAW'!M47)</f>
        <v>2.9852707999999999</v>
      </c>
      <c r="E31" s="680">
        <f>IF(COUNT('ISIRF RAW'!O47)=0,"",'ISIRF RAW'!O47)</f>
        <v>-25.486307681683158</v>
      </c>
      <c r="F31" s="416">
        <f>IF(COUNT('ISIRF RAW'!J47)=0,"",'ISIRF RAW'!J47)</f>
        <v>0.2712110016</v>
      </c>
      <c r="G31" s="416">
        <f>IF(COUNT('ISIRF RAW'!L47)=0,"",'ISIRF RAW'!L47)</f>
        <v>4.9869109591144403</v>
      </c>
      <c r="H31" s="683">
        <f t="shared" si="1"/>
        <v>11.007189171488241</v>
      </c>
      <c r="I31" s="592"/>
    </row>
    <row r="32" spans="1:9" s="22" customFormat="1">
      <c r="A32" s="417">
        <v>29</v>
      </c>
      <c r="B32" s="572" t="s">
        <v>388</v>
      </c>
      <c r="C32" s="572">
        <v>30</v>
      </c>
      <c r="D32" s="680">
        <f>IF(COUNT('ISIRF RAW'!M48)=0,"",'ISIRF RAW'!M48)</f>
        <v>10.87108778</v>
      </c>
      <c r="E32" s="680">
        <f>IF(COUNT('ISIRF RAW'!O48)=0,"",'ISIRF RAW'!O48)</f>
        <v>-24.542408811000982</v>
      </c>
      <c r="F32" s="416">
        <f>IF(COUNT('ISIRF RAW'!J48)=0,"",'ISIRF RAW'!J48)</f>
        <v>0.87838741440000012</v>
      </c>
      <c r="G32" s="416">
        <f>IF(COUNT('ISIRF RAW'!L48)=0,"",'ISIRF RAW'!L48)</f>
        <v>7.5042447717636467</v>
      </c>
      <c r="H32" s="683">
        <f t="shared" si="1"/>
        <v>12.376188002904973</v>
      </c>
      <c r="I32" s="592"/>
    </row>
    <row r="33" spans="1:9" s="22" customFormat="1">
      <c r="A33" s="417">
        <v>30</v>
      </c>
      <c r="B33" s="572" t="s">
        <v>389</v>
      </c>
      <c r="C33" s="572">
        <v>30</v>
      </c>
      <c r="D33" s="680">
        <f>IF(COUNT('ISIRF RAW'!M49)=0,"",'ISIRF RAW'!M49)</f>
        <v>0.89643569999999995</v>
      </c>
      <c r="E33" s="680">
        <f>IF(COUNT('ISIRF RAW'!O49)=0,"",'ISIRF RAW'!O49)</f>
        <v>-11.160604001833953</v>
      </c>
      <c r="F33" s="416">
        <f>IF(COUNT('ISIRF RAW'!J49)=0,"",'ISIRF RAW'!J49)</f>
        <v>8.3287425600000006E-2</v>
      </c>
      <c r="G33" s="416">
        <f>IF(COUNT('ISIRF RAW'!L49)=0,"",'ISIRF RAW'!L49)</f>
        <v>5.2309202963236201</v>
      </c>
      <c r="H33" s="683">
        <f t="shared" si="1"/>
        <v>10.763157746107593</v>
      </c>
      <c r="I33" s="592"/>
    </row>
    <row r="34" spans="1:9" s="22" customFormat="1">
      <c r="A34" s="417">
        <v>31</v>
      </c>
      <c r="B34" s="572" t="s">
        <v>390</v>
      </c>
      <c r="C34" s="572">
        <v>30</v>
      </c>
      <c r="D34" s="680">
        <f>IF(COUNT('ISIRF RAW'!M50)=0,"",'ISIRF RAW'!M50)</f>
        <v>2.9760832399999999</v>
      </c>
      <c r="E34" s="680">
        <f>IF(COUNT('ISIRF RAW'!O50)=0,"",'ISIRF RAW'!O50)</f>
        <v>-25.123980932276012</v>
      </c>
      <c r="F34" s="416">
        <f>IF(COUNT('ISIRF RAW'!J50)=0,"",'ISIRF RAW'!J50)</f>
        <v>0.26394685200000001</v>
      </c>
      <c r="G34" s="416">
        <f>IF(COUNT('ISIRF RAW'!L50)=0,"",'ISIRF RAW'!L50)</f>
        <v>4.7920179568644423</v>
      </c>
      <c r="H34" s="683">
        <f t="shared" si="1"/>
        <v>11.275312501169742</v>
      </c>
      <c r="I34" s="592"/>
    </row>
    <row r="35" spans="1:9" s="22" customFormat="1">
      <c r="A35" s="417">
        <v>32</v>
      </c>
      <c r="B35" s="572" t="s">
        <v>391</v>
      </c>
      <c r="C35" s="572">
        <v>30</v>
      </c>
      <c r="D35" s="680">
        <f>IF(COUNT('ISIRF RAW'!M51)=0,"",'ISIRF RAW'!M51)</f>
        <v>1.9832345600000001</v>
      </c>
      <c r="E35" s="680">
        <f>IF(COUNT('ISIRF RAW'!O51)=0,"",'ISIRF RAW'!O51)</f>
        <v>-19.20970088333355</v>
      </c>
      <c r="F35" s="416">
        <f>IF(COUNT('ISIRF RAW'!J51)=0,"",'ISIRF RAW'!J51)</f>
        <v>0.18079211279999999</v>
      </c>
      <c r="G35" s="416">
        <f>IF(COUNT('ISIRF RAW'!L51)=0,"",'ISIRF RAW'!L51)</f>
        <v>5.7683385062199628</v>
      </c>
      <c r="H35" s="683">
        <f t="shared" si="1"/>
        <v>10.969696239978894</v>
      </c>
      <c r="I35" s="592"/>
    </row>
    <row r="36" spans="1:9" s="22" customFormat="1">
      <c r="A36" s="417">
        <v>33</v>
      </c>
      <c r="B36" s="572" t="s">
        <v>392</v>
      </c>
      <c r="C36" s="572">
        <v>30</v>
      </c>
      <c r="D36" s="680">
        <f>IF(COUNT('ISIRF RAW'!M52)=0,"",'ISIRF RAW'!M52)</f>
        <v>0.86577572000000003</v>
      </c>
      <c r="E36" s="680">
        <f>IF(COUNT('ISIRF RAW'!O52)=0,"",'ISIRF RAW'!O52)</f>
        <v>-9.7273724029239794</v>
      </c>
      <c r="F36" s="416">
        <f>IF(COUNT('ISIRF RAW'!J52)=0,"",'ISIRF RAW'!J52)</f>
        <v>6.4962055200000007E-2</v>
      </c>
      <c r="G36" s="416">
        <f>IF(COUNT('ISIRF RAW'!L52)=0,"",'ISIRF RAW'!L52)</f>
        <v>5.6267481257628571</v>
      </c>
      <c r="H36" s="683">
        <f t="shared" si="1"/>
        <v>13.327406550401133</v>
      </c>
      <c r="I36" s="592"/>
    </row>
    <row r="37" spans="1:9" s="22" customFormat="1">
      <c r="A37" s="418">
        <v>34</v>
      </c>
      <c r="B37" s="572" t="s">
        <v>393</v>
      </c>
      <c r="C37" s="572">
        <v>30</v>
      </c>
      <c r="D37" s="680">
        <f>IF(COUNT('ISIRF RAW'!M53)=0,"",'ISIRF RAW'!M53)</f>
        <v>1.7348546</v>
      </c>
      <c r="E37" s="680">
        <f>IF(COUNT('ISIRF RAW'!O53)=0,"",'ISIRF RAW'!O53)</f>
        <v>-16.938104184062798</v>
      </c>
      <c r="F37" s="416">
        <f>IF(COUNT('ISIRF RAW'!J53)=0,"",'ISIRF RAW'!J53)</f>
        <v>0.16584162960000001</v>
      </c>
      <c r="G37" s="416">
        <f>IF(COUNT('ISIRF RAW'!L53)=0,"",'ISIRF RAW'!L53)</f>
        <v>5.5107905400237005</v>
      </c>
      <c r="H37" s="683">
        <f t="shared" si="1"/>
        <v>10.460911438125423</v>
      </c>
      <c r="I37" s="592"/>
    </row>
    <row r="38" spans="1:9" s="22" customFormat="1">
      <c r="A38" s="418">
        <v>35</v>
      </c>
      <c r="B38" s="461" t="s">
        <v>394</v>
      </c>
      <c r="C38" s="572">
        <v>30</v>
      </c>
      <c r="D38" s="680">
        <f>IF(COUNT('ISIRF RAW'!M54)=0,"",'ISIRF RAW'!M54)</f>
        <v>1.6009760399999999</v>
      </c>
      <c r="E38" s="680">
        <f>IF(COUNT('ISIRF RAW'!O54)=0,"",'ISIRF RAW'!O54)</f>
        <v>-16.272183592718967</v>
      </c>
      <c r="F38" s="416">
        <f>IF(COUNT('ISIRF RAW'!J54)=0,"",'ISIRF RAW'!J54)</f>
        <v>0.14022884640000002</v>
      </c>
      <c r="G38" s="416">
        <f>IF(COUNT('ISIRF RAW'!L54)=0,"",'ISIRF RAW'!L54)</f>
        <v>6.0954369766544136</v>
      </c>
      <c r="H38" s="680">
        <f t="shared" si="1"/>
        <v>11.416880913597815</v>
      </c>
      <c r="I38" s="592"/>
    </row>
    <row r="39" spans="1:9" s="22" customFormat="1" ht="13.5" thickBot="1">
      <c r="A39" s="419">
        <v>36</v>
      </c>
      <c r="B39" s="433" t="s">
        <v>395</v>
      </c>
      <c r="C39" s="433">
        <v>30</v>
      </c>
      <c r="D39" s="681">
        <f>IF(COUNT('ISIRF RAW'!M55)=0,"",'ISIRF RAW'!M55)</f>
        <v>1.6972282799999998</v>
      </c>
      <c r="E39" s="681">
        <f>IF(COUNT('ISIRF RAW'!O55)=0,"",'ISIRF RAW'!O55)</f>
        <v>-15.976440949737274</v>
      </c>
      <c r="F39" s="420">
        <f>IF(COUNT('ISIRF RAW'!J55)=0,"",'ISIRF RAW'!J55)</f>
        <v>0.15171052799999998</v>
      </c>
      <c r="G39" s="420">
        <f>IF(COUNT('ISIRF RAW'!L55)=0,"",'ISIRF RAW'!L55)</f>
        <v>6.1495885442065052</v>
      </c>
      <c r="H39" s="681">
        <f t="shared" si="1"/>
        <v>11.187280819430013</v>
      </c>
      <c r="I39" s="593"/>
    </row>
    <row r="40" spans="1:9" s="22" customFormat="1" ht="13.5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workbookViewId="0">
      <selection activeCell="C17" sqref="C17:C72"/>
    </sheetView>
  </sheetViews>
  <sheetFormatPr defaultColWidth="9.140625" defaultRowHeight="12.75"/>
  <cols>
    <col min="1" max="1" width="22.5703125" style="2" customWidth="1"/>
    <col min="2" max="2" width="7.85546875" style="2" customWidth="1"/>
    <col min="3" max="3" width="28.42578125" style="2" customWidth="1"/>
    <col min="4" max="4" width="8.28515625" style="2" customWidth="1"/>
    <col min="5" max="5" width="12.140625" style="2" customWidth="1"/>
    <col min="6" max="6" width="11.28515625" style="2" customWidth="1"/>
    <col min="7" max="7" width="11.140625" style="2" customWidth="1"/>
    <col min="8" max="8" width="7.7109375" customWidth="1"/>
    <col min="9" max="9" width="22.28515625" style="2" bestFit="1" customWidth="1"/>
    <col min="10" max="10" width="6.85546875" style="2" bestFit="1" customWidth="1"/>
    <col min="11" max="11" width="9.140625" style="2"/>
    <col min="12" max="12" width="10.140625" style="2" customWidth="1"/>
    <col min="13" max="18" width="9.140625" style="2"/>
    <col min="19" max="19" width="9.85546875" style="2" customWidth="1"/>
    <col min="20" max="20" width="11.42578125" style="9" customWidth="1"/>
    <col min="21" max="26" width="9.140625" style="2"/>
    <col min="27" max="27" width="12" style="2" bestFit="1" customWidth="1"/>
    <col min="28" max="33" width="9.140625" style="2"/>
    <col min="34" max="34" width="9.7109375" style="2" customWidth="1"/>
    <col min="35" max="16384" width="9.140625" style="2"/>
  </cols>
  <sheetData>
    <row r="1" spans="1:50" ht="14.25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.25" thickTop="1" thickBot="1">
      <c r="A2" s="9"/>
      <c r="B2" s="154" t="s">
        <v>10</v>
      </c>
      <c r="C2" s="375" t="str">
        <f>COVER!C2</f>
        <v>IC15N-240610-10KansasROAR-3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>
      <c r="A4" s="157" t="s">
        <v>31</v>
      </c>
      <c r="B4" s="158"/>
      <c r="C4" s="424" t="str">
        <f>COVER!C19</f>
        <v>Soil</v>
      </c>
      <c r="D4" s="347"/>
      <c r="E4" s="430" t="s">
        <v>9</v>
      </c>
      <c r="F4" s="431" t="s">
        <v>172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>
      <c r="A6" s="157" t="s">
        <v>127</v>
      </c>
      <c r="B6" s="160"/>
      <c r="C6" s="424" t="str">
        <f>COVER!C15</f>
        <v>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.75" thickBot="1">
      <c r="A9" s="157" t="s">
        <v>161</v>
      </c>
      <c r="B9" s="162"/>
      <c r="C9" s="634" t="s">
        <v>244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.75" thickTop="1">
      <c r="A10" s="157" t="s">
        <v>125</v>
      </c>
      <c r="B10" s="162"/>
      <c r="C10" s="634" t="s">
        <v>250</v>
      </c>
      <c r="D10" s="640">
        <f>VLOOKUP(C10,Tables!A2:C17,3,FALSE)</f>
        <v>1</v>
      </c>
      <c r="E10" s="671" t="s">
        <v>35</v>
      </c>
      <c r="F10" s="672"/>
      <c r="G10" s="673"/>
      <c r="T10" s="2"/>
    </row>
    <row r="11" spans="1:50" ht="15">
      <c r="A11" s="169" t="s">
        <v>126</v>
      </c>
      <c r="B11" s="162"/>
      <c r="C11" s="634" t="s">
        <v>249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240610</v>
      </c>
      <c r="T11" s="2"/>
    </row>
    <row r="12" spans="1:50" ht="15">
      <c r="A12" s="169" t="s">
        <v>178</v>
      </c>
      <c r="B12" s="162"/>
      <c r="C12" s="634" t="s">
        <v>352</v>
      </c>
      <c r="D12" s="640">
        <f>VLOOKUP(C12,Tables!A2:C17,3,FALSE)</f>
        <v>6.5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163</v>
      </c>
      <c r="B13" s="162"/>
      <c r="C13" s="634" t="s">
        <v>173</v>
      </c>
      <c r="D13" s="435" t="s">
        <v>174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.5" thickBot="1">
      <c r="A14" s="173" t="s">
        <v>247</v>
      </c>
      <c r="B14" s="174"/>
      <c r="C14" s="635"/>
      <c r="D14" s="349">
        <v>5</v>
      </c>
      <c r="E14" s="171" t="s">
        <v>230</v>
      </c>
      <c r="F14" s="172"/>
      <c r="G14" s="633" t="str">
        <f>COVER!C15</f>
        <v>15N</v>
      </c>
      <c r="T14" s="2"/>
    </row>
    <row r="15" spans="1:50" s="33" customFormat="1" ht="14.25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25" thickTop="1">
      <c r="A16" s="342" t="s">
        <v>33</v>
      </c>
      <c r="B16" s="343" t="s">
        <v>36</v>
      </c>
      <c r="C16" s="344" t="s">
        <v>21</v>
      </c>
      <c r="D16" s="346" t="s">
        <v>158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>
      <c r="A17" s="178" t="str">
        <f>"IC"&amp;COVER!C$15&amp;COVER!C$23&amp;"-"&amp;COVER!C$22&amp;F17</f>
        <v>IC15N240610-101</v>
      </c>
      <c r="B17" s="179" t="s">
        <v>37</v>
      </c>
      <c r="C17" s="180" t="s">
        <v>34</v>
      </c>
      <c r="D17" s="303"/>
      <c r="E17" s="463" t="s">
        <v>400</v>
      </c>
      <c r="F17" s="181">
        <v>1</v>
      </c>
      <c r="G17"/>
      <c r="H17" s="33"/>
      <c r="I17" s="33"/>
      <c r="J17" s="350"/>
      <c r="K17" s="33"/>
      <c r="T17" s="2"/>
    </row>
    <row r="18" spans="1:20">
      <c r="A18" s="178" t="str">
        <f>"IC"&amp;COVER!C$15&amp;COVER!C$23&amp;"-"&amp;COVER!C$22&amp;F18</f>
        <v>IC15N240610-102</v>
      </c>
      <c r="B18" s="179" t="s">
        <v>38</v>
      </c>
      <c r="C18" s="180" t="s">
        <v>34</v>
      </c>
      <c r="D18" s="303"/>
      <c r="E18" s="463" t="s">
        <v>400</v>
      </c>
      <c r="F18" s="181">
        <f>F17+1</f>
        <v>2</v>
      </c>
      <c r="G18"/>
      <c r="H18" s="33"/>
      <c r="I18" s="33"/>
      <c r="J18" s="350"/>
      <c r="K18" s="33"/>
      <c r="T18" s="2"/>
    </row>
    <row r="19" spans="1:20">
      <c r="A19" s="178" t="str">
        <f>"IC"&amp;COVER!C$15&amp;COVER!C$23&amp;"-"&amp;COVER!C$22&amp;F19</f>
        <v>IC15N240610-103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1.1850000000000001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>
      <c r="A20" s="178" t="str">
        <f>"IC"&amp;COVER!C$15&amp;COVER!C$23&amp;"-"&amp;COVER!C$22&amp;F20</f>
        <v>IC15N240610-104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1.075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>
      <c r="A21" s="178" t="str">
        <f>"IC"&amp;COVER!C$15&amp;COVER!C$23&amp;"-"&amp;COVER!C$22&amp;F21</f>
        <v>IC15N240610-105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1.494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>
      <c r="A22" s="178" t="str">
        <f>"IC"&amp;COVER!C$15&amp;COVER!C$23&amp;"-"&amp;COVER!C$22&amp;F22</f>
        <v>IC15N240610-106</v>
      </c>
      <c r="B22" s="179" t="s">
        <v>42</v>
      </c>
      <c r="C22" s="180" t="str">
        <f>C12</f>
        <v>NBS 1575 Pine Needles</v>
      </c>
      <c r="D22" s="303">
        <f>D12</f>
        <v>6.5</v>
      </c>
      <c r="E22" s="463">
        <v>6.4320000000000004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>
      <c r="A23" s="178" t="str">
        <f>"IC"&amp;COVER!C$15&amp;COVER!C$23&amp;"-"&amp;COVER!C$22&amp;F23</f>
        <v>IC15N240610-107</v>
      </c>
      <c r="B23" s="179" t="s">
        <v>43</v>
      </c>
      <c r="C23" s="410" t="str">
        <f>IF('Investigator Data'!B4="","","R1-"&amp;'Investigator Data'!B4)</f>
        <v xml:space="preserve">R1-20231120_W1_H </v>
      </c>
      <c r="D23" s="304">
        <f>IF('Investigator Data'!C4="",$D$8,'Investigator Data'!C4)</f>
        <v>30</v>
      </c>
      <c r="E23" s="463">
        <v>29.646999999999998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>
      <c r="A24" s="178" t="str">
        <f>"IC"&amp;COVER!C$15&amp;COVER!C$23&amp;"-"&amp;COVER!C$22&amp;F24</f>
        <v>IC15N240610-108</v>
      </c>
      <c r="B24" s="179" t="s">
        <v>44</v>
      </c>
      <c r="C24" s="182" t="str">
        <f>IF('Investigator Data'!B5="","",'Investigator Data'!B5)</f>
        <v xml:space="preserve">20240407_E1_A </v>
      </c>
      <c r="D24" s="304">
        <f>IF('Investigator Data'!C5="",$D$8,'Investigator Data'!C5)</f>
        <v>30</v>
      </c>
      <c r="E24" s="463">
        <v>29.277000000000001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>
      <c r="A25" s="178" t="str">
        <f>"IC"&amp;COVER!C$15&amp;COVER!C$23&amp;"-"&amp;COVER!C$22&amp;F25</f>
        <v>IC15N240610-109</v>
      </c>
      <c r="B25" s="179" t="s">
        <v>184</v>
      </c>
      <c r="C25" s="182" t="str">
        <f>IF('Investigator Data'!B6="","",'Investigator Data'!B6)</f>
        <v xml:space="preserve">20240407_E1_B </v>
      </c>
      <c r="D25" s="304">
        <f>IF('Investigator Data'!C6="",$D$8,'Investigator Data'!C6)</f>
        <v>30</v>
      </c>
      <c r="E25" s="463">
        <v>28.582999999999998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>
      <c r="A26" s="178" t="str">
        <f>"IC"&amp;COVER!C$15&amp;COVER!C$23&amp;"-"&amp;COVER!C$22&amp;F26</f>
        <v>IC15N240610-1010</v>
      </c>
      <c r="B26" s="179" t="s">
        <v>185</v>
      </c>
      <c r="C26" s="182" t="str">
        <f>IF('Investigator Data'!B7="","",'Investigator Data'!B7)</f>
        <v xml:space="preserve">20240407_E1_C </v>
      </c>
      <c r="D26" s="304">
        <f>IF('Investigator Data'!C7="",$D$8,'Investigator Data'!C7)</f>
        <v>30</v>
      </c>
      <c r="E26" s="463">
        <v>29.201000000000001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>
      <c r="A27" s="178" t="str">
        <f>"IC"&amp;COVER!C$15&amp;COVER!C$23&amp;"-"&amp;COVER!C$22&amp;F27</f>
        <v>IC15N240610-1011</v>
      </c>
      <c r="B27" s="179" t="s">
        <v>186</v>
      </c>
      <c r="C27" s="182" t="str">
        <f>IF('Investigator Data'!B8="","",'Investigator Data'!B8)</f>
        <v xml:space="preserve">20240407_E1_D </v>
      </c>
      <c r="D27" s="304">
        <f>IF('Investigator Data'!C8="",$D$8,'Investigator Data'!C8)</f>
        <v>30</v>
      </c>
      <c r="E27" s="463">
        <v>31.129000000000001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>
      <c r="A28" s="178" t="str">
        <f>"IC"&amp;COVER!C$15&amp;COVER!C$23&amp;"-"&amp;COVER!C$22&amp;F28</f>
        <v>IC15N240610-1012</v>
      </c>
      <c r="B28" s="179" t="s">
        <v>187</v>
      </c>
      <c r="C28" s="182" t="str">
        <f>IF('Investigator Data'!B9="","",'Investigator Data'!B9)</f>
        <v xml:space="preserve">20240407_E1_E </v>
      </c>
      <c r="D28" s="304">
        <f>IF('Investigator Data'!C9="",$D$8,'Investigator Data'!C9)</f>
        <v>30</v>
      </c>
      <c r="E28" s="463">
        <v>27.606000000000002</v>
      </c>
      <c r="F28" s="181">
        <f t="shared" si="0"/>
        <v>12</v>
      </c>
      <c r="G28"/>
      <c r="H28" s="2"/>
      <c r="T28" s="2"/>
    </row>
    <row r="29" spans="1:20">
      <c r="A29" s="178" t="str">
        <f>"IC"&amp;COVER!C$15&amp;COVER!C$23&amp;"-"&amp;COVER!C$22&amp;F29</f>
        <v>IC15N240610-1013</v>
      </c>
      <c r="B29" s="179" t="s">
        <v>45</v>
      </c>
      <c r="C29" s="182" t="str">
        <f>IF('Investigator Data'!B10="","",'Investigator Data'!B10)</f>
        <v xml:space="preserve">20240407_E1_F </v>
      </c>
      <c r="D29" s="304">
        <f>IF('Investigator Data'!C10="",$D$8,'Investigator Data'!C10)</f>
        <v>30</v>
      </c>
      <c r="E29" s="463">
        <v>27.937000000000001</v>
      </c>
      <c r="F29" s="181">
        <f t="shared" si="0"/>
        <v>13</v>
      </c>
      <c r="G29"/>
      <c r="H29" s="2"/>
      <c r="T29" s="2"/>
    </row>
    <row r="30" spans="1:20">
      <c r="A30" s="178" t="str">
        <f>"IC"&amp;COVER!C$15&amp;COVER!C$23&amp;"-"&amp;COVER!C$22&amp;F30</f>
        <v>IC15N240610-1014</v>
      </c>
      <c r="B30" s="179" t="s">
        <v>46</v>
      </c>
      <c r="C30" s="182" t="str">
        <f>IF('Investigator Data'!B11="","",'Investigator Data'!B11)</f>
        <v xml:space="preserve">20240407_E1_G </v>
      </c>
      <c r="D30" s="304">
        <f>IF('Investigator Data'!C11="",$D$8,'Investigator Data'!C11)</f>
        <v>30</v>
      </c>
      <c r="E30" s="463">
        <v>29.832000000000001</v>
      </c>
      <c r="F30" s="181">
        <f t="shared" si="0"/>
        <v>14</v>
      </c>
      <c r="G30"/>
      <c r="H30" s="2"/>
      <c r="T30" s="2"/>
    </row>
    <row r="31" spans="1:20">
      <c r="A31" s="178" t="str">
        <f>"IC"&amp;COVER!C$15&amp;COVER!C$23&amp;"-"&amp;COVER!C$22&amp;F31</f>
        <v>IC15N240610-1015</v>
      </c>
      <c r="B31" s="179" t="s">
        <v>47</v>
      </c>
      <c r="C31" s="182" t="str">
        <f>IF('Investigator Data'!B12="","",'Investigator Data'!B12)</f>
        <v xml:space="preserve">20240407_E1_H </v>
      </c>
      <c r="D31" s="304">
        <f>IF('Investigator Data'!C12="",$D$8,'Investigator Data'!C12)</f>
        <v>30</v>
      </c>
      <c r="E31" s="463">
        <v>28.366</v>
      </c>
      <c r="F31" s="181">
        <f t="shared" si="0"/>
        <v>15</v>
      </c>
      <c r="G31"/>
      <c r="H31" s="2"/>
      <c r="T31" s="2"/>
    </row>
    <row r="32" spans="1:20">
      <c r="A32" s="178" t="str">
        <f>"IC"&amp;COVER!C$15&amp;COVER!C$23&amp;"-"&amp;COVER!C$22&amp;F32</f>
        <v>IC15N240610-1016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1.1919999999999999</v>
      </c>
      <c r="F32" s="181">
        <f t="shared" si="0"/>
        <v>16</v>
      </c>
      <c r="G32"/>
      <c r="H32" s="2"/>
      <c r="T32" s="2"/>
    </row>
    <row r="33" spans="1:20">
      <c r="A33" s="178" t="str">
        <f>"IC"&amp;COVER!C$15&amp;COVER!C$23&amp;"-"&amp;COVER!C$22&amp;F33</f>
        <v>IC15N240610-1017</v>
      </c>
      <c r="B33" s="179" t="s">
        <v>49</v>
      </c>
      <c r="C33" s="182" t="str">
        <f>IF('Investigator Data'!B13="","",'Investigator Data'!B13)</f>
        <v xml:space="preserve">20240407_E1_I </v>
      </c>
      <c r="D33" s="304">
        <f>IF('Investigator Data'!C13="",$D$8,'Investigator Data'!C13)</f>
        <v>30</v>
      </c>
      <c r="E33" s="463">
        <v>31.209</v>
      </c>
      <c r="F33" s="181">
        <f t="shared" si="0"/>
        <v>17</v>
      </c>
      <c r="G33"/>
      <c r="H33" s="2"/>
      <c r="T33" s="2"/>
    </row>
    <row r="34" spans="1:20">
      <c r="A34" s="178" t="str">
        <f>"IC"&amp;COVER!C$15&amp;COVER!C$23&amp;"-"&amp;COVER!C$22&amp;F34</f>
        <v>IC15N240610-1018</v>
      </c>
      <c r="B34" s="179" t="s">
        <v>50</v>
      </c>
      <c r="C34" s="182" t="str">
        <f>IF('Investigator Data'!B14="","",'Investigator Data'!B14)</f>
        <v>20240407_E2_A</v>
      </c>
      <c r="D34" s="304">
        <f>IF('Investigator Data'!C14="",$D$8,'Investigator Data'!C14)</f>
        <v>30</v>
      </c>
      <c r="E34" s="463">
        <v>30.89</v>
      </c>
      <c r="F34" s="181">
        <f t="shared" si="0"/>
        <v>18</v>
      </c>
      <c r="G34"/>
      <c r="H34" s="2"/>
      <c r="T34" s="2"/>
    </row>
    <row r="35" spans="1:20">
      <c r="A35" s="178" t="str">
        <f>"IC"&amp;COVER!C$15&amp;COVER!C$23&amp;"-"&amp;COVER!C$22&amp;F35</f>
        <v>IC15N240610-1019</v>
      </c>
      <c r="B35" s="179" t="s">
        <v>51</v>
      </c>
      <c r="C35" s="182" t="str">
        <f>IF('Investigator Data'!B15="","",'Investigator Data'!B15)</f>
        <v xml:space="preserve">20240407_E2_B </v>
      </c>
      <c r="D35" s="304">
        <f>IF('Investigator Data'!C15="",$D$8,'Investigator Data'!C15)</f>
        <v>30</v>
      </c>
      <c r="E35" s="463">
        <v>28.09</v>
      </c>
      <c r="F35" s="181">
        <f t="shared" si="0"/>
        <v>19</v>
      </c>
      <c r="G35"/>
      <c r="H35" s="2"/>
      <c r="T35" s="2"/>
    </row>
    <row r="36" spans="1:20">
      <c r="A36" s="178" t="str">
        <f>"IC"&amp;COVER!C$15&amp;COVER!C$23&amp;"-"&amp;COVER!C$22&amp;F36</f>
        <v>IC15N240610-1020</v>
      </c>
      <c r="B36" s="179" t="s">
        <v>52</v>
      </c>
      <c r="C36" s="182" t="str">
        <f>IF('Investigator Data'!B16="","",'Investigator Data'!B16)</f>
        <v xml:space="preserve">20240407_E2_C </v>
      </c>
      <c r="D36" s="304">
        <f>IF('Investigator Data'!C16="",$D$8,'Investigator Data'!C16)</f>
        <v>30</v>
      </c>
      <c r="E36" s="463">
        <v>31.49</v>
      </c>
      <c r="F36" s="181">
        <f t="shared" si="0"/>
        <v>20</v>
      </c>
      <c r="G36"/>
      <c r="H36" s="2"/>
      <c r="T36" s="2"/>
    </row>
    <row r="37" spans="1:20">
      <c r="A37" s="178" t="str">
        <f>"IC"&amp;COVER!C$15&amp;COVER!C$23&amp;"-"&amp;COVER!C$22&amp;F37</f>
        <v>IC15N240610-1021</v>
      </c>
      <c r="B37" s="179" t="s">
        <v>188</v>
      </c>
      <c r="C37" s="410" t="str">
        <f>IF('Investigator Data'!B17="","","R2-"&amp;'Investigator Data'!B17)</f>
        <v xml:space="preserve">R2-20240407_E2_D </v>
      </c>
      <c r="D37" s="304">
        <f>IF('Investigator Data'!C17="",$D$8,'Investigator Data'!C17)</f>
        <v>30</v>
      </c>
      <c r="E37" s="463">
        <v>29.428000000000001</v>
      </c>
      <c r="F37" s="181">
        <f t="shared" si="0"/>
        <v>21</v>
      </c>
      <c r="G37"/>
      <c r="H37" s="2"/>
      <c r="T37" s="2"/>
    </row>
    <row r="38" spans="1:20">
      <c r="A38" s="178" t="str">
        <f>"IC"&amp;COVER!C$15&amp;COVER!C$23&amp;"-"&amp;COVER!C$22&amp;F38</f>
        <v>IC15N240610-1022</v>
      </c>
      <c r="B38" s="179" t="s">
        <v>189</v>
      </c>
      <c r="C38" s="410" t="str">
        <f>IF('Investigator Data'!B17="","","R2-"&amp;'Investigator Data'!B17)</f>
        <v xml:space="preserve">R2-20240407_E2_D </v>
      </c>
      <c r="D38" s="304">
        <f>IF('Investigator Data'!C17="",$D$8,'Investigator Data'!C17)</f>
        <v>30</v>
      </c>
      <c r="E38" s="463">
        <v>29.161999999999999</v>
      </c>
      <c r="F38" s="181">
        <f t="shared" si="0"/>
        <v>22</v>
      </c>
      <c r="G38"/>
      <c r="H38" s="2"/>
      <c r="T38" s="2"/>
    </row>
    <row r="39" spans="1:20">
      <c r="A39" s="178" t="str">
        <f>"IC"&amp;COVER!C$15&amp;COVER!C$23&amp;"-"&amp;COVER!C$22&amp;F39</f>
        <v>IC15N240610-1023</v>
      </c>
      <c r="B39" s="179" t="s">
        <v>190</v>
      </c>
      <c r="C39" s="182" t="str">
        <f>IF('Investigator Data'!B18="","",'Investigator Data'!B18)</f>
        <v xml:space="preserve">20240407_E2_E </v>
      </c>
      <c r="D39" s="304">
        <f>IF('Investigator Data'!C18="",$D$8,'Investigator Data'!C18)</f>
        <v>30</v>
      </c>
      <c r="E39" s="463">
        <v>29.864000000000001</v>
      </c>
      <c r="F39" s="181">
        <f t="shared" si="0"/>
        <v>23</v>
      </c>
      <c r="G39"/>
      <c r="H39" s="2"/>
      <c r="T39" s="2"/>
    </row>
    <row r="40" spans="1:20">
      <c r="A40" s="178" t="str">
        <f>"IC"&amp;COVER!C$15&amp;COVER!C$23&amp;"-"&amp;COVER!C$22&amp;F40</f>
        <v>IC15N240610-1024</v>
      </c>
      <c r="B40" s="179" t="s">
        <v>191</v>
      </c>
      <c r="C40" s="182" t="str">
        <f>IF('Investigator Data'!B19="","",'Investigator Data'!B19)</f>
        <v xml:space="preserve">20240407_E2_F </v>
      </c>
      <c r="D40" s="304">
        <f>IF('Investigator Data'!C19="",$D$8,'Investigator Data'!C19)</f>
        <v>30</v>
      </c>
      <c r="E40" s="463">
        <v>32.372999999999998</v>
      </c>
      <c r="F40" s="181">
        <f t="shared" si="0"/>
        <v>24</v>
      </c>
      <c r="G40"/>
      <c r="H40" s="2"/>
      <c r="T40" s="2"/>
    </row>
    <row r="41" spans="1:20">
      <c r="A41" s="178" t="str">
        <f>"IC"&amp;COVER!C$15&amp;COVER!C$23&amp;"-"&amp;COVER!C$22&amp;F41</f>
        <v>IC15N240610-1025</v>
      </c>
      <c r="B41" s="179" t="s">
        <v>171</v>
      </c>
      <c r="C41" s="182" t="str">
        <f>IF('Investigator Data'!B20="","",'Investigator Data'!B20)</f>
        <v xml:space="preserve">20240407_E2_G </v>
      </c>
      <c r="D41" s="304">
        <f>IF('Investigator Data'!C20="",$D$8,'Investigator Data'!C20)</f>
        <v>30</v>
      </c>
      <c r="E41" s="463">
        <v>28.431000000000001</v>
      </c>
      <c r="F41" s="181">
        <f t="shared" si="0"/>
        <v>25</v>
      </c>
      <c r="G41"/>
      <c r="H41" s="2"/>
      <c r="T41" s="2"/>
    </row>
    <row r="42" spans="1:20">
      <c r="A42" s="178" t="str">
        <f>"IC"&amp;COVER!C$15&amp;COVER!C$23&amp;"-"&amp;COVER!C$22&amp;F42</f>
        <v>IC15N240610-1026</v>
      </c>
      <c r="B42" s="179" t="s">
        <v>53</v>
      </c>
      <c r="C42" s="182" t="str">
        <f>IF('Investigator Data'!B21="","",'Investigator Data'!B21)</f>
        <v xml:space="preserve">20240407_E3_A </v>
      </c>
      <c r="D42" s="304">
        <f>IF('Investigator Data'!C21="",$D$8,'Investigator Data'!C21)</f>
        <v>30</v>
      </c>
      <c r="E42" s="463">
        <v>29.460999999999999</v>
      </c>
      <c r="F42" s="181">
        <f t="shared" si="0"/>
        <v>26</v>
      </c>
      <c r="G42"/>
      <c r="H42" s="2"/>
      <c r="T42" s="2"/>
    </row>
    <row r="43" spans="1:20">
      <c r="A43" s="178" t="str">
        <f>"IC"&amp;COVER!C$15&amp;COVER!C$23&amp;"-"&amp;COVER!C$22&amp;F43</f>
        <v>IC15N240610-1027</v>
      </c>
      <c r="B43" s="179" t="s">
        <v>54</v>
      </c>
      <c r="C43" s="180" t="s">
        <v>34</v>
      </c>
      <c r="D43" s="303"/>
      <c r="E43" s="463" t="s">
        <v>400</v>
      </c>
      <c r="F43" s="181">
        <f>F42+1</f>
        <v>27</v>
      </c>
      <c r="G43"/>
      <c r="H43" s="2"/>
      <c r="T43" s="2"/>
    </row>
    <row r="44" spans="1:20">
      <c r="A44" s="178" t="str">
        <f>"IC"&amp;COVER!C$15&amp;COVER!C$23&amp;"-"&amp;COVER!C$22&amp;F44</f>
        <v>IC15N240610-1028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1.194</v>
      </c>
      <c r="F44" s="181">
        <f t="shared" si="0"/>
        <v>28</v>
      </c>
      <c r="G44"/>
      <c r="H44" s="2"/>
      <c r="T44" s="2"/>
    </row>
    <row r="45" spans="1:20">
      <c r="A45" s="178" t="str">
        <f>"IC"&amp;COVER!C$15&amp;COVER!C$23&amp;"-"&amp;COVER!C$22&amp;F45</f>
        <v>IC15N240610-1029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0.99299999999999999</v>
      </c>
      <c r="F45" s="181">
        <f t="shared" si="0"/>
        <v>29</v>
      </c>
      <c r="G45"/>
      <c r="H45" s="2"/>
      <c r="T45" s="2"/>
    </row>
    <row r="46" spans="1:20">
      <c r="A46" s="178" t="str">
        <f>"IC"&amp;COVER!C$15&amp;COVER!C$23&amp;"-"&amp;COVER!C$22&amp;F46</f>
        <v>IC15N240610-1030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1.4079999999999999</v>
      </c>
      <c r="F46" s="181">
        <f t="shared" si="0"/>
        <v>30</v>
      </c>
      <c r="G46"/>
      <c r="H46" s="2"/>
      <c r="T46" s="2"/>
    </row>
    <row r="47" spans="1:20">
      <c r="A47" s="178" t="str">
        <f>"IC"&amp;COVER!C$15&amp;COVER!C$23&amp;"-"&amp;COVER!C$22&amp;F47</f>
        <v>IC15N240610-1031</v>
      </c>
      <c r="B47" s="179" t="s">
        <v>58</v>
      </c>
      <c r="C47" s="180" t="str">
        <f>C12</f>
        <v>NBS 1575 Pine Needles</v>
      </c>
      <c r="D47" s="303">
        <f>$D$12</f>
        <v>6.5</v>
      </c>
      <c r="E47" s="463">
        <v>6.4219999999999997</v>
      </c>
      <c r="F47" s="181">
        <f t="shared" si="0"/>
        <v>31</v>
      </c>
      <c r="G47"/>
      <c r="H47" s="2"/>
      <c r="T47" s="2"/>
    </row>
    <row r="48" spans="1:20">
      <c r="A48" s="178" t="str">
        <f>"IC"&amp;COVER!C$15&amp;COVER!C$23&amp;"-"&amp;COVER!C$22&amp;F48</f>
        <v>IC15N240610-1032</v>
      </c>
      <c r="B48" s="179" t="s">
        <v>59</v>
      </c>
      <c r="C48" s="183" t="str">
        <f>IF('Investigator Data'!B22="","",'Investigator Data'!B22)</f>
        <v>20240407_E3_A_Dup</v>
      </c>
      <c r="D48" s="304">
        <f>IF('Investigator Data'!C22="",$D$8,'Investigator Data'!C22)</f>
        <v>30</v>
      </c>
      <c r="E48" s="463">
        <v>30.619</v>
      </c>
      <c r="F48" s="181">
        <f t="shared" si="0"/>
        <v>32</v>
      </c>
      <c r="G48"/>
      <c r="H48" s="2"/>
      <c r="T48" s="2"/>
    </row>
    <row r="49" spans="1:20">
      <c r="A49" s="178" t="str">
        <f>"IC"&amp;COVER!C$15&amp;COVER!C$23&amp;"-"&amp;COVER!C$22&amp;F49</f>
        <v>IC15N240610-1033</v>
      </c>
      <c r="B49" s="179" t="s">
        <v>192</v>
      </c>
      <c r="C49" s="183" t="str">
        <f>IF('Investigator Data'!B23="","",'Investigator Data'!B23)</f>
        <v xml:space="preserve">20240407_E3_B </v>
      </c>
      <c r="D49" s="304">
        <f>IF('Investigator Data'!C23="",$D$8,'Investigator Data'!C23)</f>
        <v>30</v>
      </c>
      <c r="E49" s="463">
        <v>30.324000000000002</v>
      </c>
      <c r="F49" s="181">
        <f t="shared" si="0"/>
        <v>33</v>
      </c>
      <c r="G49"/>
      <c r="H49" s="2"/>
      <c r="T49" s="2"/>
    </row>
    <row r="50" spans="1:20">
      <c r="A50" s="178" t="str">
        <f>"IC"&amp;COVER!C$15&amp;COVER!C$23&amp;"-"&amp;COVER!C$22&amp;F50</f>
        <v>IC15N240610-1034</v>
      </c>
      <c r="B50" s="179" t="s">
        <v>193</v>
      </c>
      <c r="C50" s="183" t="str">
        <f>IF('Investigator Data'!B24="","",'Investigator Data'!B24)</f>
        <v xml:space="preserve">20240407_E3_C </v>
      </c>
      <c r="D50" s="304">
        <f>IF('Investigator Data'!C24="",$D$8,'Investigator Data'!C24)</f>
        <v>30</v>
      </c>
      <c r="E50" s="463">
        <v>30.187000000000001</v>
      </c>
      <c r="F50" s="181">
        <f t="shared" si="0"/>
        <v>34</v>
      </c>
      <c r="G50"/>
      <c r="H50" s="2"/>
      <c r="T50" s="2"/>
    </row>
    <row r="51" spans="1:20">
      <c r="A51" s="178" t="str">
        <f>"IC"&amp;COVER!C$15&amp;COVER!C$23&amp;"-"&amp;COVER!C$22&amp;F51</f>
        <v>IC15N240610-1035</v>
      </c>
      <c r="B51" s="179" t="s">
        <v>194</v>
      </c>
      <c r="C51" s="183" t="str">
        <f>IF('Investigator Data'!B25="","",'Investigator Data'!B25)</f>
        <v xml:space="preserve">20240407_E3_D </v>
      </c>
      <c r="D51" s="304">
        <f>IF('Investigator Data'!C25="",$D$8,'Investigator Data'!C25)</f>
        <v>30</v>
      </c>
      <c r="E51" s="463">
        <v>29.254999999999999</v>
      </c>
      <c r="F51" s="181">
        <f t="shared" si="0"/>
        <v>35</v>
      </c>
      <c r="G51"/>
      <c r="H51" s="2"/>
      <c r="T51" s="2"/>
    </row>
    <row r="52" spans="1:20">
      <c r="A52" s="178" t="str">
        <f>"IC"&amp;COVER!C$15&amp;COVER!C$23&amp;"-"&amp;COVER!C$22&amp;F52</f>
        <v>IC15N240610-1036</v>
      </c>
      <c r="B52" s="179" t="s">
        <v>195</v>
      </c>
      <c r="C52" s="183" t="str">
        <f>IF('Investigator Data'!B26="","",'Investigator Data'!B26)</f>
        <v xml:space="preserve">20240407_E3_E </v>
      </c>
      <c r="D52" s="304">
        <f>IF('Investigator Data'!C26="",$D$8,'Investigator Data'!C26)</f>
        <v>30</v>
      </c>
      <c r="E52" s="463">
        <v>28.218</v>
      </c>
      <c r="F52" s="181">
        <f t="shared" si="0"/>
        <v>36</v>
      </c>
      <c r="G52"/>
      <c r="H52" s="2"/>
      <c r="T52" s="2"/>
    </row>
    <row r="53" spans="1:20">
      <c r="A53" s="178" t="str">
        <f>"IC"&amp;COVER!C$15&amp;COVER!C$23&amp;"-"&amp;COVER!C$22&amp;F53</f>
        <v>IC15N240610-1037</v>
      </c>
      <c r="B53" s="179" t="s">
        <v>60</v>
      </c>
      <c r="C53" s="183" t="str">
        <f>IF('Investigator Data'!B27="","",'Investigator Data'!B27)</f>
        <v xml:space="preserve">20240407_E3_F </v>
      </c>
      <c r="D53" s="304">
        <f>IF('Investigator Data'!C27="",$D$8,'Investigator Data'!C27)</f>
        <v>30</v>
      </c>
      <c r="E53" s="463">
        <v>29.16</v>
      </c>
      <c r="F53" s="181">
        <f t="shared" si="0"/>
        <v>37</v>
      </c>
      <c r="G53"/>
      <c r="H53" s="2"/>
      <c r="T53" s="2"/>
    </row>
    <row r="54" spans="1:20">
      <c r="A54" s="178" t="str">
        <f>"IC"&amp;COVER!C$15&amp;COVER!C$23&amp;"-"&amp;COVER!C$22&amp;F54</f>
        <v>IC15N240610-1038</v>
      </c>
      <c r="B54" s="179" t="s">
        <v>61</v>
      </c>
      <c r="C54" s="183" t="str">
        <f>IF('Investigator Data'!B28="","",'Investigator Data'!B28)</f>
        <v xml:space="preserve">20240407_E3_G </v>
      </c>
      <c r="D54" s="304">
        <f>IF('Investigator Data'!C28="",$D$8,'Investigator Data'!C28)</f>
        <v>30</v>
      </c>
      <c r="E54" s="463">
        <v>28.614999999999998</v>
      </c>
      <c r="F54" s="181">
        <f t="shared" si="0"/>
        <v>38</v>
      </c>
      <c r="G54"/>
      <c r="H54" s="2"/>
      <c r="T54" s="2"/>
    </row>
    <row r="55" spans="1:20">
      <c r="A55" s="178" t="str">
        <f>"IC"&amp;COVER!C$15&amp;COVER!C$23&amp;"-"&amp;COVER!C$22&amp;F55</f>
        <v>IC15N240610-1039</v>
      </c>
      <c r="B55" s="179" t="s">
        <v>62</v>
      </c>
      <c r="C55" s="183" t="str">
        <f>IF('Investigator Data'!B29="","",'Investigator Data'!B29)</f>
        <v xml:space="preserve">20240407_E3_H </v>
      </c>
      <c r="D55" s="304">
        <f>IF('Investigator Data'!C29="",$D$8,'Investigator Data'!C29)</f>
        <v>30</v>
      </c>
      <c r="E55" s="463">
        <v>28.013000000000002</v>
      </c>
      <c r="F55" s="181">
        <f t="shared" si="0"/>
        <v>39</v>
      </c>
      <c r="G55"/>
      <c r="H55" s="2"/>
      <c r="T55" s="2"/>
    </row>
    <row r="56" spans="1:20">
      <c r="A56" s="178" t="str">
        <f>"IC"&amp;COVER!C$15&amp;COVER!C$23&amp;"-"&amp;COVER!C$22&amp;F56</f>
        <v>IC15N240610-1040</v>
      </c>
      <c r="B56" s="179" t="s">
        <v>63</v>
      </c>
      <c r="C56" s="183" t="str">
        <f>IF('Investigator Data'!B30="","",'Investigator Data'!B30)</f>
        <v xml:space="preserve">20240407_E3_I </v>
      </c>
      <c r="D56" s="304">
        <f>IF('Investigator Data'!C30="",$D$8,'Investigator Data'!C30)</f>
        <v>30</v>
      </c>
      <c r="E56" s="463">
        <v>28.969000000000001</v>
      </c>
      <c r="F56" s="181">
        <f t="shared" si="0"/>
        <v>40</v>
      </c>
      <c r="G56"/>
      <c r="H56" s="2"/>
      <c r="T56" s="2"/>
    </row>
    <row r="57" spans="1:20">
      <c r="A57" s="178" t="str">
        <f>"IC"&amp;COVER!C$15&amp;COVER!C$23&amp;"-"&amp;COVER!C$22&amp;F57</f>
        <v>IC15N240610-1041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1.224</v>
      </c>
      <c r="F57" s="181">
        <f t="shared" si="0"/>
        <v>41</v>
      </c>
      <c r="G57"/>
      <c r="H57" s="2"/>
      <c r="T57" s="2"/>
    </row>
    <row r="58" spans="1:20">
      <c r="A58" s="178" t="str">
        <f>"IC"&amp;COVER!C$15&amp;COVER!C$23&amp;"-"&amp;COVER!C$22&amp;F58</f>
        <v>IC15N240610-1042</v>
      </c>
      <c r="B58" s="179" t="s">
        <v>65</v>
      </c>
      <c r="C58" s="183" t="str">
        <f>IF('Investigator Data'!B31="","",'Investigator Data'!B31)</f>
        <v xml:space="preserve">20240407_S2_A </v>
      </c>
      <c r="D58" s="304">
        <f>IF('Investigator Data'!C31="",$D$8,'Investigator Data'!C31)</f>
        <v>30</v>
      </c>
      <c r="E58" s="463">
        <v>30.315999999999999</v>
      </c>
      <c r="F58" s="181">
        <f t="shared" si="0"/>
        <v>42</v>
      </c>
      <c r="G58"/>
      <c r="H58" s="2"/>
      <c r="T58" s="2"/>
    </row>
    <row r="59" spans="1:20">
      <c r="A59" s="178" t="str">
        <f>"IC"&amp;COVER!C$15&amp;COVER!C$23&amp;"-"&amp;COVER!C$22&amp;F59</f>
        <v>IC15N240610-1043</v>
      </c>
      <c r="B59" s="179" t="s">
        <v>11</v>
      </c>
      <c r="C59" s="183" t="str">
        <f>IF('Investigator Data'!B32="","",'Investigator Data'!B32)</f>
        <v xml:space="preserve">20240407_S2_B </v>
      </c>
      <c r="D59" s="304">
        <f>IF('Investigator Data'!C32="",$D$8,'Investigator Data'!C32)</f>
        <v>30</v>
      </c>
      <c r="E59" s="463">
        <v>31.265000000000001</v>
      </c>
      <c r="F59" s="181">
        <f t="shared" si="0"/>
        <v>43</v>
      </c>
      <c r="G59"/>
      <c r="H59" s="2"/>
      <c r="T59" s="2"/>
    </row>
    <row r="60" spans="1:20">
      <c r="A60" s="178" t="str">
        <f>"IC"&amp;COVER!C$15&amp;COVER!C$23&amp;"-"&amp;COVER!C$22&amp;F60</f>
        <v>IC15N240610-1044</v>
      </c>
      <c r="B60" s="179" t="s">
        <v>12</v>
      </c>
      <c r="C60" s="183" t="str">
        <f>IF('Investigator Data'!B33="","",'Investigator Data'!B33)</f>
        <v xml:space="preserve">20240407_S2_C </v>
      </c>
      <c r="D60" s="304">
        <f>IF('Investigator Data'!C33="",$D$8,'Investigator Data'!C33)</f>
        <v>30</v>
      </c>
      <c r="E60" s="463">
        <v>30.428000000000001</v>
      </c>
      <c r="F60" s="181">
        <f t="shared" si="0"/>
        <v>44</v>
      </c>
      <c r="G60"/>
      <c r="H60" s="2"/>
      <c r="T60" s="2"/>
    </row>
    <row r="61" spans="1:20">
      <c r="A61" s="178" t="str">
        <f>"IC"&amp;COVER!C$15&amp;COVER!C$23&amp;"-"&amp;COVER!C$22&amp;F61</f>
        <v>IC15N240610-1045</v>
      </c>
      <c r="B61" s="179" t="s">
        <v>196</v>
      </c>
      <c r="C61" s="183" t="str">
        <f>IF('Investigator Data'!B34="","",'Investigator Data'!B34)</f>
        <v xml:space="preserve">20240407_S2_D </v>
      </c>
      <c r="D61" s="304">
        <f>IF('Investigator Data'!C34="",$D$8,'Investigator Data'!C34)</f>
        <v>30</v>
      </c>
      <c r="E61" s="463">
        <v>31.658999999999999</v>
      </c>
      <c r="F61" s="181">
        <f t="shared" si="0"/>
        <v>45</v>
      </c>
      <c r="G61"/>
      <c r="H61" s="2"/>
      <c r="T61" s="2"/>
    </row>
    <row r="62" spans="1:20">
      <c r="A62" s="178" t="str">
        <f>"IC"&amp;COVER!C$15&amp;COVER!C$23&amp;"-"&amp;COVER!C$22&amp;F62</f>
        <v>IC15N240610-1046</v>
      </c>
      <c r="B62" s="179" t="s">
        <v>197</v>
      </c>
      <c r="C62" s="183" t="str">
        <f>IF('Investigator Data'!B35="","",'Investigator Data'!B35)</f>
        <v xml:space="preserve">20240407_S2_E </v>
      </c>
      <c r="D62" s="304">
        <f>IF('Investigator Data'!C35="",$D$8,'Investigator Data'!C35)</f>
        <v>30</v>
      </c>
      <c r="E62" s="463">
        <v>29.021999999999998</v>
      </c>
      <c r="F62" s="181">
        <f t="shared" si="0"/>
        <v>46</v>
      </c>
      <c r="G62"/>
      <c r="H62" s="2"/>
      <c r="T62" s="2"/>
    </row>
    <row r="63" spans="1:20">
      <c r="A63" s="178" t="str">
        <f>"IC"&amp;COVER!C$15&amp;COVER!C$23&amp;"-"&amp;COVER!C$22&amp;F63</f>
        <v>IC15N240610-1047</v>
      </c>
      <c r="B63" s="179" t="s">
        <v>198</v>
      </c>
      <c r="C63" s="183" t="str">
        <f>IF('Investigator Data'!B36="","",'Investigator Data'!B36)</f>
        <v xml:space="preserve">20240407_S2_F </v>
      </c>
      <c r="D63" s="304">
        <f>IF('Investigator Data'!C36="",$D$8,'Investigator Data'!C36)</f>
        <v>30</v>
      </c>
      <c r="E63" s="463">
        <v>30.54</v>
      </c>
      <c r="F63" s="181">
        <f t="shared" si="0"/>
        <v>47</v>
      </c>
      <c r="G63"/>
      <c r="H63" s="2"/>
      <c r="T63" s="2"/>
    </row>
    <row r="64" spans="1:20">
      <c r="A64" s="178" t="str">
        <f>"IC"&amp;COVER!C$15&amp;COVER!C$23&amp;"-"&amp;COVER!C$22&amp;F64</f>
        <v>IC15N240610-1048</v>
      </c>
      <c r="B64" s="179" t="s">
        <v>199</v>
      </c>
      <c r="C64" s="183" t="str">
        <f>IF('Investigator Data'!B37="","",'Investigator Data'!B37)</f>
        <v xml:space="preserve">20240407_S2_G </v>
      </c>
      <c r="D64" s="304">
        <f>IF('Investigator Data'!C37="",$D$8,'Investigator Data'!C37)</f>
        <v>30</v>
      </c>
      <c r="E64" s="463">
        <v>30.96</v>
      </c>
      <c r="F64" s="181">
        <f t="shared" si="0"/>
        <v>48</v>
      </c>
      <c r="G64"/>
      <c r="H64" s="2"/>
      <c r="T64" s="2"/>
    </row>
    <row r="65" spans="1:20">
      <c r="A65" s="178" t="str">
        <f>"IC"&amp;COVER!C$15&amp;COVER!C$23&amp;"-"&amp;COVER!C$22&amp;F65</f>
        <v>IC15N240610-1049</v>
      </c>
      <c r="B65" s="179" t="s">
        <v>13</v>
      </c>
      <c r="C65" s="183" t="str">
        <f>IF('Investigator Data'!B38="","",'Investigator Data'!B38)</f>
        <v>20240407_S2_H</v>
      </c>
      <c r="D65" s="304">
        <f>IF('Investigator Data'!C38="",$D$8,'Investigator Data'!C38)</f>
        <v>30</v>
      </c>
      <c r="E65" s="463">
        <v>29.221</v>
      </c>
      <c r="F65" s="181">
        <f t="shared" si="0"/>
        <v>49</v>
      </c>
      <c r="G65"/>
      <c r="H65" s="2"/>
      <c r="T65" s="2"/>
    </row>
    <row r="66" spans="1:20">
      <c r="A66" s="178" t="str">
        <f>"IC"&amp;COVER!C$15&amp;COVER!C$23&amp;"-"&amp;COVER!C$22&amp;F66</f>
        <v>IC15N240610-1050</v>
      </c>
      <c r="B66" s="179" t="s">
        <v>164</v>
      </c>
      <c r="C66" s="183" t="str">
        <f>IF('Investigator Data'!B39="","",'Investigator Data'!B39)</f>
        <v xml:space="preserve">20240407_S2_I </v>
      </c>
      <c r="D66" s="304">
        <f>IF('Investigator Data'!C39="",$D$8,'Investigator Data'!C39)</f>
        <v>30</v>
      </c>
      <c r="E66" s="463">
        <v>29.818999999999999</v>
      </c>
      <c r="F66" s="181">
        <f t="shared" si="0"/>
        <v>50</v>
      </c>
    </row>
    <row r="67" spans="1:20">
      <c r="A67" s="178" t="str">
        <f>"IC"&amp;COVER!C$15&amp;COVER!C$23&amp;"-"&amp;COVER!C$22&amp;F67</f>
        <v>IC15N240610-1051</v>
      </c>
      <c r="B67" s="179" t="s">
        <v>165</v>
      </c>
      <c r="C67" s="410" t="str">
        <f>IF('Investigator Data'!B4="","","R1-"&amp;'Investigator Data'!B4)</f>
        <v xml:space="preserve">R1-20231120_W1_H </v>
      </c>
      <c r="D67" s="304">
        <f>IF('Investigator Data'!C4="",$D$8,'Investigator Data'!C4)</f>
        <v>30</v>
      </c>
      <c r="E67" s="463">
        <v>29.620999999999999</v>
      </c>
      <c r="F67" s="181">
        <f t="shared" si="0"/>
        <v>51</v>
      </c>
    </row>
    <row r="68" spans="1:20">
      <c r="A68" s="178" t="str">
        <f>"IC"&amp;COVER!C$15&amp;COVER!C$23&amp;"-"&amp;COVER!C$22&amp;F68</f>
        <v>IC15N240610-1052</v>
      </c>
      <c r="B68" s="179" t="s">
        <v>166</v>
      </c>
      <c r="C68" s="180" t="s">
        <v>34</v>
      </c>
      <c r="D68" s="303"/>
      <c r="E68" s="463" t="s">
        <v>400</v>
      </c>
      <c r="F68" s="181">
        <f t="shared" si="0"/>
        <v>52</v>
      </c>
    </row>
    <row r="69" spans="1:20">
      <c r="A69" s="178" t="str">
        <f>"IC"&amp;COVER!C$15&amp;COVER!C$23&amp;"-"&amp;COVER!C$22&amp;F69</f>
        <v>IC15N240610-1053</v>
      </c>
      <c r="B69" s="179" t="s">
        <v>167</v>
      </c>
      <c r="C69" s="180" t="str">
        <f>$C$9</f>
        <v>ISIRF Ulva</v>
      </c>
      <c r="D69" s="303">
        <f>$D$9</f>
        <v>1.2</v>
      </c>
      <c r="E69" s="464">
        <v>1.238</v>
      </c>
      <c r="F69" s="181">
        <f t="shared" si="0"/>
        <v>53</v>
      </c>
    </row>
    <row r="70" spans="1:20">
      <c r="A70" s="178" t="str">
        <f>"IC"&amp;COVER!C$15&amp;COVER!C$23&amp;"-"&amp;COVER!C$22&amp;F70</f>
        <v>IC15N240610-1054</v>
      </c>
      <c r="B70" s="179" t="s">
        <v>168</v>
      </c>
      <c r="C70" s="180" t="str">
        <f>$C$10</f>
        <v>ISIRF Chitin</v>
      </c>
      <c r="D70" s="303">
        <f>$D$10</f>
        <v>1</v>
      </c>
      <c r="E70" s="464">
        <v>0.95499999999999996</v>
      </c>
      <c r="F70" s="181">
        <f t="shared" si="0"/>
        <v>54</v>
      </c>
    </row>
    <row r="71" spans="1:20">
      <c r="A71" s="178" t="str">
        <f>"IC"&amp;COVER!C$15&amp;COVER!C$23&amp;"-"&amp;COVER!C$22&amp;F71</f>
        <v>IC15N240610-1055</v>
      </c>
      <c r="B71" s="179" t="s">
        <v>169</v>
      </c>
      <c r="C71" s="180" t="str">
        <f>$C$11</f>
        <v>ISIRF Bamboo</v>
      </c>
      <c r="D71" s="303">
        <f>$D$11</f>
        <v>1.5</v>
      </c>
      <c r="E71" s="463">
        <v>1.61</v>
      </c>
      <c r="F71" s="181">
        <f t="shared" si="0"/>
        <v>55</v>
      </c>
    </row>
    <row r="72" spans="1:20">
      <c r="A72" s="440" t="str">
        <f>"IC"&amp;COVER!C$15&amp;COVER!C$23&amp;"-"&amp;COVER!C$22&amp;F72</f>
        <v>IC15N240610-1056</v>
      </c>
      <c r="B72" s="441" t="s">
        <v>170</v>
      </c>
      <c r="C72" s="442" t="str">
        <f>C12</f>
        <v>NBS 1575 Pine Needles</v>
      </c>
      <c r="D72" s="443">
        <f>$D$12</f>
        <v>6.5</v>
      </c>
      <c r="E72" s="465">
        <v>6.4589999999999996</v>
      </c>
      <c r="F72" s="444">
        <f t="shared" si="0"/>
        <v>56</v>
      </c>
    </row>
    <row r="73" spans="1:20">
      <c r="B73" s="439"/>
    </row>
    <row r="74" spans="1:20">
      <c r="B74" s="439"/>
    </row>
    <row r="75" spans="1:20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topLeftCell="A7" workbookViewId="0">
      <selection activeCell="C41" sqref="C41:O42"/>
    </sheetView>
  </sheetViews>
  <sheetFormatPr defaultColWidth="9.140625" defaultRowHeight="12.75"/>
  <cols>
    <col min="1" max="1" width="12.7109375" style="26" customWidth="1"/>
    <col min="2" max="2" width="27" style="26" customWidth="1"/>
    <col min="3" max="3" width="19.5703125" style="26" customWidth="1"/>
    <col min="4" max="4" width="18.7109375" style="26" bestFit="1" customWidth="1"/>
    <col min="5" max="5" width="11.42578125" style="26" bestFit="1" customWidth="1"/>
    <col min="6" max="6" width="7.7109375" style="46" customWidth="1"/>
    <col min="7" max="7" width="8.85546875" style="46" bestFit="1" customWidth="1"/>
    <col min="8" max="9" width="10" style="46" bestFit="1" customWidth="1"/>
    <col min="10" max="10" width="8.42578125" style="46" bestFit="1" customWidth="1"/>
    <col min="11" max="11" width="8.5703125" style="46" bestFit="1" customWidth="1"/>
    <col min="12" max="12" width="10" style="46" bestFit="1" customWidth="1"/>
    <col min="13" max="13" width="11.42578125" style="46" customWidth="1"/>
    <col min="14" max="14" width="10.42578125" style="45" customWidth="1"/>
    <col min="15" max="15" width="8.5703125" style="45" customWidth="1"/>
    <col min="16" max="16" width="6.7109375" style="45" customWidth="1"/>
    <col min="17" max="17" width="12.85546875" style="45" customWidth="1"/>
    <col min="18" max="16384" width="9.14062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>
      <c r="A2" s="49"/>
      <c r="B2" s="49"/>
      <c r="C2" s="49"/>
      <c r="D2" s="49"/>
      <c r="E2" s="52" t="s">
        <v>10</v>
      </c>
      <c r="F2" s="53" t="str">
        <f>COVER!C2</f>
        <v>IC15N-240610-10KansasROAR-3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.5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" thickTop="1">
      <c r="A4" s="56" t="s">
        <v>91</v>
      </c>
      <c r="B4" s="57"/>
      <c r="C4" s="58"/>
      <c r="D4" s="59"/>
      <c r="E4" s="60" t="s">
        <v>211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228</v>
      </c>
      <c r="L5" s="72" t="s">
        <v>94</v>
      </c>
      <c r="M5" s="73" t="s">
        <v>218</v>
      </c>
      <c r="N5" s="74"/>
      <c r="O5" s="75">
        <f>IF(SUM(L7:L11)&lt;2,"",SQRT((SUMPRODUCT(F6:F11,L6:L11))/SUM(L6:L11)))</f>
        <v>9.4935306404261482E-2</v>
      </c>
      <c r="P5" s="26"/>
      <c r="Q5" s="26"/>
    </row>
    <row r="6" spans="1:17" ht="14.25" thickTop="1" thickBot="1">
      <c r="A6" s="76" t="s">
        <v>138</v>
      </c>
      <c r="B6" s="77"/>
      <c r="C6" s="78" t="str">
        <f>'ISIRF 13C'!A7</f>
        <v>NBS 1575 Pine Needles</v>
      </c>
      <c r="D6" s="376">
        <f>'ISIRF 13C'!C7</f>
        <v>-25.808177691861903</v>
      </c>
      <c r="E6" s="133">
        <f>'ISIRF 13C'!B33</f>
        <v>-26.105914461943119</v>
      </c>
      <c r="F6" s="133">
        <f>'ISIRF 13C'!C33</f>
        <v>7.2247378151451182E-3</v>
      </c>
      <c r="G6" s="107">
        <f>'ISIRF 13C'!D33</f>
        <v>8.4998457722155862E-2</v>
      </c>
      <c r="H6" s="106">
        <f>'ISIRF 13C'!D7</f>
        <v>52.254103751499997</v>
      </c>
      <c r="I6" s="108">
        <f>'ISIRF 13C'!E33</f>
        <v>52.024009069999991</v>
      </c>
      <c r="J6" s="108">
        <f>'ISIRF 13C'!F33</f>
        <v>6.9584604500184042E-7</v>
      </c>
      <c r="K6" s="391">
        <f>'ISIRF 13C'!G33</f>
        <v>1.6034401897871139E-5</v>
      </c>
      <c r="L6" s="400">
        <f>'ISIRF 13C'!H33</f>
        <v>2</v>
      </c>
      <c r="M6" s="82" t="s">
        <v>89</v>
      </c>
      <c r="N6" s="83"/>
      <c r="O6" s="84">
        <f>AVERAGE(K6:K11)</f>
        <v>2.0959315876713614E-2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-12.908342174462845</v>
      </c>
      <c r="F7" s="99">
        <f>'ISIRF 13C'!C30</f>
        <v>9.8343252480256813E-3</v>
      </c>
      <c r="G7" s="100">
        <f>'ISIRF 13C'!D30</f>
        <v>9.9168166505314001E-2</v>
      </c>
      <c r="H7" s="101">
        <f>'ISIRF 13C'!D4</f>
        <v>33.294437556499993</v>
      </c>
      <c r="I7" s="99">
        <f>'ISIRF 13C'!E30</f>
        <v>33.411700279999998</v>
      </c>
      <c r="J7" s="99">
        <f>'ISIRF 13C'!F30</f>
        <v>0.10188404225754244</v>
      </c>
      <c r="K7" s="100">
        <f>'ISIRF 13C'!G30</f>
        <v>9.5533239932803805E-3</v>
      </c>
      <c r="L7" s="401">
        <f>'ISIRF 13C'!H30</f>
        <v>4</v>
      </c>
      <c r="M7" s="88" t="s">
        <v>82</v>
      </c>
      <c r="N7" s="89"/>
      <c r="O7" s="90"/>
      <c r="P7" s="26"/>
      <c r="Q7" s="26"/>
    </row>
    <row r="8" spans="1:17" ht="14.2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-21.136116096316769</v>
      </c>
      <c r="F8" s="106">
        <f>'ISIRF 13C'!C31</f>
        <v>3.2389547247419466E-3</v>
      </c>
      <c r="G8" s="377">
        <f>'ISIRF 13C'!D31</f>
        <v>5.6911815335147643E-2</v>
      </c>
      <c r="H8" s="378">
        <f>'ISIRF 13C'!D5</f>
        <v>44.925158736166672</v>
      </c>
      <c r="I8" s="103">
        <f>'ISIRF 13C'!E31</f>
        <v>44.912883219999998</v>
      </c>
      <c r="J8" s="103">
        <f>'ISIRF 13C'!F31</f>
        <v>3.9224865702009857</v>
      </c>
      <c r="K8" s="104">
        <f>'ISIRF 13C'!G31</f>
        <v>4.4097076375037722E-2</v>
      </c>
      <c r="L8" s="402">
        <f>'ISIRF 13C'!H31</f>
        <v>2</v>
      </c>
      <c r="M8" s="73" t="s">
        <v>218</v>
      </c>
      <c r="N8" s="74"/>
      <c r="O8" s="75">
        <f>IF(COUNT(E6:E7)=0,"",D6-E6)</f>
        <v>0.29773677008121524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-30.320925247824693</v>
      </c>
      <c r="F9" s="103">
        <f>'ISIRF 13C'!C32</f>
        <v>1.6568325947574021E-2</v>
      </c>
      <c r="G9" s="104">
        <f>'ISIRF 13C'!D32</f>
        <v>0.12871800941427747</v>
      </c>
      <c r="H9" s="378">
        <f>'ISIRF 13C'!D6</f>
        <v>45.850178489166666</v>
      </c>
      <c r="I9" s="381">
        <f>'ISIRF 13C'!E32</f>
        <v>45.641942520000001</v>
      </c>
      <c r="J9" s="106">
        <f>'ISIRF 13C'!F32</f>
        <v>0.13094744976231004</v>
      </c>
      <c r="K9" s="106">
        <f>'ISIRF 13C'!G32</f>
        <v>7.9283790033026057E-3</v>
      </c>
      <c r="L9" s="403">
        <f>'ISIRF 13C'!H32</f>
        <v>2</v>
      </c>
      <c r="M9" s="96" t="s">
        <v>89</v>
      </c>
      <c r="N9" s="97"/>
      <c r="O9" s="98">
        <f>(H6-I6)</f>
        <v>0.230094681500006</v>
      </c>
      <c r="P9" s="42"/>
      <c r="Q9" s="26"/>
    </row>
    <row r="10" spans="1:17" ht="14.25" thickTop="1" thickBot="1">
      <c r="A10" s="85" t="s">
        <v>92</v>
      </c>
      <c r="B10" s="86"/>
      <c r="C10" s="87" t="str">
        <f>'Investigator Data'!B4</f>
        <v xml:space="preserve">20231120_W1_H </v>
      </c>
      <c r="D10" s="101"/>
      <c r="E10" s="99">
        <f>'ISIRF 13C'!B28</f>
        <v>-16.912340873234164</v>
      </c>
      <c r="F10" s="99">
        <f>'ISIRF 13C'!C28</f>
        <v>1.6208027896724358E-2</v>
      </c>
      <c r="G10" s="100">
        <f>'ISIRF 13C'!D28</f>
        <v>0.12731075326430347</v>
      </c>
      <c r="H10" s="101"/>
      <c r="I10" s="99">
        <f>'ISIRF 13C'!E28</f>
        <v>1.34605697</v>
      </c>
      <c r="J10" s="99">
        <f>'ISIRF 13C'!F28</f>
        <v>1.7939822380721958E-3</v>
      </c>
      <c r="K10" s="100">
        <f>'ISIRF 13C'!G28</f>
        <v>3.1466296328079853E-2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20240407_E2_D </v>
      </c>
      <c r="D11" s="101"/>
      <c r="E11" s="99">
        <f>'ISIRF 13C'!B29</f>
        <v>-16.681564776788285</v>
      </c>
      <c r="F11" s="99">
        <f>'ISIRF 13C'!C29</f>
        <v>1.8028993426027099E-4</v>
      </c>
      <c r="G11" s="100">
        <f>'ISIRF 13C'!D29</f>
        <v>1.3427208729303012E-2</v>
      </c>
      <c r="H11" s="101"/>
      <c r="I11" s="99">
        <f>'ISIRF 13C'!E29</f>
        <v>2.1406121799999998</v>
      </c>
      <c r="J11" s="99">
        <f>'ISIRF 13C'!F29</f>
        <v>4.8981599194247542E-3</v>
      </c>
      <c r="K11" s="100">
        <f>'ISIRF 13C'!G29</f>
        <v>3.2694785158683265E-2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.5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" thickTop="1">
      <c r="A13" s="111" t="s">
        <v>95</v>
      </c>
      <c r="B13" s="57"/>
      <c r="C13" s="58"/>
      <c r="D13" s="396"/>
      <c r="E13" s="397" t="s">
        <v>212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229</v>
      </c>
      <c r="L14" s="79" t="s">
        <v>94</v>
      </c>
      <c r="M14" s="73" t="s">
        <v>219</v>
      </c>
      <c r="N14" s="74"/>
      <c r="O14" s="75">
        <f>IF(SUM(L16:L20)&lt;2,"",SQRT(SUMPRODUCT(F15:F20,L15:L20)/SUM(L15:L20)))</f>
        <v>7.9621565980580372E-2</v>
      </c>
      <c r="P14" s="26"/>
      <c r="Q14" s="26"/>
    </row>
    <row r="15" spans="1:17" ht="14.25" thickTop="1" thickBot="1">
      <c r="A15" s="76" t="s">
        <v>138</v>
      </c>
      <c r="B15" s="76"/>
      <c r="C15" s="112" t="str">
        <f>'ISIRF 15N'!A7</f>
        <v>NBS 1575 Pine Needles</v>
      </c>
      <c r="D15" s="380">
        <f>'ISIRF 15N'!C7</f>
        <v>0.36348602875537961</v>
      </c>
      <c r="E15" s="381">
        <f>'ISIRF 15N'!B33</f>
        <v>0.42044169192613307</v>
      </c>
      <c r="F15" s="381">
        <f>'ISIRF 15N'!C33</f>
        <v>7.3899689249120418E-6</v>
      </c>
      <c r="G15" s="382">
        <f>'ISIRF 15N'!D33</f>
        <v>2.718449728229684E-3</v>
      </c>
      <c r="H15" s="381">
        <f>'ISIRF 15N'!D7</f>
        <v>1.1397948813333334</v>
      </c>
      <c r="I15" s="381">
        <f>'ISIRF 15N'!E33</f>
        <v>1.2032679108000002</v>
      </c>
      <c r="J15" s="393">
        <f>'ISIRF 15N'!F33</f>
        <v>7.2406438715003486E-4</v>
      </c>
      <c r="K15" s="394">
        <f>'ISIRF 15N'!G33</f>
        <v>2.236280406950274E-2</v>
      </c>
      <c r="L15" s="407">
        <f>'ISIRF 15N'!H33</f>
        <v>2</v>
      </c>
      <c r="M15" s="82" t="s">
        <v>90</v>
      </c>
      <c r="N15" s="83"/>
      <c r="O15" s="84">
        <f>AVERAGE(K15:K20)</f>
        <v>3.2926320220623702E-2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7.4990078208573134</v>
      </c>
      <c r="F16" s="125">
        <f>'ISIRF 15N'!C30</f>
        <v>1.1729198928884519E-2</v>
      </c>
      <c r="G16" s="126">
        <f>'ISIRF 15N'!D30</f>
        <v>0.10830142625507995</v>
      </c>
      <c r="H16" s="124">
        <f>'ISIRF 15N'!D4</f>
        <v>4.2927354420000006</v>
      </c>
      <c r="I16" s="124">
        <f>'ISIRF 15N'!E30</f>
        <v>4.3407644940000001</v>
      </c>
      <c r="J16" s="384">
        <f>'ISIRF 15N'!F30</f>
        <v>6.7039955215331785E-3</v>
      </c>
      <c r="K16" s="126">
        <f>'ISIRF 15N'!G30</f>
        <v>1.8862559976837723E-2</v>
      </c>
      <c r="L16" s="404">
        <f>'ISIRF 15N'!H30</f>
        <v>4</v>
      </c>
      <c r="M16" s="88" t="s">
        <v>84</v>
      </c>
      <c r="N16" s="89"/>
      <c r="O16" s="90"/>
      <c r="P16" s="26"/>
      <c r="Q16" s="26"/>
    </row>
    <row r="17" spans="1:18" ht="14.2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-5.0058972923222811</v>
      </c>
      <c r="F17" s="384">
        <f>'ISIRF 15N'!C31</f>
        <v>2.7360349762213885E-3</v>
      </c>
      <c r="G17" s="385">
        <f>'ISIRF 15N'!D31</f>
        <v>5.2307121658731984E-2</v>
      </c>
      <c r="H17" s="129">
        <f>'ISIRF 15N'!D5</f>
        <v>6.5259674513333339</v>
      </c>
      <c r="I17" s="129">
        <f>'ISIRF 15N'!E31</f>
        <v>6.4227291336000008</v>
      </c>
      <c r="J17" s="130">
        <f>'ISIRF 15N'!F31</f>
        <v>4.5570604653504133E-2</v>
      </c>
      <c r="K17" s="131">
        <f>'ISIRF 15N'!G31</f>
        <v>3.3237074356271795E-2</v>
      </c>
      <c r="L17" s="405">
        <f>'ISIRF 15N'!H31</f>
        <v>2</v>
      </c>
      <c r="M17" s="73" t="s">
        <v>219</v>
      </c>
      <c r="N17" s="119"/>
      <c r="O17" s="75">
        <f>IF(COUNT(E15:E16)=0,"",D15-E15)</f>
        <v>-5.6955663170753457E-2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2.0658410833027863</v>
      </c>
      <c r="F18" s="386">
        <f>'ISIRF 15N'!C32</f>
        <v>9.8446797173808182E-3</v>
      </c>
      <c r="G18" s="387">
        <f>'ISIRF 15N'!D32</f>
        <v>9.922035938949636E-2</v>
      </c>
      <c r="H18" s="390">
        <f>'ISIRF 15N'!D6</f>
        <v>3.046377295333333</v>
      </c>
      <c r="I18" s="390">
        <f>'ISIRF 15N'!E32</f>
        <v>3.1142514767999998</v>
      </c>
      <c r="J18" s="386">
        <f>'ISIRF 15N'!F32</f>
        <v>3.6834690194814078E-3</v>
      </c>
      <c r="K18" s="386">
        <f>'ISIRF 15N'!G32</f>
        <v>1.9488339273736357E-2</v>
      </c>
      <c r="L18" s="406">
        <f>'ISIRF 15N'!H32</f>
        <v>2</v>
      </c>
      <c r="M18" s="96" t="s">
        <v>90</v>
      </c>
      <c r="N18" s="123"/>
      <c r="O18" s="98">
        <f>IF(COUNT(I15,I17:I18)=0,"",H15-I15)</f>
        <v>-6.3473029466666775E-2</v>
      </c>
      <c r="P18" s="26"/>
      <c r="Q18" s="26"/>
    </row>
    <row r="19" spans="1:18" ht="14.25" thickTop="1" thickBot="1">
      <c r="A19" s="113" t="s">
        <v>92</v>
      </c>
      <c r="B19" s="114"/>
      <c r="C19" s="112" t="str">
        <f>'Investigator Data'!B4</f>
        <v xml:space="preserve">20231120_W1_H </v>
      </c>
      <c r="D19" s="507"/>
      <c r="E19" s="508">
        <f>'ISIRF 15N'!B28</f>
        <v>6.031428072299617</v>
      </c>
      <c r="F19" s="508">
        <f>'ISIRF 15N'!C28</f>
        <v>1.5301549129830374E-3</v>
      </c>
      <c r="G19" s="509">
        <f>'ISIRF 15N'!D28</f>
        <v>3.9117194594999238E-2</v>
      </c>
      <c r="H19" s="390"/>
      <c r="I19" s="508">
        <f>'ISIRF 15N'!E28</f>
        <v>0.14011209960000001</v>
      </c>
      <c r="J19" s="508">
        <f>'ISIRF 15N'!F28</f>
        <v>1.037533147160859E-4</v>
      </c>
      <c r="K19" s="509">
        <f>'ISIRF 15N'!G28</f>
        <v>7.2698483104061823E-2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.25" thickTop="1" thickBot="1">
      <c r="A20" s="120" t="s">
        <v>93</v>
      </c>
      <c r="B20" s="121"/>
      <c r="C20" s="506" t="str">
        <f>'Investigator Data'!B17</f>
        <v xml:space="preserve">20240407_E2_D </v>
      </c>
      <c r="D20" s="507"/>
      <c r="E20" s="508">
        <f>'ISIRF 15N'!B29</f>
        <v>5.5573502688355099</v>
      </c>
      <c r="F20" s="508">
        <f>'ISIRF 15N'!C29</f>
        <v>6.8004989511202046E-3</v>
      </c>
      <c r="G20" s="509">
        <f>'ISIRF 15N'!D29</f>
        <v>8.2465137792404164E-2</v>
      </c>
      <c r="H20" s="390"/>
      <c r="I20" s="508">
        <f>'ISIRF 15N'!E29</f>
        <v>0.17976508560000001</v>
      </c>
      <c r="J20" s="508">
        <f>'ISIRF 15N'!F29</f>
        <v>3.0872447557631803E-5</v>
      </c>
      <c r="K20" s="509">
        <f>'ISIRF 15N'!G29</f>
        <v>3.0908660543331811E-2</v>
      </c>
      <c r="L20" s="510">
        <f>'ISIRF 15N'!H29</f>
        <v>2</v>
      </c>
      <c r="M20" s="51"/>
      <c r="N20" s="51"/>
      <c r="O20" s="51"/>
      <c r="P20" s="26"/>
      <c r="Q20" s="26"/>
    </row>
    <row r="21" spans="1:18" ht="14.2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" thickTop="1">
      <c r="A22" s="111" t="s">
        <v>205</v>
      </c>
      <c r="B22" s="57"/>
      <c r="C22" s="58"/>
      <c r="D22" s="396"/>
      <c r="E22" s="397" t="s">
        <v>213</v>
      </c>
      <c r="F22" s="398"/>
      <c r="G22" s="399"/>
      <c r="H22" s="398"/>
      <c r="I22" s="398" t="s">
        <v>181</v>
      </c>
      <c r="J22" s="398"/>
      <c r="K22" s="399"/>
      <c r="L22" s="396"/>
      <c r="M22" s="64" t="s">
        <v>214</v>
      </c>
      <c r="N22" s="65"/>
      <c r="O22" s="66"/>
      <c r="P22" s="26"/>
      <c r="Q22" s="26"/>
    </row>
    <row r="23" spans="1:18" ht="1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217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.25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216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215</v>
      </c>
      <c r="N25" s="89"/>
      <c r="O25" s="90"/>
      <c r="P25" s="26"/>
      <c r="Q25" s="26"/>
    </row>
    <row r="26" spans="1:18" ht="14.2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217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216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.5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.5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5.5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206</v>
      </c>
      <c r="I32" s="145" t="s">
        <v>220</v>
      </c>
      <c r="J32" s="146" t="s">
        <v>68</v>
      </c>
      <c r="K32" s="146" t="s">
        <v>225</v>
      </c>
      <c r="L32" s="144" t="s">
        <v>221</v>
      </c>
      <c r="M32" s="145" t="s">
        <v>222</v>
      </c>
      <c r="N32" s="146" t="s">
        <v>67</v>
      </c>
      <c r="O32" s="146" t="s">
        <v>210</v>
      </c>
      <c r="P32" s="542"/>
      <c r="Q32" s="542" t="s">
        <v>97</v>
      </c>
      <c r="R32" s="147"/>
    </row>
    <row r="33" spans="1:18">
      <c r="A33" s="581">
        <f>'ISIRF RAW'!$B$2</f>
        <v>0</v>
      </c>
      <c r="B33" s="544" t="str">
        <f>'ISIRF 15N'!B11</f>
        <v>IC15N-240517-10KansasRoar-3_3.raw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1.1850000000000001</v>
      </c>
      <c r="H33" s="325">
        <f>'ISIRF 15N'!H11</f>
        <v>6.1792265000000004</v>
      </c>
      <c r="I33" s="473">
        <f>'ISIRF 15N'!I11</f>
        <v>92401256</v>
      </c>
      <c r="J33" s="326">
        <f>'ISIRF 15N'!J11</f>
        <v>4.2263487527999999</v>
      </c>
      <c r="K33" s="326">
        <f>'ISIRF 15N'!K11</f>
        <v>7.473244440390558</v>
      </c>
      <c r="L33" s="545">
        <f>'ISIRF 13C'!H11</f>
        <v>6.6871105000000002</v>
      </c>
      <c r="M33" s="475">
        <f>'ISIRF 13C'!I11</f>
        <v>75266992</v>
      </c>
      <c r="N33" s="326">
        <f>'ISIRF 13C'!J11</f>
        <v>33.061533359999999</v>
      </c>
      <c r="O33" s="546">
        <f>'ISIRF 13C'!K11</f>
        <v>-12.764769934298311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3" t="str">
        <f>'ISIRF 15N'!B12</f>
        <v>IC15N-240517-10KansasRoar-3_16.raw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1.1919999999999999</v>
      </c>
      <c r="H34" s="331">
        <f>'ISIRF 15N'!H12</f>
        <v>6.2046400000000004</v>
      </c>
      <c r="I34" s="474">
        <f>'ISIRF 15N'!I12</f>
        <v>92824848</v>
      </c>
      <c r="J34" s="327">
        <f>'ISIRF 15N'!J12</f>
        <v>4.4139621527999999</v>
      </c>
      <c r="K34" s="327">
        <f>'ISIRF 15N'!K12</f>
        <v>7.6449363672198096</v>
      </c>
      <c r="L34" s="477">
        <f>'ISIRF 13C'!H12</f>
        <v>6.7517019999999999</v>
      </c>
      <c r="M34" s="476">
        <f>'ISIRF 13C'!I12</f>
        <v>75386424</v>
      </c>
      <c r="N34" s="327">
        <f>'ISIRF 13C'!J12</f>
        <v>33.255586960000002</v>
      </c>
      <c r="O34" s="328">
        <f>'ISIRF 13C'!K12</f>
        <v>-12.984883338412269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3" t="str">
        <f>'ISIRF 15N'!B13</f>
        <v>IC15N-240517-10KansasRoar-3_28.raw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1.194</v>
      </c>
      <c r="H35" s="331">
        <f>'ISIRF 15N'!H13</f>
        <v>6.2360835000000003</v>
      </c>
      <c r="I35" s="474">
        <f>'ISIRF 15N'!I13</f>
        <v>94908128</v>
      </c>
      <c r="J35" s="327">
        <f>'ISIRF 15N'!J13</f>
        <v>4.3412034791999998</v>
      </c>
      <c r="K35" s="327">
        <f>'ISIRF 15N'!K13</f>
        <v>7.3841125075325857</v>
      </c>
      <c r="L35" s="477">
        <f>'ISIRF 13C'!H13</f>
        <v>6.7372975000000004</v>
      </c>
      <c r="M35" s="476">
        <f>'ISIRF 13C'!I13</f>
        <v>76892336</v>
      </c>
      <c r="N35" s="327">
        <f>'ISIRF 13C'!J13</f>
        <v>33.788339479999998</v>
      </c>
      <c r="O35" s="328">
        <f>'ISIRF 13C'!K13</f>
        <v>-12.922047926728506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3" t="str">
        <f>'ISIRF 15N'!B14</f>
        <v>IC15N-240517-10KansasRoar-3_41.raw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1.224</v>
      </c>
      <c r="H36" s="331">
        <f>'ISIRF 15N'!H14</f>
        <v>6.3295905000000001</v>
      </c>
      <c r="I36" s="474">
        <f>'ISIRF 15N'!I14</f>
        <v>96717152</v>
      </c>
      <c r="J36" s="327">
        <f>'ISIRF 15N'!J14</f>
        <v>4.3815435912000007</v>
      </c>
      <c r="K36" s="327">
        <f>'ISIRF 15N'!K14</f>
        <v>7.4937379682863003</v>
      </c>
      <c r="L36" s="477">
        <f>'ISIRF 13C'!H14</f>
        <v>6.8806849999999997</v>
      </c>
      <c r="M36" s="476">
        <f>'ISIRF 13C'!I14</f>
        <v>78287040</v>
      </c>
      <c r="N36" s="327">
        <f>'ISIRF 13C'!J14</f>
        <v>33.541341319999994</v>
      </c>
      <c r="O36" s="328">
        <f>'ISIRF 13C'!K14</f>
        <v>-12.961667498412298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7"/>
      <c r="C37" s="548"/>
      <c r="D37" s="549"/>
      <c r="E37" s="548"/>
      <c r="F37" s="550"/>
      <c r="G37" s="551"/>
      <c r="H37" s="550"/>
      <c r="I37" s="552"/>
      <c r="J37" s="551"/>
      <c r="K37" s="551"/>
      <c r="L37" s="553"/>
      <c r="M37" s="554"/>
      <c r="N37" s="551"/>
      <c r="O37" s="555"/>
      <c r="P37" s="571"/>
      <c r="Q37" s="556"/>
      <c r="R37" s="557" t="str">
        <f>IF(COUNTA('ISIRF 15N'!L15)=1,"See ISIRF 15N","")</f>
        <v/>
      </c>
    </row>
    <row r="38" spans="1:18">
      <c r="A38" s="581">
        <f>'ISIRF RAW'!$B$2</f>
        <v>0</v>
      </c>
      <c r="B38" s="544" t="str">
        <f>'ISIRF 15N'!B16</f>
        <v>IC15N-240517-10KansasRoar-3_4.raw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1.075</v>
      </c>
      <c r="H38" s="325">
        <f>'ISIRF 15N'!H16</f>
        <v>8.4331460000000007</v>
      </c>
      <c r="I38" s="473">
        <f>'ISIRF 15N'!I16</f>
        <v>125207024</v>
      </c>
      <c r="J38" s="326">
        <f>'ISIRF 15N'!J16</f>
        <v>6.271781121600001</v>
      </c>
      <c r="K38" s="326">
        <f>'ISIRF 15N'!K16</f>
        <v>-5.0428840127515198</v>
      </c>
      <c r="L38" s="545">
        <f>'ISIRF 13C'!H16</f>
        <v>7.8699234999999996</v>
      </c>
      <c r="M38" s="475">
        <f>'ISIRF 13C'!H16</f>
        <v>7.8699234999999996</v>
      </c>
      <c r="N38" s="326">
        <f>'ISIRF 13C'!J16</f>
        <v>43.512439259999994</v>
      </c>
      <c r="O38" s="546">
        <f>'ISIRF 13C'!K16</f>
        <v>-21.176358826869887</v>
      </c>
      <c r="P38" s="674"/>
      <c r="Q38" s="675"/>
      <c r="R38" s="676"/>
    </row>
    <row r="39" spans="1:18">
      <c r="A39" s="582">
        <f>'ISIRF RAW'!$B$2</f>
        <v>0</v>
      </c>
      <c r="B39" s="543" t="str">
        <f>'ISIRF 15N'!B17</f>
        <v>IC15N-240517-10KansasRoar-3_29.raw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0.99299999999999999</v>
      </c>
      <c r="H39" s="331">
        <f>'ISIRF 15N'!H17</f>
        <v>8.1443204999999992</v>
      </c>
      <c r="I39" s="474">
        <f>'ISIRF 15N'!I17</f>
        <v>120973856</v>
      </c>
      <c r="J39" s="327">
        <f>'ISIRF 15N'!J17</f>
        <v>6.5736771456000005</v>
      </c>
      <c r="K39" s="327">
        <f>'ISIRF 15N'!K17</f>
        <v>-4.9689105718930415</v>
      </c>
      <c r="L39" s="477">
        <f>'ISIRF 13C'!H17</f>
        <v>7.7999080000000003</v>
      </c>
      <c r="M39" s="476">
        <f>'ISIRF 13C'!I17</f>
        <v>87760752</v>
      </c>
      <c r="N39" s="327">
        <f>'ISIRF 13C'!J17</f>
        <v>46.313327180000002</v>
      </c>
      <c r="O39" s="328">
        <f>'ISIRF 13C'!K17</f>
        <v>-21.095873365763648</v>
      </c>
      <c r="P39" s="332"/>
      <c r="Q39" s="150"/>
      <c r="R39" s="151"/>
    </row>
    <row r="40" spans="1:18">
      <c r="A40" s="583">
        <f>'ISIRF RAW'!$B$2</f>
        <v>0</v>
      </c>
      <c r="B40" s="547"/>
      <c r="C40" s="548"/>
      <c r="D40" s="549"/>
      <c r="E40" s="548"/>
      <c r="F40" s="550"/>
      <c r="G40" s="551"/>
      <c r="H40" s="550"/>
      <c r="I40" s="552"/>
      <c r="J40" s="551"/>
      <c r="K40" s="551"/>
      <c r="L40" s="553"/>
      <c r="M40" s="554"/>
      <c r="N40" s="551"/>
      <c r="O40" s="558"/>
      <c r="P40" s="559"/>
      <c r="Q40" s="556"/>
      <c r="R40" s="557"/>
    </row>
    <row r="41" spans="1:18">
      <c r="A41" s="581">
        <f>'ISIRF RAW'!$B$2</f>
        <v>0</v>
      </c>
      <c r="B41" s="544" t="str">
        <f>'ISIRF 15N'!B19</f>
        <v>IC15N-240517-10KansasRoar-3_5.raw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1.494</v>
      </c>
      <c r="H41" s="325">
        <f>'ISIRF 15N'!H19</f>
        <v>5.691751</v>
      </c>
      <c r="I41" s="473">
        <f>'ISIRF 15N'!I19</f>
        <v>86893216</v>
      </c>
      <c r="J41" s="326">
        <f>'ISIRF 15N'!J19</f>
        <v>3.0713360424</v>
      </c>
      <c r="K41" s="326">
        <f>'ISIRF 15N'!K19</f>
        <v>1.9956816943467071</v>
      </c>
      <c r="L41" s="545">
        <f>'ISIRF 13C'!H19</f>
        <v>11.205147</v>
      </c>
      <c r="M41" s="475">
        <f>'ISIRF 13C'!I19</f>
        <v>130640384</v>
      </c>
      <c r="N41" s="326">
        <f>'ISIRF 13C'!J19</f>
        <v>45.386064179999998</v>
      </c>
      <c r="O41" s="546">
        <f>'ISIRF 13C'!K19</f>
        <v>-30.411942625142363</v>
      </c>
      <c r="P41" s="329"/>
      <c r="Q41" s="148"/>
      <c r="R41" s="149"/>
    </row>
    <row r="42" spans="1:18">
      <c r="A42" s="582">
        <f>'ISIRF RAW'!$B$2</f>
        <v>0</v>
      </c>
      <c r="B42" s="543" t="str">
        <f>'ISIRF 15N'!B20</f>
        <v>IC15N-240517-10KansasRoar-3_30.raw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1.4079999999999999</v>
      </c>
      <c r="H42" s="331">
        <f>'ISIRF 15N'!H20</f>
        <v>5.2659155000000002</v>
      </c>
      <c r="I42" s="474">
        <f>'ISIRF 15N'!I20</f>
        <v>79752976</v>
      </c>
      <c r="J42" s="327">
        <f>'ISIRF 15N'!J20</f>
        <v>3.1571669112</v>
      </c>
      <c r="K42" s="327">
        <f>'ISIRF 15N'!K20</f>
        <v>2.1360004722588655</v>
      </c>
      <c r="L42" s="477">
        <f>'ISIRF 13C'!H20</f>
        <v>10.786918999999999</v>
      </c>
      <c r="M42" s="476">
        <f>'ISIRF 13C'!I20</f>
        <v>123621344</v>
      </c>
      <c r="N42" s="327">
        <f>'ISIRF 13C'!J20</f>
        <v>45.897820859999996</v>
      </c>
      <c r="O42" s="328">
        <f>'ISIRF 13C'!K20</f>
        <v>-30.229907870507024</v>
      </c>
      <c r="P42" s="332"/>
      <c r="Q42" s="150"/>
      <c r="R42" s="151"/>
    </row>
    <row r="43" spans="1:18">
      <c r="A43" s="583">
        <f>'ISIRF RAW'!$B$2</f>
        <v>0</v>
      </c>
      <c r="B43" s="547"/>
      <c r="C43" s="548"/>
      <c r="D43" s="549"/>
      <c r="E43" s="548"/>
      <c r="F43" s="550"/>
      <c r="G43" s="551"/>
      <c r="H43" s="550"/>
      <c r="I43" s="552"/>
      <c r="J43" s="551"/>
      <c r="K43" s="551"/>
      <c r="L43" s="553"/>
      <c r="M43" s="554"/>
      <c r="N43" s="551"/>
      <c r="O43" s="558"/>
      <c r="P43" s="571"/>
      <c r="Q43" s="556"/>
      <c r="R43" s="557"/>
    </row>
    <row r="44" spans="1:18">
      <c r="A44" s="581">
        <f>'ISIRF RAW'!$B$2</f>
        <v>0</v>
      </c>
      <c r="B44" s="544" t="str">
        <f>'ISIRF 15N'!B22</f>
        <v>IC15N-240517-10KansasRoar-3_6.raw</v>
      </c>
      <c r="C44" s="324"/>
      <c r="D44" s="323" t="str">
        <f>'ISIRF 15N'!D22</f>
        <v>NBS 1575 Pine Needles</v>
      </c>
      <c r="E44" s="324" t="str">
        <f>'ISIRF 15N'!E22</f>
        <v>QA STD</v>
      </c>
      <c r="F44" s="325">
        <f>'ISIRF 15N'!F22</f>
        <v>12</v>
      </c>
      <c r="G44" s="326">
        <f>'ISIRF 15N'!G22</f>
        <v>6.4320000000000004</v>
      </c>
      <c r="H44" s="325">
        <f>'ISIRF 15N'!H22</f>
        <v>8.4650990000000004</v>
      </c>
      <c r="I44" s="473">
        <f>'ISIRF 15N'!I22</f>
        <v>142366112</v>
      </c>
      <c r="J44" s="326">
        <f>'ISIRF 15N'!J22</f>
        <v>1.1842407672000002</v>
      </c>
      <c r="K44" s="326">
        <f>'ISIRF 15N'!K22</f>
        <v>0.422363926163279</v>
      </c>
      <c r="L44" s="545">
        <f>'ISIRF 13C'!H22</f>
        <v>42.828580000000002</v>
      </c>
      <c r="M44" s="475">
        <f>'ISIRF 13C'!I22</f>
        <v>641697408</v>
      </c>
      <c r="N44" s="326">
        <f>'ISIRF 13C'!J22</f>
        <v>52.023419219999994</v>
      </c>
      <c r="O44" s="546">
        <f>'ISIRF 13C'!K22</f>
        <v>-26.166017447788853</v>
      </c>
      <c r="P44" s="329"/>
      <c r="Q44" s="148"/>
      <c r="R44" s="149"/>
    </row>
    <row r="45" spans="1:18">
      <c r="A45" s="582">
        <f>'ISIRF RAW'!$B$2</f>
        <v>0</v>
      </c>
      <c r="B45" s="543" t="str">
        <f>'ISIRF 15N'!B23</f>
        <v>IC15N-240517-10KansasRoar-3_31.raw</v>
      </c>
      <c r="C45" s="322"/>
      <c r="D45" s="330" t="str">
        <f>'ISIRF 15N'!D23</f>
        <v>NBS 1575 Pine Needles</v>
      </c>
      <c r="E45" s="322" t="str">
        <f>'ISIRF 15N'!E23</f>
        <v>QA STD</v>
      </c>
      <c r="F45" s="331">
        <f>'ISIRF 15N'!F23</f>
        <v>37</v>
      </c>
      <c r="G45" s="327">
        <f>'ISIRF 15N'!G23</f>
        <v>6.4219999999999997</v>
      </c>
      <c r="H45" s="331">
        <f>'ISIRF 15N'!H23</f>
        <v>8.6169740000000008</v>
      </c>
      <c r="I45" s="474">
        <f>'ISIRF 15N'!I23</f>
        <v>143777728</v>
      </c>
      <c r="J45" s="152">
        <f>'ISIRF 15N'!J23</f>
        <v>1.2222950544</v>
      </c>
      <c r="K45" s="327">
        <f>'ISIRF 15N'!K23</f>
        <v>0.41851945768898713</v>
      </c>
      <c r="L45" s="477">
        <f>'ISIRF 13C'!H23</f>
        <v>41.723323999999998</v>
      </c>
      <c r="M45" s="476">
        <f>'ISIRF 13C'!I23</f>
        <v>637239360</v>
      </c>
      <c r="N45" s="327">
        <f>'ISIRF 13C'!J23</f>
        <v>52.024598919999995</v>
      </c>
      <c r="O45" s="328">
        <f>'ISIRF 13C'!K23</f>
        <v>-26.045811476097384</v>
      </c>
      <c r="P45" s="332"/>
      <c r="Q45" s="150"/>
      <c r="R45" s="151"/>
    </row>
    <row r="46" spans="1:18">
      <c r="A46" s="583">
        <f>'ISIRF RAW'!$B$2</f>
        <v>0</v>
      </c>
      <c r="B46" s="547"/>
      <c r="C46" s="548"/>
      <c r="D46" s="560"/>
      <c r="E46" s="561"/>
      <c r="F46" s="562"/>
      <c r="G46" s="555"/>
      <c r="H46" s="563"/>
      <c r="I46" s="564"/>
      <c r="J46" s="555"/>
      <c r="K46" s="555"/>
      <c r="L46" s="565"/>
      <c r="M46" s="566"/>
      <c r="N46" s="567"/>
      <c r="O46" s="555"/>
      <c r="P46" s="559"/>
      <c r="Q46" s="556"/>
      <c r="R46" s="557"/>
    </row>
    <row r="47" spans="1:18">
      <c r="A47" s="581">
        <f>'ISIRF RAW'!$B$2</f>
        <v>0</v>
      </c>
      <c r="B47" s="544" t="str">
        <f>'ISIRF RAW'!T12</f>
        <v>IC15N-240517-10KansasRoar-3_7.raw</v>
      </c>
      <c r="C47" s="324"/>
      <c r="D47" s="568" t="str">
        <f>'ISIRF RAW'!A12</f>
        <v xml:space="preserve">R1-20231120_W1_H </v>
      </c>
      <c r="E47" s="569" t="s">
        <v>223</v>
      </c>
      <c r="F47" s="325">
        <f>'ISIRF RAW'!B12</f>
        <v>13</v>
      </c>
      <c r="G47" s="546">
        <f>'ISIRF RAW'!C12</f>
        <v>29.646999999999998</v>
      </c>
      <c r="H47" s="570">
        <f>'ISIRF RAW'!D12</f>
        <v>3.8094827499999999</v>
      </c>
      <c r="I47" s="473">
        <f>'ISIRF RAW'!E12</f>
        <v>72058160</v>
      </c>
      <c r="J47" s="546">
        <f>'ISIRF RAW'!J12</f>
        <v>0.13290955440000002</v>
      </c>
      <c r="K47" s="546">
        <f>'ISIRF RAW'!L12</f>
        <v>6.0590881058587351</v>
      </c>
      <c r="L47" s="545">
        <f>'ISIRF RAW'!F12</f>
        <v>6.5908439999999997</v>
      </c>
      <c r="M47" s="475">
        <f>'ISIRF RAW'!G12</f>
        <v>74925464</v>
      </c>
      <c r="N47" s="326">
        <f>'ISIRF RAW'!M12</f>
        <v>1.3161071600000001</v>
      </c>
      <c r="O47" s="546">
        <f>'ISIRF RAW'!O12</f>
        <v>-16.822318576283006</v>
      </c>
      <c r="P47" s="329"/>
      <c r="Q47" s="148"/>
      <c r="R47" s="149"/>
    </row>
    <row r="48" spans="1:18">
      <c r="A48" s="583">
        <f>'ISIRF RAW'!$B$2</f>
        <v>0</v>
      </c>
      <c r="B48" s="547" t="str">
        <f>'ISIRF RAW'!T56</f>
        <v>IC15N-240517-10KansasRoar-3_51.raw</v>
      </c>
      <c r="C48" s="548"/>
      <c r="D48" s="560" t="str">
        <f>'ISIRF RAW'!A56</f>
        <v xml:space="preserve">R1-20231120_W1_H </v>
      </c>
      <c r="E48" s="561" t="s">
        <v>223</v>
      </c>
      <c r="F48" s="562">
        <f>'ISIRF RAW'!B56</f>
        <v>57</v>
      </c>
      <c r="G48" s="555">
        <f>'ISIRF RAW'!C56</f>
        <v>29.620999999999999</v>
      </c>
      <c r="H48" s="563">
        <f>'ISIRF RAW'!D56</f>
        <v>4.0227432500000004</v>
      </c>
      <c r="I48" s="564">
        <f>'ISIRF RAW'!E56</f>
        <v>77168064</v>
      </c>
      <c r="J48" s="555">
        <f>'ISIRF RAW'!J56</f>
        <v>0.14731464480000001</v>
      </c>
      <c r="K48" s="555">
        <f>'ISIRF RAW'!L56</f>
        <v>6.0037680387404997</v>
      </c>
      <c r="L48" s="565">
        <f>'ISIRF RAW'!F56</f>
        <v>6.7667120000000001</v>
      </c>
      <c r="M48" s="566">
        <f>'ISIRF RAW'!G56</f>
        <v>77671072</v>
      </c>
      <c r="N48" s="567">
        <f>'ISIRF RAW'!M56</f>
        <v>1.37600678</v>
      </c>
      <c r="O48" s="555">
        <f>'ISIRF RAW'!O56</f>
        <v>-17.002363170185319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0</v>
      </c>
      <c r="B49" s="544" t="str">
        <f>'ISIRF RAW'!T26</f>
        <v>IC15N-240517-10KansasRoar-3_21.raw</v>
      </c>
      <c r="C49" s="324"/>
      <c r="D49" s="568" t="str">
        <f>'ISIRF RAW'!A26</f>
        <v xml:space="preserve">R2-20240407_E2_D </v>
      </c>
      <c r="E49" s="569" t="s">
        <v>224</v>
      </c>
      <c r="F49" s="325">
        <f>'ISIRF RAW'!B26</f>
        <v>27</v>
      </c>
      <c r="G49" s="546">
        <f>'ISIRF RAW'!C26</f>
        <v>29.428000000000001</v>
      </c>
      <c r="H49" s="570">
        <f>'ISIRF RAW'!D26</f>
        <v>5.2645759999999999</v>
      </c>
      <c r="I49" s="473">
        <f>'ISIRF RAW'!E26</f>
        <v>95495736</v>
      </c>
      <c r="J49" s="546">
        <f>'ISIRF RAW'!J26</f>
        <v>0.1836939816</v>
      </c>
      <c r="K49" s="546">
        <f>'ISIRF RAW'!L26</f>
        <v>5.4990386106910174</v>
      </c>
      <c r="L49" s="545">
        <f>'ISIRF RAW'!F26</f>
        <v>10.439545000000001</v>
      </c>
      <c r="M49" s="475">
        <f>'ISIRF RAW'!G26</f>
        <v>123458400</v>
      </c>
      <c r="N49" s="326">
        <f>'ISIRF RAW'!M26</f>
        <v>2.1901003599999997</v>
      </c>
      <c r="O49" s="546">
        <f>'ISIRF RAW'!O26</f>
        <v>-16.672070306443388</v>
      </c>
      <c r="P49" s="329"/>
      <c r="Q49" s="148"/>
      <c r="R49" s="149"/>
    </row>
    <row r="50" spans="1:18">
      <c r="A50" s="583">
        <f>'ISIRF RAW'!$B$2</f>
        <v>0</v>
      </c>
      <c r="B50" s="547" t="str">
        <f>'ISIRF RAW'!T27</f>
        <v>IC15N-240517-10KansasRoar-3_22.raw</v>
      </c>
      <c r="C50" s="548"/>
      <c r="D50" s="560" t="str">
        <f>'ISIRF RAW'!A27</f>
        <v xml:space="preserve">R2-20240407_E2_D </v>
      </c>
      <c r="E50" s="561" t="s">
        <v>224</v>
      </c>
      <c r="F50" s="562">
        <f>'ISIRF RAW'!B27</f>
        <v>28</v>
      </c>
      <c r="G50" s="555">
        <f>'ISIRF RAW'!C27</f>
        <v>29.161999999999999</v>
      </c>
      <c r="H50" s="563">
        <f>'ISIRF RAW'!D27</f>
        <v>5.2045909999999997</v>
      </c>
      <c r="I50" s="564">
        <f>'ISIRF RAW'!E27</f>
        <v>88236912</v>
      </c>
      <c r="J50" s="555">
        <f>'ISIRF RAW'!J27</f>
        <v>0.17583618960000003</v>
      </c>
      <c r="K50" s="555">
        <f>'ISIRF RAW'!L27</f>
        <v>5.6156619269800014</v>
      </c>
      <c r="L50" s="565">
        <f>'ISIRF RAW'!F27</f>
        <v>9.7634410000000003</v>
      </c>
      <c r="M50" s="566">
        <f>'ISIRF RAW'!G27</f>
        <v>116314072</v>
      </c>
      <c r="N50" s="567">
        <f>'ISIRF RAW'!M27</f>
        <v>2.0911240000000002</v>
      </c>
      <c r="O50" s="555">
        <f>'ISIRF RAW'!O27</f>
        <v>-16.691059247133182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57" sqref="A57:XFD61"/>
    </sheetView>
  </sheetViews>
  <sheetFormatPr defaultColWidth="9.140625" defaultRowHeight="12.75"/>
  <cols>
    <col min="1" max="1" width="28.28515625" style="39" customWidth="1"/>
    <col min="2" max="2" width="14" style="2" customWidth="1"/>
    <col min="3" max="3" width="8.28515625" style="292" customWidth="1"/>
    <col min="4" max="4" width="7.85546875" style="2" customWidth="1"/>
    <col min="5" max="5" width="12.28515625" style="292" customWidth="1"/>
    <col min="6" max="6" width="7.5703125" style="2" customWidth="1"/>
    <col min="7" max="7" width="10.5703125" style="292" customWidth="1"/>
    <col min="8" max="9" width="7.5703125" style="292" customWidth="1"/>
    <col min="10" max="10" width="6.28515625" style="43" customWidth="1"/>
    <col min="11" max="11" width="6.5703125" style="43" bestFit="1" customWidth="1"/>
    <col min="12" max="12" width="9.7109375" style="43" customWidth="1"/>
    <col min="13" max="13" width="6.7109375" style="297" customWidth="1"/>
    <col min="14" max="14" width="7.85546875" style="298" customWidth="1"/>
    <col min="15" max="15" width="10.5703125" style="184" bestFit="1" customWidth="1"/>
    <col min="16" max="16" width="6.7109375" style="297" customWidth="1"/>
    <col min="17" max="17" width="7.85546875" style="298" customWidth="1"/>
    <col min="18" max="18" width="10.5703125" style="184" bestFit="1" customWidth="1"/>
    <col min="19" max="19" width="12.28515625" style="2" bestFit="1" customWidth="1"/>
    <col min="20" max="20" width="38.42578125" bestFit="1" customWidth="1"/>
    <col min="21" max="16384" width="9.140625" style="2"/>
  </cols>
  <sheetData>
    <row r="1" spans="1:21" ht="13.5" thickTop="1">
      <c r="A1" s="164" t="s">
        <v>35</v>
      </c>
      <c r="B1" s="282"/>
    </row>
    <row r="2" spans="1:21" ht="13.5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IC15N-240610-10KansasROAR-3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.75" thickBot="1">
      <c r="A4" s="171" t="s">
        <v>7</v>
      </c>
      <c r="B4" s="580"/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182</v>
      </c>
      <c r="E5" s="482" t="s">
        <v>110</v>
      </c>
      <c r="F5" s="483" t="s">
        <v>183</v>
      </c>
      <c r="G5" s="482" t="s">
        <v>111</v>
      </c>
      <c r="H5" s="482" t="s">
        <v>200</v>
      </c>
      <c r="I5" s="482" t="s">
        <v>201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202</v>
      </c>
      <c r="Q5" s="299" t="s">
        <v>203</v>
      </c>
      <c r="R5" s="40" t="s">
        <v>204</v>
      </c>
      <c r="S5" s="484" t="s">
        <v>9</v>
      </c>
      <c r="T5" s="478" t="s">
        <v>207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8.7465500000000002E-2</v>
      </c>
      <c r="E6" s="467">
        <v>2044184</v>
      </c>
      <c r="F6" s="294">
        <v>0</v>
      </c>
      <c r="G6" s="467">
        <v>0</v>
      </c>
      <c r="H6" s="294"/>
      <c r="I6" s="294"/>
      <c r="J6" s="289">
        <v>5.1118728000000002E-3</v>
      </c>
      <c r="K6" s="289">
        <v>-9.0529921234736221</v>
      </c>
      <c r="L6" s="290">
        <v>-8.9623735330772867</v>
      </c>
      <c r="M6" s="289">
        <v>0</v>
      </c>
      <c r="N6" s="289">
        <v>1.8394297376537201E-2</v>
      </c>
      <c r="O6" s="290">
        <v>2.9567296302025363E-2</v>
      </c>
      <c r="P6" s="289"/>
      <c r="Q6" s="289"/>
      <c r="R6" s="290"/>
      <c r="S6" s="505">
        <v>45567.625763888886</v>
      </c>
      <c r="T6" s="479" t="s">
        <v>401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0.10016184374999999</v>
      </c>
      <c r="E7" s="467">
        <v>2340100</v>
      </c>
      <c r="F7" s="294">
        <v>0</v>
      </c>
      <c r="G7" s="467">
        <v>0</v>
      </c>
      <c r="H7" s="294"/>
      <c r="I7" s="294"/>
      <c r="J7" s="289">
        <v>3.5084352000000004E-3</v>
      </c>
      <c r="K7" s="289">
        <v>-6.8361893937161033</v>
      </c>
      <c r="L7" s="290">
        <v>-6.8470717383953295</v>
      </c>
      <c r="M7" s="289">
        <v>0</v>
      </c>
      <c r="N7" s="289">
        <v>1.4248633237993504E-2</v>
      </c>
      <c r="O7" s="290">
        <v>2.5278377628289453E-2</v>
      </c>
      <c r="P7" s="289"/>
      <c r="Q7" s="289"/>
      <c r="R7" s="290"/>
      <c r="S7" s="505">
        <v>45567.633796296293</v>
      </c>
      <c r="T7" s="479" t="s">
        <v>402</v>
      </c>
    </row>
    <row r="8" spans="1:21">
      <c r="A8" s="287" t="str">
        <f>'Weigh Sheet'!C19</f>
        <v>ISIRF Ulva</v>
      </c>
      <c r="B8" s="288">
        <v>9</v>
      </c>
      <c r="C8" s="294">
        <v>1.1850000000000001</v>
      </c>
      <c r="D8" s="295">
        <v>6.1792265000000004</v>
      </c>
      <c r="E8" s="467">
        <v>92401256</v>
      </c>
      <c r="F8" s="294">
        <v>6.6871105000000002</v>
      </c>
      <c r="G8" s="467">
        <v>75266992</v>
      </c>
      <c r="H8" s="294"/>
      <c r="I8" s="294"/>
      <c r="J8" s="289">
        <v>4.2263487527999999</v>
      </c>
      <c r="K8" s="289">
        <v>8.1712748253062752</v>
      </c>
      <c r="L8" s="290">
        <v>7.473244440390558</v>
      </c>
      <c r="M8" s="289">
        <v>33.061533359999999</v>
      </c>
      <c r="N8" s="289">
        <v>-12.348598193794286</v>
      </c>
      <c r="O8" s="290">
        <v>-12.764769934298311</v>
      </c>
      <c r="P8" s="289"/>
      <c r="Q8" s="289"/>
      <c r="R8" s="290"/>
      <c r="S8" s="505">
        <v>45567.641782407409</v>
      </c>
      <c r="T8" s="479" t="s">
        <v>403</v>
      </c>
    </row>
    <row r="9" spans="1:21">
      <c r="A9" s="287" t="str">
        <f>'Weigh Sheet'!C20</f>
        <v>ISIRF Chitin</v>
      </c>
      <c r="B9" s="288">
        <v>10</v>
      </c>
      <c r="C9" s="294">
        <v>1.075</v>
      </c>
      <c r="D9" s="295">
        <v>8.4331460000000007</v>
      </c>
      <c r="E9" s="467">
        <v>125207024</v>
      </c>
      <c r="F9" s="294">
        <v>7.8699234999999996</v>
      </c>
      <c r="G9" s="467">
        <v>89973024</v>
      </c>
      <c r="H9" s="294"/>
      <c r="I9" s="294"/>
      <c r="J9" s="291">
        <v>6.271781121600001</v>
      </c>
      <c r="K9" s="291">
        <v>-4.9454292736909862</v>
      </c>
      <c r="L9" s="290">
        <v>-5.0428840127515198</v>
      </c>
      <c r="M9" s="289">
        <v>43.512439259999994</v>
      </c>
      <c r="N9" s="291">
        <v>-20.479230894677649</v>
      </c>
      <c r="O9" s="290">
        <v>-21.176358826869887</v>
      </c>
      <c r="P9" s="289"/>
      <c r="Q9" s="291"/>
      <c r="R9" s="290"/>
      <c r="S9" s="505">
        <v>45567.649756944447</v>
      </c>
      <c r="T9" s="479" t="s">
        <v>404</v>
      </c>
    </row>
    <row r="10" spans="1:21">
      <c r="A10" s="287" t="str">
        <f>'Weigh Sheet'!C21</f>
        <v>ISIRF Bamboo</v>
      </c>
      <c r="B10" s="288">
        <v>11</v>
      </c>
      <c r="C10" s="295">
        <v>1.494</v>
      </c>
      <c r="D10" s="295">
        <v>5.691751</v>
      </c>
      <c r="E10" s="467">
        <v>86893216</v>
      </c>
      <c r="F10" s="294">
        <v>11.205147</v>
      </c>
      <c r="G10" s="467">
        <v>130640384</v>
      </c>
      <c r="H10" s="294"/>
      <c r="I10" s="294"/>
      <c r="J10" s="291">
        <v>3.0713360424</v>
      </c>
      <c r="K10" s="291">
        <v>2.4308759477674871</v>
      </c>
      <c r="L10" s="290">
        <v>1.9956816943467071</v>
      </c>
      <c r="M10" s="289">
        <v>45.386064179999998</v>
      </c>
      <c r="N10" s="291">
        <v>-29.406336177758838</v>
      </c>
      <c r="O10" s="290">
        <v>-30.411942625142363</v>
      </c>
      <c r="P10" s="289"/>
      <c r="Q10" s="291"/>
      <c r="R10" s="290"/>
      <c r="S10" s="505">
        <v>45567.657743055555</v>
      </c>
      <c r="T10" s="479" t="s">
        <v>405</v>
      </c>
    </row>
    <row r="11" spans="1:21">
      <c r="A11" s="287" t="str">
        <f>'Weigh Sheet'!C22</f>
        <v>NBS 1575 Pine Needles</v>
      </c>
      <c r="B11" s="288">
        <v>12</v>
      </c>
      <c r="C11" s="295">
        <v>6.4320000000000004</v>
      </c>
      <c r="D11" s="295">
        <v>8.4650990000000004</v>
      </c>
      <c r="E11" s="467">
        <v>142366112</v>
      </c>
      <c r="F11" s="294">
        <v>42.828580000000002</v>
      </c>
      <c r="G11" s="467">
        <v>641697408</v>
      </c>
      <c r="H11" s="294"/>
      <c r="I11" s="294"/>
      <c r="J11" s="291">
        <v>1.1842407672000002</v>
      </c>
      <c r="K11" s="291">
        <v>0.78206388130326843</v>
      </c>
      <c r="L11" s="290">
        <v>0.422363926163279</v>
      </c>
      <c r="M11" s="289">
        <v>52.023419219999994</v>
      </c>
      <c r="N11" s="291">
        <v>-25.302229506190347</v>
      </c>
      <c r="O11" s="290">
        <v>-26.166017447788853</v>
      </c>
      <c r="P11" s="289"/>
      <c r="Q11" s="291"/>
      <c r="R11" s="290"/>
      <c r="S11" s="505">
        <v>45567.66578703704</v>
      </c>
      <c r="T11" s="479" t="s">
        <v>406</v>
      </c>
    </row>
    <row r="12" spans="1:21">
      <c r="A12" s="287" t="str">
        <f>'Weigh Sheet'!C23</f>
        <v xml:space="preserve">R1-20231120_W1_H </v>
      </c>
      <c r="B12" s="288">
        <v>13</v>
      </c>
      <c r="C12" s="295">
        <v>29.646999999999998</v>
      </c>
      <c r="D12" s="295">
        <v>3.8094827499999999</v>
      </c>
      <c r="E12" s="467">
        <v>72058160</v>
      </c>
      <c r="F12" s="294">
        <v>6.5908439999999997</v>
      </c>
      <c r="G12" s="467">
        <v>74925464</v>
      </c>
      <c r="H12" s="294"/>
      <c r="I12" s="294"/>
      <c r="J12" s="291">
        <v>0.13290955440000002</v>
      </c>
      <c r="K12" s="291">
        <v>6.6892614168293196</v>
      </c>
      <c r="L12" s="290">
        <v>6.0590881058587351</v>
      </c>
      <c r="M12" s="289">
        <v>1.3161071600000001</v>
      </c>
      <c r="N12" s="291">
        <v>-16.270620310576536</v>
      </c>
      <c r="O12" s="290">
        <v>-16.822318576283006</v>
      </c>
      <c r="P12" s="289"/>
      <c r="Q12" s="291"/>
      <c r="R12" s="290"/>
      <c r="S12" s="505">
        <v>45567.673807870371</v>
      </c>
      <c r="T12" s="479" t="s">
        <v>407</v>
      </c>
    </row>
    <row r="13" spans="1:21">
      <c r="A13" s="287" t="str">
        <f>'Weigh Sheet'!C24</f>
        <v xml:space="preserve">20240407_E1_A </v>
      </c>
      <c r="B13" s="288">
        <v>14</v>
      </c>
      <c r="C13" s="295">
        <v>29.277000000000001</v>
      </c>
      <c r="D13" s="295">
        <v>4.2191425000000002</v>
      </c>
      <c r="E13" s="467">
        <v>79163072</v>
      </c>
      <c r="F13" s="294">
        <v>7.3139035000000003</v>
      </c>
      <c r="G13" s="467">
        <v>85357840</v>
      </c>
      <c r="H13" s="294"/>
      <c r="I13" s="294"/>
      <c r="J13" s="291">
        <v>0.15044397600000001</v>
      </c>
      <c r="K13" s="291">
        <v>5.5434122977879845</v>
      </c>
      <c r="L13" s="290">
        <v>4.965704077859094</v>
      </c>
      <c r="M13" s="289">
        <v>1.5206887599999999</v>
      </c>
      <c r="N13" s="291">
        <v>-18.234758195474235</v>
      </c>
      <c r="O13" s="290">
        <v>-18.854327772109734</v>
      </c>
      <c r="P13" s="289"/>
      <c r="Q13" s="291"/>
      <c r="R13" s="290"/>
      <c r="S13" s="505">
        <v>45567.681793981479</v>
      </c>
      <c r="T13" s="479" t="s">
        <v>408</v>
      </c>
    </row>
    <row r="14" spans="1:21">
      <c r="A14" s="287" t="str">
        <f>'Weigh Sheet'!C25</f>
        <v xml:space="preserve">20240407_E1_B </v>
      </c>
      <c r="B14" s="288">
        <v>15</v>
      </c>
      <c r="C14" s="295">
        <v>28.582999999999998</v>
      </c>
      <c r="D14" s="295">
        <v>3.2962004999999999</v>
      </c>
      <c r="E14" s="467">
        <v>59089336</v>
      </c>
      <c r="F14" s="294">
        <v>5.8436199999999996</v>
      </c>
      <c r="G14" s="467">
        <v>67902976</v>
      </c>
      <c r="H14" s="294"/>
      <c r="I14" s="294"/>
      <c r="J14" s="291">
        <v>0.11936778720000001</v>
      </c>
      <c r="K14" s="291">
        <v>6.7040528763417688</v>
      </c>
      <c r="L14" s="290">
        <v>6.073202307556814</v>
      </c>
      <c r="M14" s="289">
        <v>1.24139314</v>
      </c>
      <c r="N14" s="291">
        <v>-18.43395492582075</v>
      </c>
      <c r="O14" s="290">
        <v>-19.060407798850736</v>
      </c>
      <c r="P14" s="289"/>
      <c r="Q14" s="291"/>
      <c r="R14" s="290"/>
      <c r="S14" s="505">
        <v>45567.689803240741</v>
      </c>
      <c r="T14" s="479" t="s">
        <v>409</v>
      </c>
    </row>
    <row r="15" spans="1:21">
      <c r="A15" s="287" t="str">
        <f>'Weigh Sheet'!C26</f>
        <v xml:space="preserve">20240407_E1_C </v>
      </c>
      <c r="B15" s="288">
        <v>16</v>
      </c>
      <c r="C15" s="295">
        <v>29.201000000000001</v>
      </c>
      <c r="D15" s="295">
        <v>3.549725</v>
      </c>
      <c r="E15" s="467">
        <v>63171688</v>
      </c>
      <c r="F15" s="294">
        <v>6.0051864999999998</v>
      </c>
      <c r="G15" s="467">
        <v>69123248</v>
      </c>
      <c r="H15" s="294"/>
      <c r="I15" s="294"/>
      <c r="J15" s="291">
        <v>0.1255032408</v>
      </c>
      <c r="K15" s="291">
        <v>7.4922766324462904</v>
      </c>
      <c r="L15" s="290">
        <v>6.8253355955202535</v>
      </c>
      <c r="M15" s="289">
        <v>1.23753538</v>
      </c>
      <c r="N15" s="291">
        <v>-17.74041737423363</v>
      </c>
      <c r="O15" s="290">
        <v>-18.342904871326084</v>
      </c>
      <c r="P15" s="289"/>
      <c r="Q15" s="291"/>
      <c r="R15" s="290"/>
      <c r="S15" s="505">
        <v>45567.697777777779</v>
      </c>
      <c r="T15" s="479" t="s">
        <v>410</v>
      </c>
    </row>
    <row r="16" spans="1:21">
      <c r="A16" s="287" t="str">
        <f>'Weigh Sheet'!C27</f>
        <v xml:space="preserve">20240407_E1_D </v>
      </c>
      <c r="B16" s="288">
        <v>17</v>
      </c>
      <c r="C16" s="295">
        <v>31.129000000000001</v>
      </c>
      <c r="D16" s="295">
        <v>2.5436382499999999</v>
      </c>
      <c r="E16" s="467">
        <v>48997360</v>
      </c>
      <c r="F16" s="294">
        <v>4.2208315000000001</v>
      </c>
      <c r="G16" s="467">
        <v>47602180</v>
      </c>
      <c r="H16" s="294"/>
      <c r="I16" s="294"/>
      <c r="J16" s="291">
        <v>9.0380978400000006E-2</v>
      </c>
      <c r="K16" s="291">
        <v>5.7965947755893312</v>
      </c>
      <c r="L16" s="290">
        <v>5.2072940680219961</v>
      </c>
      <c r="M16" s="289">
        <v>0.80426587999999988</v>
      </c>
      <c r="N16" s="291">
        <v>-18.236648512644361</v>
      </c>
      <c r="O16" s="290">
        <v>-18.856283409696211</v>
      </c>
      <c r="P16" s="289"/>
      <c r="Q16" s="291"/>
      <c r="R16" s="290"/>
      <c r="S16" s="505">
        <v>45567.705810185187</v>
      </c>
      <c r="T16" s="479" t="s">
        <v>411</v>
      </c>
    </row>
    <row r="17" spans="1:20">
      <c r="A17" s="287" t="str">
        <f>'Weigh Sheet'!C28</f>
        <v xml:space="preserve">20240407_E1_E </v>
      </c>
      <c r="B17" s="288">
        <v>18</v>
      </c>
      <c r="C17" s="295">
        <v>27.606000000000002</v>
      </c>
      <c r="D17" s="295">
        <v>3.2227277499999998</v>
      </c>
      <c r="E17" s="467">
        <v>62675440</v>
      </c>
      <c r="F17" s="294">
        <v>5.9929135000000002</v>
      </c>
      <c r="G17" s="467">
        <v>67983440</v>
      </c>
      <c r="H17" s="294"/>
      <c r="I17" s="294"/>
      <c r="J17" s="291">
        <v>0.1306280376</v>
      </c>
      <c r="K17" s="291">
        <v>7.0429199640638362</v>
      </c>
      <c r="L17" s="290">
        <v>6.3965536591204897</v>
      </c>
      <c r="M17" s="289">
        <v>1.29024776</v>
      </c>
      <c r="N17" s="291">
        <v>-17.578245068249483</v>
      </c>
      <c r="O17" s="290">
        <v>-18.175128657852468</v>
      </c>
      <c r="P17" s="289"/>
      <c r="Q17" s="291"/>
      <c r="R17" s="290"/>
      <c r="S17" s="505">
        <v>45567.713969907411</v>
      </c>
      <c r="T17" s="479" t="s">
        <v>412</v>
      </c>
    </row>
    <row r="18" spans="1:20">
      <c r="A18" s="287" t="str">
        <f>'Weigh Sheet'!C29</f>
        <v xml:space="preserve">20240407_E1_F </v>
      </c>
      <c r="B18" s="288">
        <v>19</v>
      </c>
      <c r="C18" s="295">
        <v>27.937000000000001</v>
      </c>
      <c r="D18" s="295">
        <v>2.9321402499999998</v>
      </c>
      <c r="E18" s="467">
        <v>49865264</v>
      </c>
      <c r="F18" s="294">
        <v>4.9328634999999998</v>
      </c>
      <c r="G18" s="467">
        <v>57066020</v>
      </c>
      <c r="H18" s="294"/>
      <c r="I18" s="294"/>
      <c r="J18" s="291">
        <v>0.1050833208</v>
      </c>
      <c r="K18" s="291">
        <v>7.0733926834366141</v>
      </c>
      <c r="L18" s="290">
        <v>6.4256311215003414</v>
      </c>
      <c r="M18" s="289">
        <v>1.0762558200000001</v>
      </c>
      <c r="N18" s="291">
        <v>-17.17949729110223</v>
      </c>
      <c r="O18" s="290">
        <v>-17.762602044416216</v>
      </c>
      <c r="P18" s="289"/>
      <c r="Q18" s="291"/>
      <c r="R18" s="290"/>
      <c r="S18" s="505">
        <v>45567.721979166665</v>
      </c>
      <c r="T18" s="479" t="s">
        <v>413</v>
      </c>
    </row>
    <row r="19" spans="1:20">
      <c r="A19" s="287" t="str">
        <f>'Weigh Sheet'!C30</f>
        <v xml:space="preserve">20240407_E1_G </v>
      </c>
      <c r="B19" s="288">
        <v>20</v>
      </c>
      <c r="C19" s="295">
        <v>29.832000000000001</v>
      </c>
      <c r="D19" s="295">
        <v>2.6619422500000001</v>
      </c>
      <c r="E19" s="467">
        <v>49041576</v>
      </c>
      <c r="F19" s="294">
        <v>4.245177</v>
      </c>
      <c r="G19" s="467">
        <v>47972172</v>
      </c>
      <c r="H19" s="294"/>
      <c r="I19" s="294"/>
      <c r="J19" s="291">
        <v>9.3446551200000005E-2</v>
      </c>
      <c r="K19" s="291">
        <v>7.3878126841040368</v>
      </c>
      <c r="L19" s="290">
        <v>6.7256547468630057</v>
      </c>
      <c r="M19" s="289">
        <v>0.84967258000000001</v>
      </c>
      <c r="N19" s="291">
        <v>-17.552721839254193</v>
      </c>
      <c r="O19" s="290">
        <v>-18.148723466839961</v>
      </c>
      <c r="P19" s="289"/>
      <c r="Q19" s="291"/>
      <c r="R19" s="290"/>
      <c r="S19" s="505">
        <v>45567.729988425926</v>
      </c>
      <c r="T19" s="479" t="s">
        <v>414</v>
      </c>
    </row>
    <row r="20" spans="1:20">
      <c r="A20" s="287" t="str">
        <f>'Weigh Sheet'!C31</f>
        <v xml:space="preserve">20240407_E1_H </v>
      </c>
      <c r="B20" s="288">
        <v>21</v>
      </c>
      <c r="C20" s="295">
        <v>28.366</v>
      </c>
      <c r="D20" s="295">
        <v>2.7950344999999999</v>
      </c>
      <c r="E20" s="467">
        <v>54389736</v>
      </c>
      <c r="F20" s="294">
        <v>4.8385870000000004</v>
      </c>
      <c r="G20" s="467">
        <v>54869940</v>
      </c>
      <c r="H20" s="294"/>
      <c r="I20" s="294"/>
      <c r="J20" s="291">
        <v>0.1125516696</v>
      </c>
      <c r="K20" s="291">
        <v>6.0183336974610278</v>
      </c>
      <c r="L20" s="290">
        <v>5.4188802110241507</v>
      </c>
      <c r="M20" s="289">
        <v>1.0216916399999998</v>
      </c>
      <c r="N20" s="291">
        <v>-19.469459063129509</v>
      </c>
      <c r="O20" s="290">
        <v>-20.131694059101054</v>
      </c>
      <c r="P20" s="289"/>
      <c r="Q20" s="291"/>
      <c r="R20" s="290"/>
      <c r="S20" s="505">
        <v>45567.738009259258</v>
      </c>
      <c r="T20" s="479" t="s">
        <v>415</v>
      </c>
    </row>
    <row r="21" spans="1:20">
      <c r="A21" s="287" t="str">
        <f>'Weigh Sheet'!C32</f>
        <v>ISIRF Ulva</v>
      </c>
      <c r="B21" s="288">
        <v>22</v>
      </c>
      <c r="C21" s="294">
        <v>1.1919999999999999</v>
      </c>
      <c r="D21" s="295">
        <v>6.2046400000000004</v>
      </c>
      <c r="E21" s="467">
        <v>92824848</v>
      </c>
      <c r="F21" s="294">
        <v>6.7517019999999999</v>
      </c>
      <c r="G21" s="467">
        <v>75386424</v>
      </c>
      <c r="H21" s="294"/>
      <c r="I21" s="294"/>
      <c r="J21" s="291">
        <v>4.4139621527999999</v>
      </c>
      <c r="K21" s="291">
        <v>8.3512052413959754</v>
      </c>
      <c r="L21" s="290">
        <v>7.6449363672198096</v>
      </c>
      <c r="M21" s="289">
        <v>33.255586960000002</v>
      </c>
      <c r="N21" s="291">
        <v>-12.561359571489787</v>
      </c>
      <c r="O21" s="290">
        <v>-12.984883338412269</v>
      </c>
      <c r="P21" s="289"/>
      <c r="Q21" s="291"/>
      <c r="R21" s="290"/>
      <c r="S21" s="505">
        <v>45567.746018518519</v>
      </c>
      <c r="T21" s="479" t="s">
        <v>416</v>
      </c>
    </row>
    <row r="22" spans="1:20">
      <c r="A22" s="287" t="str">
        <f>'Weigh Sheet'!C33</f>
        <v xml:space="preserve">20240407_E1_I </v>
      </c>
      <c r="B22" s="288">
        <v>23</v>
      </c>
      <c r="C22" s="295">
        <v>31.209</v>
      </c>
      <c r="D22" s="295">
        <v>3.9815044999999998</v>
      </c>
      <c r="E22" s="467">
        <v>69919800</v>
      </c>
      <c r="F22" s="294">
        <v>6.3910609999999997</v>
      </c>
      <c r="G22" s="467">
        <v>71761600</v>
      </c>
      <c r="H22" s="294"/>
      <c r="I22" s="294"/>
      <c r="J22" s="291">
        <v>0.12535849200000002</v>
      </c>
      <c r="K22" s="291">
        <v>6.2732222862914444</v>
      </c>
      <c r="L22" s="290">
        <v>5.6620981943653694</v>
      </c>
      <c r="M22" s="289">
        <v>1.2083380399999999</v>
      </c>
      <c r="N22" s="291">
        <v>-14.709543115417564</v>
      </c>
      <c r="O22" s="290">
        <v>-15.207297940334298</v>
      </c>
      <c r="P22" s="289"/>
      <c r="Q22" s="291"/>
      <c r="R22" s="290"/>
      <c r="S22" s="505">
        <v>45567.754120370373</v>
      </c>
      <c r="T22" s="479" t="s">
        <v>417</v>
      </c>
    </row>
    <row r="23" spans="1:20">
      <c r="A23" s="287" t="str">
        <f>'Weigh Sheet'!C34</f>
        <v>20240407_E2_A</v>
      </c>
      <c r="B23" s="288">
        <v>24</v>
      </c>
      <c r="C23" s="295">
        <v>30.89</v>
      </c>
      <c r="D23" s="295">
        <v>5.6963509999999999</v>
      </c>
      <c r="E23" s="467">
        <v>99008560</v>
      </c>
      <c r="F23" s="294">
        <v>10.165084999999999</v>
      </c>
      <c r="G23" s="467">
        <v>120148352</v>
      </c>
      <c r="H23" s="294"/>
      <c r="I23" s="294"/>
      <c r="J23" s="291">
        <v>0.17677188720000001</v>
      </c>
      <c r="K23" s="291">
        <v>6.0963745871984454</v>
      </c>
      <c r="L23" s="290">
        <v>5.4933478359075769</v>
      </c>
      <c r="M23" s="289">
        <v>2.0375007599999999</v>
      </c>
      <c r="N23" s="291">
        <v>-16.087446263830163</v>
      </c>
      <c r="O23" s="290">
        <v>-16.632814901267434</v>
      </c>
      <c r="P23" s="289"/>
      <c r="Q23" s="291"/>
      <c r="R23" s="290"/>
      <c r="S23" s="505">
        <v>45567.762106481481</v>
      </c>
      <c r="T23" s="479" t="s">
        <v>418</v>
      </c>
    </row>
    <row r="24" spans="1:20">
      <c r="A24" s="287" t="str">
        <f>'Weigh Sheet'!C35</f>
        <v xml:space="preserve">20240407_E2_B </v>
      </c>
      <c r="B24" s="288">
        <v>25</v>
      </c>
      <c r="C24" s="295">
        <v>28.09</v>
      </c>
      <c r="D24" s="295">
        <v>5.4678950000000004</v>
      </c>
      <c r="E24" s="467">
        <v>100683464</v>
      </c>
      <c r="F24" s="294">
        <v>9.2681199999999997</v>
      </c>
      <c r="G24" s="467">
        <v>112197736</v>
      </c>
      <c r="H24" s="294"/>
      <c r="I24" s="294"/>
      <c r="J24" s="291">
        <v>0.19658868720000003</v>
      </c>
      <c r="K24" s="291">
        <v>5.158710790154573</v>
      </c>
      <c r="L24" s="290">
        <v>4.5986169308657203</v>
      </c>
      <c r="M24" s="289">
        <v>2.0929579400000002</v>
      </c>
      <c r="N24" s="291">
        <v>-17.426920017926026</v>
      </c>
      <c r="O24" s="290">
        <v>-18.01857452986556</v>
      </c>
      <c r="P24" s="289"/>
      <c r="Q24" s="291"/>
      <c r="R24" s="290"/>
      <c r="S24" s="505">
        <v>45567.770127314812</v>
      </c>
      <c r="T24" s="479" t="s">
        <v>419</v>
      </c>
    </row>
    <row r="25" spans="1:20">
      <c r="A25" s="287" t="str">
        <f>'Weigh Sheet'!C36</f>
        <v xml:space="preserve">20240407_E2_C </v>
      </c>
      <c r="B25" s="288">
        <v>26</v>
      </c>
      <c r="C25" s="295">
        <v>31.49</v>
      </c>
      <c r="D25" s="295">
        <v>6.5768325000000001</v>
      </c>
      <c r="E25" s="467">
        <v>111430424</v>
      </c>
      <c r="F25" s="294">
        <v>10.289374</v>
      </c>
      <c r="G25" s="467">
        <v>123467192</v>
      </c>
      <c r="H25" s="294"/>
      <c r="I25" s="294"/>
      <c r="J25" s="291">
        <v>0.2036813784</v>
      </c>
      <c r="K25" s="291">
        <v>5.5985837421891054</v>
      </c>
      <c r="L25" s="290">
        <v>5.0183493826443559</v>
      </c>
      <c r="M25" s="289">
        <v>2.0509850599999999</v>
      </c>
      <c r="N25" s="291">
        <v>-17.354559953235086</v>
      </c>
      <c r="O25" s="290">
        <v>-17.943714043749399</v>
      </c>
      <c r="P25" s="289"/>
      <c r="Q25" s="291"/>
      <c r="R25" s="290"/>
      <c r="S25" s="505">
        <v>45567.778136574074</v>
      </c>
      <c r="T25" s="479" t="s">
        <v>420</v>
      </c>
    </row>
    <row r="26" spans="1:20">
      <c r="A26" s="287" t="str">
        <f>'Weigh Sheet'!C37</f>
        <v xml:space="preserve">R2-20240407_E2_D </v>
      </c>
      <c r="B26" s="288">
        <v>27</v>
      </c>
      <c r="C26" s="295">
        <v>29.428000000000001</v>
      </c>
      <c r="D26" s="295">
        <v>5.2645759999999999</v>
      </c>
      <c r="E26" s="467">
        <v>95495736</v>
      </c>
      <c r="F26" s="294">
        <v>10.439545000000001</v>
      </c>
      <c r="G26" s="467">
        <v>123458400</v>
      </c>
      <c r="H26" s="294"/>
      <c r="I26" s="294"/>
      <c r="J26" s="291">
        <v>0.1836939816</v>
      </c>
      <c r="K26" s="291">
        <v>6.1023384289093929</v>
      </c>
      <c r="L26" s="290">
        <v>5.4990386106910174</v>
      </c>
      <c r="M26" s="289">
        <v>2.1901003599999997</v>
      </c>
      <c r="N26" s="291">
        <v>-16.125390495899314</v>
      </c>
      <c r="O26" s="290">
        <v>-16.672070306443388</v>
      </c>
      <c r="P26" s="289"/>
      <c r="Q26" s="291"/>
      <c r="R26" s="290"/>
      <c r="S26" s="505">
        <v>45567.786157407405</v>
      </c>
      <c r="T26" s="479" t="s">
        <v>421</v>
      </c>
    </row>
    <row r="27" spans="1:20">
      <c r="A27" s="287" t="str">
        <f>'Weigh Sheet'!C38</f>
        <v xml:space="preserve">R2-20240407_E2_D </v>
      </c>
      <c r="B27" s="288">
        <v>28</v>
      </c>
      <c r="C27" s="295">
        <v>29.161999999999999</v>
      </c>
      <c r="D27" s="295">
        <v>5.2045909999999997</v>
      </c>
      <c r="E27" s="467">
        <v>88236912</v>
      </c>
      <c r="F27" s="294">
        <v>9.7634410000000003</v>
      </c>
      <c r="G27" s="467">
        <v>116314072</v>
      </c>
      <c r="H27" s="294"/>
      <c r="I27" s="294"/>
      <c r="J27" s="291">
        <v>0.17583618960000003</v>
      </c>
      <c r="K27" s="291">
        <v>6.2245578146030853</v>
      </c>
      <c r="L27" s="290">
        <v>5.6156619269800014</v>
      </c>
      <c r="M27" s="289">
        <v>2.0911240000000002</v>
      </c>
      <c r="N27" s="291">
        <v>-16.14374518537587</v>
      </c>
      <c r="O27" s="290">
        <v>-16.691059247133182</v>
      </c>
      <c r="P27" s="289"/>
      <c r="Q27" s="291"/>
      <c r="R27" s="290"/>
      <c r="S27" s="505">
        <v>45567.794166666667</v>
      </c>
      <c r="T27" s="479" t="s">
        <v>422</v>
      </c>
    </row>
    <row r="28" spans="1:20">
      <c r="A28" s="287" t="str">
        <f>'Weigh Sheet'!C39</f>
        <v xml:space="preserve">20240407_E2_E </v>
      </c>
      <c r="B28" s="288">
        <v>29</v>
      </c>
      <c r="C28" s="295">
        <v>29.864000000000001</v>
      </c>
      <c r="D28" s="295">
        <v>6.7183440000000001</v>
      </c>
      <c r="E28" s="467">
        <v>111264408</v>
      </c>
      <c r="F28" s="294">
        <v>10.322065</v>
      </c>
      <c r="G28" s="467">
        <v>124469240</v>
      </c>
      <c r="H28" s="294"/>
      <c r="I28" s="294"/>
      <c r="J28" s="291">
        <v>0.2073362856</v>
      </c>
      <c r="K28" s="291">
        <v>5.8123426371746163</v>
      </c>
      <c r="L28" s="290">
        <v>5.2223208809298818</v>
      </c>
      <c r="M28" s="289">
        <v>2.1810481599999996</v>
      </c>
      <c r="N28" s="289">
        <v>-17.293578893026901</v>
      </c>
      <c r="O28" s="290">
        <v>-17.880625766665052</v>
      </c>
      <c r="P28" s="289"/>
      <c r="Q28" s="289"/>
      <c r="R28" s="290"/>
      <c r="S28" s="505">
        <v>45567.802199074074</v>
      </c>
      <c r="T28" s="479" t="s">
        <v>423</v>
      </c>
    </row>
    <row r="29" spans="1:20">
      <c r="A29" s="287" t="str">
        <f>'Weigh Sheet'!C40</f>
        <v xml:space="preserve">20240407_E2_F </v>
      </c>
      <c r="B29" s="288">
        <v>30</v>
      </c>
      <c r="C29" s="295">
        <v>32.372999999999998</v>
      </c>
      <c r="D29" s="295">
        <v>5.3575189999999999</v>
      </c>
      <c r="E29" s="467">
        <v>99320808</v>
      </c>
      <c r="F29" s="294">
        <v>9.0751360000000005</v>
      </c>
      <c r="G29" s="467">
        <v>108688536</v>
      </c>
      <c r="H29" s="294"/>
      <c r="I29" s="294"/>
      <c r="J29" s="291">
        <v>0.1762609584</v>
      </c>
      <c r="K29" s="291">
        <v>6.1946546341312505</v>
      </c>
      <c r="L29" s="290">
        <v>5.5871279259750084</v>
      </c>
      <c r="M29" s="289">
        <v>1.7579438199999999</v>
      </c>
      <c r="N29" s="291">
        <v>-16.913927332509701</v>
      </c>
      <c r="O29" s="290">
        <v>-17.487855244741585</v>
      </c>
      <c r="P29" s="289"/>
      <c r="Q29" s="291"/>
      <c r="R29" s="290"/>
      <c r="S29" s="505">
        <v>45567.810219907406</v>
      </c>
      <c r="T29" s="479" t="s">
        <v>424</v>
      </c>
    </row>
    <row r="30" spans="1:20">
      <c r="A30" s="287" t="str">
        <f>'Weigh Sheet'!C41</f>
        <v xml:space="preserve">20240407_E2_G </v>
      </c>
      <c r="B30" s="288">
        <v>31</v>
      </c>
      <c r="C30" s="295">
        <v>28.431000000000001</v>
      </c>
      <c r="D30" s="295">
        <v>5.3171200000000001</v>
      </c>
      <c r="E30" s="467">
        <v>95321672</v>
      </c>
      <c r="F30" s="294">
        <v>9.8064750000000007</v>
      </c>
      <c r="G30" s="467">
        <v>115189024</v>
      </c>
      <c r="H30" s="294"/>
      <c r="I30" s="294"/>
      <c r="J30" s="291">
        <v>0.19414949760000003</v>
      </c>
      <c r="K30" s="291">
        <v>6.40992838926869</v>
      </c>
      <c r="L30" s="290">
        <v>5.7925449233818824</v>
      </c>
      <c r="M30" s="289">
        <v>2.1193775799999997</v>
      </c>
      <c r="N30" s="291">
        <v>-17.265973144694858</v>
      </c>
      <c r="O30" s="290">
        <v>-17.852066094302071</v>
      </c>
      <c r="P30" s="289"/>
      <c r="Q30" s="291"/>
      <c r="R30" s="290"/>
      <c r="S30" s="505">
        <v>45567.81826388889</v>
      </c>
      <c r="T30" s="479" t="s">
        <v>425</v>
      </c>
    </row>
    <row r="31" spans="1:20">
      <c r="A31" s="287" t="str">
        <f>'Weigh Sheet'!C42</f>
        <v xml:space="preserve">20240407_E3_A </v>
      </c>
      <c r="B31" s="288">
        <v>32</v>
      </c>
      <c r="C31" s="295">
        <v>29.460999999999999</v>
      </c>
      <c r="D31" s="295">
        <v>6.2878965000000004</v>
      </c>
      <c r="E31" s="467">
        <v>113705464</v>
      </c>
      <c r="F31" s="294">
        <v>10.839922</v>
      </c>
      <c r="G31" s="467">
        <v>129394344</v>
      </c>
      <c r="H31" s="294"/>
      <c r="I31" s="294"/>
      <c r="J31" s="291">
        <v>0.21638480880000002</v>
      </c>
      <c r="K31" s="291">
        <v>7.8447273384523672</v>
      </c>
      <c r="L31" s="290">
        <v>7.161648611082593</v>
      </c>
      <c r="M31" s="289">
        <v>2.2964923800000001</v>
      </c>
      <c r="N31" s="291">
        <v>-17.618120677956334</v>
      </c>
      <c r="O31" s="290">
        <v>-18.216382179937927</v>
      </c>
      <c r="P31" s="289"/>
      <c r="Q31" s="291"/>
      <c r="R31" s="290"/>
      <c r="S31" s="505">
        <v>45567.826261574075</v>
      </c>
      <c r="T31" s="479" t="s">
        <v>426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0.1134904765625</v>
      </c>
      <c r="E32" s="467">
        <v>2722808</v>
      </c>
      <c r="F32" s="294">
        <v>0.13807498437499999</v>
      </c>
      <c r="G32" s="467">
        <v>2759528</v>
      </c>
      <c r="H32" s="294"/>
      <c r="I32" s="294"/>
      <c r="J32" s="291">
        <v>9.2260128000000007E-3</v>
      </c>
      <c r="K32" s="291">
        <v>6.8944159645803005</v>
      </c>
      <c r="L32" s="290">
        <v>6.2548492248881606</v>
      </c>
      <c r="M32" s="289">
        <v>4.0612699999999995E-2</v>
      </c>
      <c r="N32" s="291">
        <v>-16.575785684555669</v>
      </c>
      <c r="O32" s="290">
        <v>-17.138029021533033</v>
      </c>
      <c r="P32" s="289"/>
      <c r="Q32" s="291"/>
      <c r="R32" s="290"/>
      <c r="S32" s="505">
        <v>45567.834351851852</v>
      </c>
      <c r="T32" s="479" t="s">
        <v>427</v>
      </c>
    </row>
    <row r="33" spans="1:37">
      <c r="A33" s="287" t="str">
        <f>'Weigh Sheet'!C44</f>
        <v>ISIRF Ulva</v>
      </c>
      <c r="B33" s="288">
        <v>34</v>
      </c>
      <c r="C33" s="294">
        <v>1.194</v>
      </c>
      <c r="D33" s="295">
        <v>6.2360835000000003</v>
      </c>
      <c r="E33" s="467">
        <v>94908128</v>
      </c>
      <c r="F33" s="294">
        <v>6.7372975000000004</v>
      </c>
      <c r="G33" s="467">
        <v>76892336</v>
      </c>
      <c r="H33" s="294"/>
      <c r="I33" s="294"/>
      <c r="J33" s="291">
        <v>4.3412034791999998</v>
      </c>
      <c r="K33" s="291">
        <v>8.0778659734039753</v>
      </c>
      <c r="L33" s="290">
        <v>7.3841125075325857</v>
      </c>
      <c r="M33" s="289">
        <v>33.788339479999998</v>
      </c>
      <c r="N33" s="291">
        <v>-12.500622930703567</v>
      </c>
      <c r="O33" s="290">
        <v>-12.922047926728506</v>
      </c>
      <c r="P33" s="289"/>
      <c r="Q33" s="291"/>
      <c r="R33" s="290"/>
      <c r="S33" s="505">
        <v>45567.842326388891</v>
      </c>
      <c r="T33" s="479" t="s">
        <v>428</v>
      </c>
    </row>
    <row r="34" spans="1:37">
      <c r="A34" s="287" t="str">
        <f>'Weigh Sheet'!C45</f>
        <v>ISIRF Chitin</v>
      </c>
      <c r="B34" s="288">
        <v>35</v>
      </c>
      <c r="C34" s="295">
        <v>0.99299999999999999</v>
      </c>
      <c r="D34" s="295">
        <v>8.1443204999999992</v>
      </c>
      <c r="E34" s="467">
        <v>120973856</v>
      </c>
      <c r="F34" s="294">
        <v>7.7999080000000003</v>
      </c>
      <c r="G34" s="467">
        <v>87760752</v>
      </c>
      <c r="H34" s="294"/>
      <c r="I34" s="294"/>
      <c r="J34" s="291">
        <v>6.5736771456000005</v>
      </c>
      <c r="K34" s="291">
        <v>-4.8679062809733971</v>
      </c>
      <c r="L34" s="290">
        <v>-4.9689105718930415</v>
      </c>
      <c r="M34" s="289">
        <v>46.313327180000002</v>
      </c>
      <c r="N34" s="291">
        <v>-20.40143373526179</v>
      </c>
      <c r="O34" s="290">
        <v>-21.095873365763648</v>
      </c>
      <c r="P34" s="289"/>
      <c r="Q34" s="291"/>
      <c r="R34" s="290"/>
      <c r="S34" s="505">
        <v>45567.850324074076</v>
      </c>
      <c r="T34" s="479" t="s">
        <v>429</v>
      </c>
    </row>
    <row r="35" spans="1:37">
      <c r="A35" s="287" t="str">
        <f>'Weigh Sheet'!C46</f>
        <v>ISIRF Bamboo</v>
      </c>
      <c r="B35" s="288">
        <v>36</v>
      </c>
      <c r="C35" s="295">
        <v>1.4079999999999999</v>
      </c>
      <c r="D35" s="295">
        <v>5.2659155000000002</v>
      </c>
      <c r="E35" s="467">
        <v>79752976</v>
      </c>
      <c r="F35" s="294">
        <v>10.786918999999999</v>
      </c>
      <c r="G35" s="467">
        <v>123621344</v>
      </c>
      <c r="H35" s="294"/>
      <c r="I35" s="294"/>
      <c r="J35" s="291">
        <v>3.1571669112</v>
      </c>
      <c r="K35" s="291">
        <v>2.5779278014055542</v>
      </c>
      <c r="L35" s="290">
        <v>2.1360004722588655</v>
      </c>
      <c r="M35" s="289">
        <v>45.897820859999996</v>
      </c>
      <c r="N35" s="291">
        <v>-29.230381581351679</v>
      </c>
      <c r="O35" s="290">
        <v>-30.229907870507024</v>
      </c>
      <c r="P35" s="289"/>
      <c r="Q35" s="291"/>
      <c r="R35" s="290"/>
      <c r="S35" s="505">
        <v>45567.85832175926</v>
      </c>
      <c r="T35" s="479" t="s">
        <v>430</v>
      </c>
    </row>
    <row r="36" spans="1:37">
      <c r="A36" s="287" t="str">
        <f>'Weigh Sheet'!C47</f>
        <v>NBS 1575 Pine Needles</v>
      </c>
      <c r="B36" s="288">
        <v>37</v>
      </c>
      <c r="C36" s="295">
        <v>6.4219999999999997</v>
      </c>
      <c r="D36" s="295">
        <v>8.6169740000000008</v>
      </c>
      <c r="E36" s="467">
        <v>143777728</v>
      </c>
      <c r="F36" s="294">
        <v>41.723323999999998</v>
      </c>
      <c r="G36" s="467">
        <v>637239360</v>
      </c>
      <c r="H36" s="294"/>
      <c r="I36" s="294"/>
      <c r="J36" s="291">
        <v>1.2222950544</v>
      </c>
      <c r="K36" s="291">
        <v>0.77803493931981105</v>
      </c>
      <c r="L36" s="290">
        <v>0.41851945768898713</v>
      </c>
      <c r="M36" s="289">
        <v>52.024598919999995</v>
      </c>
      <c r="N36" s="291">
        <v>-25.186038544321153</v>
      </c>
      <c r="O36" s="290">
        <v>-26.045811476097384</v>
      </c>
      <c r="P36" s="289"/>
      <c r="Q36" s="291"/>
      <c r="R36" s="290"/>
      <c r="S36" s="505">
        <v>45567.866388888891</v>
      </c>
      <c r="T36" s="479" t="s">
        <v>431</v>
      </c>
    </row>
    <row r="37" spans="1:37">
      <c r="A37" s="287" t="str">
        <f>'Weigh Sheet'!C48</f>
        <v>20240407_E3_A_Dup</v>
      </c>
      <c r="B37" s="288">
        <v>38</v>
      </c>
      <c r="C37" s="295">
        <v>30.619</v>
      </c>
      <c r="D37" s="295">
        <v>6.7239180000000003</v>
      </c>
      <c r="E37" s="467">
        <v>114681400</v>
      </c>
      <c r="F37" s="294">
        <v>10.569471999999999</v>
      </c>
      <c r="G37" s="467">
        <v>126876040</v>
      </c>
      <c r="H37" s="294"/>
      <c r="I37" s="294"/>
      <c r="J37" s="291">
        <v>0.20845291920000003</v>
      </c>
      <c r="K37" s="291">
        <v>7.5491875987062915</v>
      </c>
      <c r="L37" s="290">
        <v>6.879640774529137</v>
      </c>
      <c r="M37" s="289">
        <v>2.1688319200000001</v>
      </c>
      <c r="N37" s="291">
        <v>-17.461851650866972</v>
      </c>
      <c r="O37" s="290">
        <v>-18.054713234743168</v>
      </c>
      <c r="P37" s="289"/>
      <c r="Q37" s="291"/>
      <c r="R37" s="290"/>
      <c r="S37" s="505">
        <v>45567.874398148146</v>
      </c>
      <c r="T37" s="479" t="s">
        <v>432</v>
      </c>
    </row>
    <row r="38" spans="1:37">
      <c r="A38" s="287" t="str">
        <f>'Weigh Sheet'!C49</f>
        <v xml:space="preserve">20240407_E3_B </v>
      </c>
      <c r="B38" s="288">
        <v>39</v>
      </c>
      <c r="C38" s="295">
        <v>30.324000000000002</v>
      </c>
      <c r="D38" s="295">
        <v>6.6198750000000004</v>
      </c>
      <c r="E38" s="467">
        <v>115091912</v>
      </c>
      <c r="F38" s="294">
        <v>10.651270999999999</v>
      </c>
      <c r="G38" s="467">
        <v>126392536</v>
      </c>
      <c r="H38" s="294"/>
      <c r="I38" s="294"/>
      <c r="J38" s="291">
        <v>0.21283070879999999</v>
      </c>
      <c r="K38" s="291">
        <v>7.5931939297294386</v>
      </c>
      <c r="L38" s="290">
        <v>6.9216321839320001</v>
      </c>
      <c r="M38" s="289">
        <v>2.1813066600000002</v>
      </c>
      <c r="N38" s="291">
        <v>-16.771783040728547</v>
      </c>
      <c r="O38" s="290">
        <v>-17.340799118868514</v>
      </c>
      <c r="P38" s="289"/>
      <c r="Q38" s="291"/>
      <c r="R38" s="290"/>
      <c r="S38" s="505">
        <v>45567.882430555554</v>
      </c>
      <c r="T38" s="479" t="s">
        <v>433</v>
      </c>
    </row>
    <row r="39" spans="1:37">
      <c r="A39" s="287" t="str">
        <f>'Weigh Sheet'!C50</f>
        <v xml:space="preserve">20240407_E3_C </v>
      </c>
      <c r="B39" s="288">
        <v>40</v>
      </c>
      <c r="C39" s="295">
        <v>30.187000000000001</v>
      </c>
      <c r="D39" s="295">
        <v>6.8364950000000002</v>
      </c>
      <c r="E39" s="467">
        <v>124689672</v>
      </c>
      <c r="F39" s="294">
        <v>11.457321</v>
      </c>
      <c r="G39" s="467">
        <v>135697184</v>
      </c>
      <c r="H39" s="294"/>
      <c r="I39" s="294"/>
      <c r="J39" s="291">
        <v>0.2312439624</v>
      </c>
      <c r="K39" s="291">
        <v>7.5825160594740817</v>
      </c>
      <c r="L39" s="290">
        <v>6.9114432222299325</v>
      </c>
      <c r="M39" s="289">
        <v>2.3474018399999999</v>
      </c>
      <c r="N39" s="291">
        <v>-16.576269960262035</v>
      </c>
      <c r="O39" s="290">
        <v>-17.138530031516201</v>
      </c>
      <c r="P39" s="289"/>
      <c r="Q39" s="291"/>
      <c r="R39" s="290"/>
      <c r="S39" s="505">
        <v>45567.890451388892</v>
      </c>
      <c r="T39" s="479" t="s">
        <v>434</v>
      </c>
    </row>
    <row r="40" spans="1:37">
      <c r="A40" s="287" t="str">
        <f>'Weigh Sheet'!C51</f>
        <v xml:space="preserve">20240407_E3_D </v>
      </c>
      <c r="B40" s="288">
        <v>41</v>
      </c>
      <c r="C40" s="295">
        <v>29.254999999999999</v>
      </c>
      <c r="D40" s="295">
        <v>6.1817504999999997</v>
      </c>
      <c r="E40" s="467">
        <v>111203192</v>
      </c>
      <c r="F40" s="294">
        <v>10.186275999999999</v>
      </c>
      <c r="G40" s="467">
        <v>122205464</v>
      </c>
      <c r="H40" s="294"/>
      <c r="I40" s="294"/>
      <c r="J40" s="291">
        <v>0.21678459120000004</v>
      </c>
      <c r="K40" s="291">
        <v>7.315277648285015</v>
      </c>
      <c r="L40" s="290">
        <v>6.6564408788964684</v>
      </c>
      <c r="M40" s="289">
        <v>2.1881225999999998</v>
      </c>
      <c r="N40" s="291">
        <v>-16.162402235258345</v>
      </c>
      <c r="O40" s="290">
        <v>-16.710360996373748</v>
      </c>
      <c r="P40" s="289"/>
      <c r="Q40" s="291"/>
      <c r="R40" s="290"/>
      <c r="S40" s="505">
        <v>45567.898460648146</v>
      </c>
      <c r="T40" s="479" t="s">
        <v>435</v>
      </c>
    </row>
    <row r="41" spans="1:37">
      <c r="A41" s="287" t="str">
        <f>'Weigh Sheet'!C52</f>
        <v xml:space="preserve">20240407_E3_E </v>
      </c>
      <c r="B41" s="288">
        <v>42</v>
      </c>
      <c r="C41" s="295">
        <v>28.218</v>
      </c>
      <c r="D41" s="295">
        <v>5.5224099999999998</v>
      </c>
      <c r="E41" s="467">
        <v>97618936</v>
      </c>
      <c r="F41" s="294">
        <v>9.0639070000000004</v>
      </c>
      <c r="G41" s="467">
        <v>108110536</v>
      </c>
      <c r="H41" s="294"/>
      <c r="I41" s="294"/>
      <c r="J41" s="291">
        <v>0.19527560880000003</v>
      </c>
      <c r="K41" s="291">
        <v>7.4665095219283524</v>
      </c>
      <c r="L41" s="290">
        <v>6.8007482858825004</v>
      </c>
      <c r="M41" s="289">
        <v>2.0081896800000001</v>
      </c>
      <c r="N41" s="291">
        <v>-15.265282729602145</v>
      </c>
      <c r="O41" s="290">
        <v>-15.782241285804712</v>
      </c>
      <c r="P41" s="289"/>
      <c r="Q41" s="291"/>
      <c r="R41" s="290"/>
      <c r="S41" s="505">
        <v>45567.906493055554</v>
      </c>
      <c r="T41" s="479" t="s">
        <v>436</v>
      </c>
    </row>
    <row r="42" spans="1:37">
      <c r="A42" s="287" t="str">
        <f>'Weigh Sheet'!C53</f>
        <v xml:space="preserve">20240407_E3_F </v>
      </c>
      <c r="B42" s="288">
        <v>43</v>
      </c>
      <c r="C42" s="295">
        <v>29.16</v>
      </c>
      <c r="D42" s="295">
        <v>5.824802</v>
      </c>
      <c r="E42" s="467">
        <v>93861480</v>
      </c>
      <c r="F42" s="294">
        <v>9.3266960000000001</v>
      </c>
      <c r="G42" s="467">
        <v>110419232</v>
      </c>
      <c r="H42" s="294"/>
      <c r="I42" s="294"/>
      <c r="J42" s="291">
        <v>0.18640888319999999</v>
      </c>
      <c r="K42" s="291">
        <v>7.4772968737919951</v>
      </c>
      <c r="L42" s="290">
        <v>6.8110417163491466</v>
      </c>
      <c r="M42" s="289">
        <v>1.98267244</v>
      </c>
      <c r="N42" s="291">
        <v>-15.609356047430667</v>
      </c>
      <c r="O42" s="290">
        <v>-16.138204149329738</v>
      </c>
      <c r="P42" s="289"/>
      <c r="Q42" s="291"/>
      <c r="R42" s="290"/>
      <c r="S42" s="505">
        <v>45567.914513888885</v>
      </c>
      <c r="T42" s="479" t="s">
        <v>437</v>
      </c>
    </row>
    <row r="43" spans="1:37">
      <c r="A43" s="287" t="str">
        <f>'Weigh Sheet'!C54</f>
        <v xml:space="preserve">20240407_E3_G </v>
      </c>
      <c r="B43" s="288">
        <v>44</v>
      </c>
      <c r="C43" s="295">
        <v>28.614999999999998</v>
      </c>
      <c r="D43" s="295">
        <v>6.6459264999999998</v>
      </c>
      <c r="E43" s="467">
        <v>114616664</v>
      </c>
      <c r="F43" s="294">
        <v>11.162887</v>
      </c>
      <c r="G43" s="467">
        <v>131405432</v>
      </c>
      <c r="H43" s="294"/>
      <c r="I43" s="294"/>
      <c r="J43" s="291">
        <v>0.22537474320000001</v>
      </c>
      <c r="K43" s="291">
        <v>7.3561031456542834</v>
      </c>
      <c r="L43" s="290">
        <v>6.6953970957464186</v>
      </c>
      <c r="M43" s="289">
        <v>2.4037661199999998</v>
      </c>
      <c r="N43" s="291">
        <v>-15.302293240396329</v>
      </c>
      <c r="O43" s="290">
        <v>-15.820530704716839</v>
      </c>
      <c r="P43" s="289"/>
      <c r="Q43" s="291"/>
      <c r="R43" s="290"/>
      <c r="S43" s="505">
        <v>45567.922534722224</v>
      </c>
      <c r="T43" s="479" t="s">
        <v>438</v>
      </c>
    </row>
    <row r="44" spans="1:37">
      <c r="A44" s="287" t="str">
        <f>'Weigh Sheet'!C55</f>
        <v xml:space="preserve">20240407_E3_H </v>
      </c>
      <c r="B44" s="288">
        <v>45</v>
      </c>
      <c r="C44" s="295">
        <v>28.013000000000002</v>
      </c>
      <c r="D44" s="295">
        <v>6.923127</v>
      </c>
      <c r="E44" s="467">
        <v>118384576</v>
      </c>
      <c r="F44" s="294">
        <v>11.199198000000001</v>
      </c>
      <c r="G44" s="467">
        <v>132939272</v>
      </c>
      <c r="H44" s="294"/>
      <c r="I44" s="294"/>
      <c r="J44" s="291">
        <v>0.23643337919999999</v>
      </c>
      <c r="K44" s="291">
        <v>7.2763757615074178</v>
      </c>
      <c r="L44" s="290">
        <v>6.6193201961164689</v>
      </c>
      <c r="M44" s="289">
        <v>2.4822335600000001</v>
      </c>
      <c r="N44" s="291">
        <v>-14.775280448253882</v>
      </c>
      <c r="O44" s="290">
        <v>-15.275306844321952</v>
      </c>
      <c r="P44" s="289"/>
      <c r="Q44" s="291"/>
      <c r="R44" s="290"/>
      <c r="S44" s="505">
        <v>45567.930567129632</v>
      </c>
      <c r="T44" s="479" t="s">
        <v>439</v>
      </c>
    </row>
    <row r="45" spans="1:37">
      <c r="A45" s="287" t="str">
        <f>'Weigh Sheet'!C56</f>
        <v xml:space="preserve">20240407_E3_I </v>
      </c>
      <c r="B45" s="288">
        <v>46</v>
      </c>
      <c r="C45" s="294">
        <v>28.969000000000001</v>
      </c>
      <c r="D45" s="295">
        <v>6.6528689999999999</v>
      </c>
      <c r="E45" s="467">
        <v>114292880</v>
      </c>
      <c r="F45" s="294">
        <v>9.6801499999999994</v>
      </c>
      <c r="G45" s="467">
        <v>116353896</v>
      </c>
      <c r="H45" s="294"/>
      <c r="I45" s="294"/>
      <c r="J45" s="291">
        <v>0.21936594480000002</v>
      </c>
      <c r="K45" s="291">
        <v>7.1355223491431907</v>
      </c>
      <c r="L45" s="290">
        <v>6.4849160509205097</v>
      </c>
      <c r="M45" s="289">
        <v>2.1030826799999995</v>
      </c>
      <c r="N45" s="291">
        <v>-14.760801033192946</v>
      </c>
      <c r="O45" s="290">
        <v>-15.260327089193638</v>
      </c>
      <c r="P45" s="289"/>
      <c r="Q45" s="291"/>
      <c r="R45" s="290"/>
      <c r="S45" s="505">
        <v>45567.938576388886</v>
      </c>
      <c r="T45" s="479" t="s">
        <v>440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>
      <c r="A46" s="287" t="str">
        <f>'Weigh Sheet'!C57</f>
        <v>ISIRF Ulva</v>
      </c>
      <c r="B46" s="288">
        <v>47</v>
      </c>
      <c r="C46" s="295">
        <v>1.224</v>
      </c>
      <c r="D46" s="295">
        <v>6.3295905000000001</v>
      </c>
      <c r="E46" s="467">
        <v>96717152</v>
      </c>
      <c r="F46" s="294">
        <v>6.8806849999999997</v>
      </c>
      <c r="G46" s="467">
        <v>78287040</v>
      </c>
      <c r="H46" s="294"/>
      <c r="I46" s="294"/>
      <c r="J46" s="291">
        <v>4.3815435912000007</v>
      </c>
      <c r="K46" s="291">
        <v>8.1927517174905766</v>
      </c>
      <c r="L46" s="290">
        <v>7.4937379682863003</v>
      </c>
      <c r="M46" s="289">
        <v>33.541341319999994</v>
      </c>
      <c r="N46" s="291">
        <v>-12.538919165724245</v>
      </c>
      <c r="O46" s="290">
        <v>-12.961667498412298</v>
      </c>
      <c r="P46" s="289"/>
      <c r="Q46" s="291"/>
      <c r="R46" s="290"/>
      <c r="S46" s="505">
        <v>45567.946608796294</v>
      </c>
      <c r="T46" s="479" t="s">
        <v>441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>
      <c r="A47" s="287" t="str">
        <f>'Weigh Sheet'!C58</f>
        <v xml:space="preserve">20240407_S2_A </v>
      </c>
      <c r="B47" s="288">
        <v>48</v>
      </c>
      <c r="C47" s="295">
        <v>30.315999999999999</v>
      </c>
      <c r="D47" s="295">
        <v>9.0616679999999992</v>
      </c>
      <c r="E47" s="467">
        <v>149567632</v>
      </c>
      <c r="F47" s="294">
        <v>14.856301</v>
      </c>
      <c r="G47" s="467">
        <v>173714096</v>
      </c>
      <c r="H47" s="294"/>
      <c r="I47" s="294"/>
      <c r="J47" s="291">
        <v>0.2712110016</v>
      </c>
      <c r="K47" s="291">
        <v>5.5656367729785634</v>
      </c>
      <c r="L47" s="290">
        <v>4.9869109591144403</v>
      </c>
      <c r="M47" s="289">
        <v>2.9852707999999999</v>
      </c>
      <c r="N47" s="291">
        <v>-24.645222783442723</v>
      </c>
      <c r="O47" s="290">
        <v>-25.486307681683158</v>
      </c>
      <c r="P47" s="289"/>
      <c r="Q47" s="291"/>
      <c r="R47" s="290"/>
      <c r="S47" s="505">
        <v>45567.954618055555</v>
      </c>
      <c r="T47" s="479" t="s">
        <v>442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20240407_S2_B </v>
      </c>
      <c r="B48" s="288">
        <v>49</v>
      </c>
      <c r="C48" s="295">
        <v>31.265000000000001</v>
      </c>
      <c r="D48" s="295">
        <v>31.96762</v>
      </c>
      <c r="E48" s="467">
        <v>511976640</v>
      </c>
      <c r="F48" s="294">
        <v>43.098052000000003</v>
      </c>
      <c r="G48" s="467">
        <v>647602496</v>
      </c>
      <c r="H48" s="294"/>
      <c r="I48" s="294"/>
      <c r="J48" s="291">
        <v>0.87838741440000012</v>
      </c>
      <c r="K48" s="291">
        <v>8.203762680885097</v>
      </c>
      <c r="L48" s="290">
        <v>7.5042447717636467</v>
      </c>
      <c r="M48" s="289">
        <v>10.87108778</v>
      </c>
      <c r="N48" s="291">
        <v>-23.732851158734238</v>
      </c>
      <c r="O48" s="290">
        <v>-24.542408811000982</v>
      </c>
      <c r="P48" s="289"/>
      <c r="Q48" s="291"/>
      <c r="R48" s="290"/>
      <c r="S48" s="505">
        <v>45567.96266203704</v>
      </c>
      <c r="T48" s="479" t="s">
        <v>443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20240407_S2_C </v>
      </c>
      <c r="B49" s="288">
        <v>50</v>
      </c>
      <c r="C49" s="295">
        <v>30.428000000000001</v>
      </c>
      <c r="D49" s="295">
        <v>2.0222305</v>
      </c>
      <c r="E49" s="467">
        <v>41906136</v>
      </c>
      <c r="F49" s="294">
        <v>4.6226355000000003</v>
      </c>
      <c r="G49" s="467">
        <v>51855356</v>
      </c>
      <c r="H49" s="294"/>
      <c r="I49" s="294"/>
      <c r="J49" s="291">
        <v>8.3287425600000006E-2</v>
      </c>
      <c r="K49" s="291">
        <v>5.8213546881108398</v>
      </c>
      <c r="L49" s="290">
        <v>5.2309202963236201</v>
      </c>
      <c r="M49" s="289">
        <v>0.89643569999999995</v>
      </c>
      <c r="N49" s="291">
        <v>-10.798013143250962</v>
      </c>
      <c r="O49" s="290">
        <v>-11.160604001833953</v>
      </c>
      <c r="P49" s="289"/>
      <c r="Q49" s="291"/>
      <c r="R49" s="290"/>
      <c r="S49" s="505">
        <v>45567.970682870371</v>
      </c>
      <c r="T49" s="479" t="s">
        <v>444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>
      <c r="A50" s="287" t="str">
        <f>'Weigh Sheet'!C61</f>
        <v xml:space="preserve">20240407_S2_D </v>
      </c>
      <c r="B50" s="288">
        <v>51</v>
      </c>
      <c r="C50" s="295">
        <v>31.658999999999999</v>
      </c>
      <c r="D50" s="295">
        <v>8.8917129999999993</v>
      </c>
      <c r="E50" s="467">
        <v>153498976</v>
      </c>
      <c r="F50" s="294">
        <v>15.274944</v>
      </c>
      <c r="G50" s="467">
        <v>180629248</v>
      </c>
      <c r="H50" s="294"/>
      <c r="I50" s="294"/>
      <c r="J50" s="291">
        <v>0.26394685200000001</v>
      </c>
      <c r="K50" s="291">
        <v>5.3613919978431115</v>
      </c>
      <c r="L50" s="290">
        <v>4.7920179568644423</v>
      </c>
      <c r="M50" s="289">
        <v>2.9760832399999999</v>
      </c>
      <c r="N50" s="291">
        <v>-24.294998140422411</v>
      </c>
      <c r="O50" s="290">
        <v>-25.123980932276012</v>
      </c>
      <c r="P50" s="289"/>
      <c r="Q50" s="291"/>
      <c r="R50" s="290"/>
      <c r="S50" s="505">
        <v>45567.978703703702</v>
      </c>
      <c r="T50" s="479" t="s">
        <v>445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20240407_S2_E </v>
      </c>
      <c r="B51" s="288">
        <v>52</v>
      </c>
      <c r="C51" s="295">
        <v>29.021999999999998</v>
      </c>
      <c r="D51" s="295">
        <v>5.3424719999999999</v>
      </c>
      <c r="E51" s="467">
        <v>91997536</v>
      </c>
      <c r="F51" s="294">
        <v>9.5254530000000006</v>
      </c>
      <c r="G51" s="467">
        <v>109965800</v>
      </c>
      <c r="H51" s="294"/>
      <c r="I51" s="294"/>
      <c r="J51" s="291">
        <v>0.18079211279999999</v>
      </c>
      <c r="K51" s="291">
        <v>6.3845604480240414</v>
      </c>
      <c r="L51" s="290">
        <v>5.7683385062199628</v>
      </c>
      <c r="M51" s="289">
        <v>1.9832345600000001</v>
      </c>
      <c r="N51" s="291">
        <v>-18.578261459368015</v>
      </c>
      <c r="O51" s="290">
        <v>-19.20970088333355</v>
      </c>
      <c r="P51" s="289"/>
      <c r="Q51" s="291"/>
      <c r="R51" s="290"/>
      <c r="S51" s="505">
        <v>45567.986712962964</v>
      </c>
      <c r="T51" s="479" t="s">
        <v>446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20240407_S2_F </v>
      </c>
      <c r="B52" s="288">
        <v>53</v>
      </c>
      <c r="C52" s="295">
        <v>30.54</v>
      </c>
      <c r="D52" s="295">
        <v>1.681394375</v>
      </c>
      <c r="E52" s="467">
        <v>33707936</v>
      </c>
      <c r="F52" s="294">
        <v>4.5636694999999996</v>
      </c>
      <c r="G52" s="467">
        <v>50210960</v>
      </c>
      <c r="H52" s="294"/>
      <c r="I52" s="294"/>
      <c r="J52" s="291">
        <v>6.4962055200000007E-2</v>
      </c>
      <c r="K52" s="291">
        <v>6.2361759750879182</v>
      </c>
      <c r="L52" s="290">
        <v>5.6267481257628571</v>
      </c>
      <c r="M52" s="289">
        <v>0.86577572000000003</v>
      </c>
      <c r="N52" s="291">
        <v>-9.412653034136758</v>
      </c>
      <c r="O52" s="290">
        <v>-9.7273724029239794</v>
      </c>
      <c r="P52" s="289"/>
      <c r="Q52" s="291"/>
      <c r="R52" s="290"/>
      <c r="S52" s="505">
        <v>45567.994733796295</v>
      </c>
      <c r="T52" s="479" t="s">
        <v>447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20240407_S2_G </v>
      </c>
      <c r="B53" s="288">
        <v>54</v>
      </c>
      <c r="C53" s="295">
        <v>30.96</v>
      </c>
      <c r="D53" s="295">
        <v>4.6729139999999996</v>
      </c>
      <c r="E53" s="467">
        <v>91999536</v>
      </c>
      <c r="F53" s="294">
        <v>8.7676069999999999</v>
      </c>
      <c r="G53" s="467">
        <v>102500944</v>
      </c>
      <c r="H53" s="294"/>
      <c r="I53" s="294"/>
      <c r="J53" s="291">
        <v>0.16584162960000001</v>
      </c>
      <c r="K53" s="291">
        <v>6.1146542644512083</v>
      </c>
      <c r="L53" s="290">
        <v>5.5107905400237005</v>
      </c>
      <c r="M53" s="289">
        <v>1.7348546</v>
      </c>
      <c r="N53" s="291">
        <v>-16.38253855348275</v>
      </c>
      <c r="O53" s="290">
        <v>-16.938104184062798</v>
      </c>
      <c r="P53" s="289"/>
      <c r="Q53" s="291"/>
      <c r="R53" s="290"/>
      <c r="S53" s="505">
        <v>45568.00273148148</v>
      </c>
      <c r="T53" s="479" t="s">
        <v>448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>20240407_S2_H</v>
      </c>
      <c r="B54" s="288">
        <v>55</v>
      </c>
      <c r="C54" s="295">
        <v>29.221</v>
      </c>
      <c r="D54" s="295">
        <v>4.3337804999999996</v>
      </c>
      <c r="E54" s="467">
        <v>73810048</v>
      </c>
      <c r="F54" s="294">
        <v>7.6384664999999998</v>
      </c>
      <c r="G54" s="467">
        <v>89233280</v>
      </c>
      <c r="H54" s="294"/>
      <c r="I54" s="294"/>
      <c r="J54" s="291">
        <v>0.14022884640000002</v>
      </c>
      <c r="K54" s="291">
        <v>6.7273544568891559</v>
      </c>
      <c r="L54" s="290">
        <v>6.0954369766544136</v>
      </c>
      <c r="M54" s="289">
        <v>1.6009760399999999</v>
      </c>
      <c r="N54" s="291">
        <v>-15.738860432105081</v>
      </c>
      <c r="O54" s="290">
        <v>-16.272183592718967</v>
      </c>
      <c r="P54" s="289"/>
      <c r="Q54" s="291"/>
      <c r="R54" s="290"/>
      <c r="S54" s="505">
        <v>45568.010752314818</v>
      </c>
      <c r="T54" s="479" t="s">
        <v>449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20240407_S2_I </v>
      </c>
      <c r="B55" s="288">
        <v>56</v>
      </c>
      <c r="C55" s="295">
        <v>29.818999999999999</v>
      </c>
      <c r="D55" s="295">
        <v>4.4899535000000004</v>
      </c>
      <c r="E55" s="467">
        <v>83238032</v>
      </c>
      <c r="F55" s="294">
        <v>8.4056610000000003</v>
      </c>
      <c r="G55" s="467">
        <v>96375152</v>
      </c>
      <c r="H55" s="294"/>
      <c r="I55" s="294"/>
      <c r="J55" s="291">
        <v>0.15171052799999998</v>
      </c>
      <c r="K55" s="291">
        <v>6.7841044407788891</v>
      </c>
      <c r="L55" s="290">
        <v>6.1495885442065052</v>
      </c>
      <c r="M55" s="289">
        <v>1.6972282799999998</v>
      </c>
      <c r="N55" s="291">
        <v>-15.452995914142708</v>
      </c>
      <c r="O55" s="290">
        <v>-15.976440949737274</v>
      </c>
      <c r="P55" s="289"/>
      <c r="Q55" s="291"/>
      <c r="R55" s="290"/>
      <c r="S55" s="505">
        <v>45568.018784722219</v>
      </c>
      <c r="T55" s="479" t="s">
        <v>450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R1-20231120_W1_H </v>
      </c>
      <c r="B56" s="288">
        <v>57</v>
      </c>
      <c r="C56" s="295">
        <v>29.620999999999999</v>
      </c>
      <c r="D56" s="295">
        <v>4.0227432500000004</v>
      </c>
      <c r="E56" s="467">
        <v>77168064</v>
      </c>
      <c r="F56" s="294">
        <v>6.7667120000000001</v>
      </c>
      <c r="G56" s="467">
        <v>77671072</v>
      </c>
      <c r="H56" s="294"/>
      <c r="I56" s="294"/>
      <c r="J56" s="291">
        <v>0.14731464480000001</v>
      </c>
      <c r="K56" s="291">
        <v>6.6312868639279863</v>
      </c>
      <c r="L56" s="290">
        <v>6.0037680387404997</v>
      </c>
      <c r="M56" s="289">
        <v>1.37600678</v>
      </c>
      <c r="N56" s="291">
        <v>-16.444651219777555</v>
      </c>
      <c r="O56" s="290">
        <v>-17.002363170185319</v>
      </c>
      <c r="P56" s="289"/>
      <c r="Q56" s="291"/>
      <c r="R56" s="290"/>
      <c r="S56" s="505">
        <v>45568.02679398148</v>
      </c>
      <c r="T56" s="479" t="s">
        <v>451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0.1299135390625</v>
      </c>
      <c r="E57" s="467">
        <v>3108624</v>
      </c>
      <c r="F57" s="294">
        <v>0</v>
      </c>
      <c r="G57" s="467">
        <v>0</v>
      </c>
      <c r="H57" s="294"/>
      <c r="I57" s="294"/>
      <c r="J57" s="291">
        <v>7.2107304000000004E-3</v>
      </c>
      <c r="K57" s="291">
        <v>50.603547986240628</v>
      </c>
      <c r="L57" s="290">
        <v>47.962667502215034</v>
      </c>
      <c r="M57" s="289">
        <v>0</v>
      </c>
      <c r="N57" s="291">
        <v>0.34030818985993716</v>
      </c>
      <c r="O57" s="290">
        <v>0.36260500960121972</v>
      </c>
      <c r="P57" s="289"/>
      <c r="Q57" s="291"/>
      <c r="R57" s="290"/>
      <c r="S57" s="505">
        <v>45568.034849537034</v>
      </c>
      <c r="T57" s="479" t="s">
        <v>452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0</v>
      </c>
      <c r="C58" s="295">
        <v>0</v>
      </c>
      <c r="D58" s="295">
        <v>0</v>
      </c>
      <c r="E58" s="467">
        <v>0</v>
      </c>
      <c r="F58" s="294">
        <v>0</v>
      </c>
      <c r="G58" s="467">
        <v>0</v>
      </c>
      <c r="H58" s="294"/>
      <c r="I58" s="294"/>
      <c r="J58" s="291">
        <v>0</v>
      </c>
      <c r="K58" s="291">
        <v>-2.9714182443376957</v>
      </c>
      <c r="L58" s="290">
        <v>-3.1592571942435241</v>
      </c>
      <c r="M58" s="289">
        <v>0</v>
      </c>
      <c r="N58" s="291" t="e">
        <v>#DIV/0!</v>
      </c>
      <c r="O58" s="290" t="e">
        <v>#DIV/0!</v>
      </c>
      <c r="P58" s="289"/>
      <c r="Q58" s="291"/>
      <c r="R58" s="290"/>
      <c r="S58" s="505">
        <v>0</v>
      </c>
      <c r="T58" s="479" t="s">
        <v>453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0</v>
      </c>
      <c r="C59" s="295">
        <v>0</v>
      </c>
      <c r="D59" s="295">
        <v>0</v>
      </c>
      <c r="E59" s="467">
        <v>0</v>
      </c>
      <c r="F59" s="294">
        <v>0</v>
      </c>
      <c r="G59" s="467">
        <v>0</v>
      </c>
      <c r="H59" s="294"/>
      <c r="I59" s="294"/>
      <c r="J59" s="291">
        <v>0</v>
      </c>
      <c r="K59" s="291">
        <v>-2.9714182443376957</v>
      </c>
      <c r="L59" s="290">
        <v>-3.1592571942435241</v>
      </c>
      <c r="M59" s="289">
        <v>0</v>
      </c>
      <c r="N59" s="291" t="e">
        <v>#DIV/0!</v>
      </c>
      <c r="O59" s="290" t="e">
        <v>#DIV/0!</v>
      </c>
      <c r="P59" s="289"/>
      <c r="Q59" s="291"/>
      <c r="R59" s="290"/>
      <c r="S59" s="505">
        <v>0</v>
      </c>
      <c r="T59" s="479" t="s">
        <v>453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0</v>
      </c>
      <c r="C60" s="295">
        <v>0</v>
      </c>
      <c r="D60" s="295">
        <v>0</v>
      </c>
      <c r="E60" s="467">
        <v>0</v>
      </c>
      <c r="F60" s="294">
        <v>0</v>
      </c>
      <c r="G60" s="467">
        <v>0</v>
      </c>
      <c r="H60" s="294"/>
      <c r="I60" s="294"/>
      <c r="J60" s="291">
        <v>0</v>
      </c>
      <c r="K60" s="291">
        <v>-2.9714182443376957</v>
      </c>
      <c r="L60" s="290">
        <v>-3.1592571942435241</v>
      </c>
      <c r="M60" s="289">
        <v>0</v>
      </c>
      <c r="N60" s="291" t="e">
        <v>#DIV/0!</v>
      </c>
      <c r="O60" s="290" t="e">
        <v>#DIV/0!</v>
      </c>
      <c r="P60" s="289"/>
      <c r="Q60" s="291"/>
      <c r="R60" s="290"/>
      <c r="S60" s="505">
        <v>0</v>
      </c>
      <c r="T60" s="479" t="s">
        <v>453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.5" thickBot="1">
      <c r="A61" s="287" t="str">
        <f>'Weigh Sheet'!C72</f>
        <v>NBS 1575 Pine Needles</v>
      </c>
      <c r="B61" s="288">
        <v>0</v>
      </c>
      <c r="C61" s="295">
        <v>0</v>
      </c>
      <c r="D61" s="295">
        <v>0</v>
      </c>
      <c r="E61" s="467">
        <v>0</v>
      </c>
      <c r="F61" s="294">
        <v>0</v>
      </c>
      <c r="G61" s="467">
        <v>0</v>
      </c>
      <c r="H61" s="294"/>
      <c r="I61" s="294"/>
      <c r="J61" s="291">
        <v>0</v>
      </c>
      <c r="K61" s="291">
        <v>-2.9714182443376957</v>
      </c>
      <c r="L61" s="290">
        <v>-3.1592571942435241</v>
      </c>
      <c r="M61" s="289">
        <v>0</v>
      </c>
      <c r="N61" s="291" t="e">
        <v>#DIV/0!</v>
      </c>
      <c r="O61" s="290" t="e">
        <v>#DIV/0!</v>
      </c>
      <c r="P61" s="289"/>
      <c r="Q61" s="291"/>
      <c r="R61" s="290"/>
      <c r="S61" s="505">
        <v>0</v>
      </c>
      <c r="T61" s="479" t="s">
        <v>453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4.75" thickTop="1">
      <c r="A62" s="359" t="s">
        <v>0</v>
      </c>
      <c r="B62" s="360" t="s">
        <v>136</v>
      </c>
      <c r="C62" s="361" t="s">
        <v>454</v>
      </c>
      <c r="D62" s="361" t="s">
        <v>68</v>
      </c>
      <c r="E62" s="362" t="s">
        <v>455</v>
      </c>
      <c r="F62" s="363" t="s">
        <v>67</v>
      </c>
      <c r="G62" s="362" t="s">
        <v>456</v>
      </c>
      <c r="H62" s="363" t="s">
        <v>181</v>
      </c>
      <c r="I62" s="358" t="s">
        <v>457</v>
      </c>
      <c r="J62" s="355" t="s">
        <v>157</v>
      </c>
      <c r="K62" s="356" t="s">
        <v>458</v>
      </c>
      <c r="L62" s="357" t="s">
        <v>157</v>
      </c>
      <c r="M62" s="362" t="s">
        <v>459</v>
      </c>
      <c r="N62" s="357" t="s">
        <v>157</v>
      </c>
      <c r="O62" s="338"/>
      <c r="P62" s="339"/>
      <c r="Q62" s="340"/>
      <c r="S62" s="341"/>
    </row>
    <row r="63" spans="1:37" ht="13.5" thickBot="1">
      <c r="A63" s="364" t="s">
        <v>244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0.95421291497296978</v>
      </c>
      <c r="J63" s="372">
        <v>-0.32389152971018742</v>
      </c>
      <c r="K63" s="372">
        <v>1.0345552679630563</v>
      </c>
      <c r="L63" s="373">
        <v>1.0537379050649776E-2</v>
      </c>
      <c r="M63" s="372"/>
      <c r="N63" s="373"/>
      <c r="O63" s="297"/>
      <c r="P63" s="298"/>
      <c r="Q63" s="184"/>
      <c r="R63" s="2"/>
      <c r="S63"/>
      <c r="T63" s="2"/>
    </row>
    <row r="64" spans="1:37" ht="13.5" thickTop="1">
      <c r="A64" s="364" t="s">
        <v>250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249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.5" thickBot="1">
      <c r="A66" s="366" t="s">
        <v>352</v>
      </c>
      <c r="B66" s="367" t="s">
        <v>460</v>
      </c>
      <c r="C66" s="367">
        <v>0.36348602875537961</v>
      </c>
      <c r="D66" s="367">
        <v>1.1397948813333334</v>
      </c>
      <c r="E66" s="368">
        <v>-25.808177691861903</v>
      </c>
      <c r="F66" s="369">
        <v>52.254103751499997</v>
      </c>
      <c r="G66" s="368"/>
      <c r="H66" s="369"/>
      <c r="N66" s="43"/>
      <c r="O66" s="43"/>
    </row>
    <row r="67" spans="1:15" ht="13.5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A24" activeCellId="3" sqref="A15:L15 A18:L18 A21:L21 A24:L24"/>
    </sheetView>
  </sheetViews>
  <sheetFormatPr defaultColWidth="9.140625" defaultRowHeight="12"/>
  <cols>
    <col min="1" max="1" width="17.42578125" style="31" customWidth="1"/>
    <col min="2" max="2" width="16" style="31" customWidth="1"/>
    <col min="3" max="3" width="21.28515625" style="31" customWidth="1"/>
    <col min="4" max="4" width="18.5703125" style="31" bestFit="1" customWidth="1"/>
    <col min="5" max="5" width="9.42578125" style="31" bestFit="1" customWidth="1"/>
    <col min="6" max="6" width="5.5703125" style="31" bestFit="1" customWidth="1"/>
    <col min="7" max="7" width="7.85546875" style="31" bestFit="1" customWidth="1"/>
    <col min="8" max="8" width="8" style="31" bestFit="1" customWidth="1"/>
    <col min="9" max="9" width="9.5703125" style="31" bestFit="1" customWidth="1"/>
    <col min="10" max="10" width="5.85546875" style="31" customWidth="1"/>
    <col min="11" max="11" width="5.42578125" style="31" bestFit="1" customWidth="1"/>
    <col min="12" max="12" width="8.85546875" style="31" customWidth="1"/>
    <col min="13" max="13" width="10.7109375" style="31" customWidth="1"/>
    <col min="14" max="14" width="8" style="31" customWidth="1"/>
    <col min="15" max="16384" width="9.140625" style="31"/>
  </cols>
  <sheetData>
    <row r="1" spans="1:19" ht="12.75" thickBot="1">
      <c r="A1" s="185" t="s">
        <v>10</v>
      </c>
      <c r="B1" s="186" t="str">
        <f>COVER!C2</f>
        <v>IC15N-240610-10KansasROAR-3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.75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208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.75" thickBot="1">
      <c r="A7" s="313" t="str">
        <f>'Weigh Sheet'!C12</f>
        <v>NBS 1575 Pine Needles</v>
      </c>
      <c r="B7" s="310" t="s">
        <v>209</v>
      </c>
      <c r="C7" s="310">
        <f>'ISIRF RAW'!C66</f>
        <v>0.36348602875537961</v>
      </c>
      <c r="D7" s="311">
        <f>'ISIRF RAW'!D66</f>
        <v>1.1397948813333334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.75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206</v>
      </c>
      <c r="I10" s="201" t="s">
        <v>140</v>
      </c>
      <c r="J10" s="202" t="s">
        <v>68</v>
      </c>
      <c r="K10" s="203" t="s">
        <v>208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45567.641782407409</v>
      </c>
      <c r="B11" s="490" t="str">
        <f>'ISIRF RAW'!T8</f>
        <v>IC15N-240517-10KansasRoar-3_3.raw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1.1850000000000001</v>
      </c>
      <c r="H11" s="447">
        <f>'ISIRF RAW'!D8</f>
        <v>6.1792265000000004</v>
      </c>
      <c r="I11" s="468">
        <f>'ISIRF RAW'!E8</f>
        <v>92401256</v>
      </c>
      <c r="J11" s="447">
        <f>'ISIRF RAW'!J8</f>
        <v>4.2263487527999999</v>
      </c>
      <c r="K11" s="447">
        <f>'ISIRF RAW'!L8</f>
        <v>7.473244440390558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45567.746018518519</v>
      </c>
      <c r="B12" s="492" t="str">
        <f>'ISIRF RAW'!T21</f>
        <v>IC15N-240517-10KansasRoar-3_16.raw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1.1919999999999999</v>
      </c>
      <c r="H12" s="450">
        <f>'ISIRF RAW'!D21</f>
        <v>6.2046400000000004</v>
      </c>
      <c r="I12" s="469">
        <f>'ISIRF RAW'!E21</f>
        <v>92824848</v>
      </c>
      <c r="J12" s="450">
        <f>'ISIRF RAW'!J21</f>
        <v>4.4139621527999999</v>
      </c>
      <c r="K12" s="450">
        <f>'ISIRF RAW'!L21</f>
        <v>7.6449363672198096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45567.842326388891</v>
      </c>
      <c r="B13" s="492" t="str">
        <f>'ISIRF RAW'!T33</f>
        <v>IC15N-240517-10KansasRoar-3_28.raw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1.194</v>
      </c>
      <c r="H13" s="450">
        <f>'ISIRF RAW'!D33</f>
        <v>6.2360835000000003</v>
      </c>
      <c r="I13" s="469">
        <f>'ISIRF RAW'!E33</f>
        <v>94908128</v>
      </c>
      <c r="J13" s="450">
        <f>'ISIRF RAW'!J33</f>
        <v>4.3412034791999998</v>
      </c>
      <c r="K13" s="450">
        <f>'ISIRF RAW'!L33</f>
        <v>7.3841125075325857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45567.946608796294</v>
      </c>
      <c r="B14" s="492" t="str">
        <f>'ISIRF RAW'!T46</f>
        <v>IC15N-240517-10KansasRoar-3_41.raw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1.224</v>
      </c>
      <c r="H14" s="450">
        <f>'ISIRF RAW'!D46</f>
        <v>6.3295905000000001</v>
      </c>
      <c r="I14" s="469">
        <f>'ISIRF RAW'!E46</f>
        <v>96717152</v>
      </c>
      <c r="J14" s="450">
        <f>'ISIRF RAW'!J46</f>
        <v>4.3815435912000007</v>
      </c>
      <c r="K14" s="450">
        <f>'ISIRF RAW'!L46</f>
        <v>7.4937379682863003</v>
      </c>
      <c r="L14" s="451"/>
      <c r="M14" s="189"/>
      <c r="N14" s="242"/>
      <c r="O14" s="334"/>
      <c r="P14" s="334"/>
      <c r="Q14" s="242"/>
    </row>
    <row r="15" spans="1:19" ht="12" customHeight="1">
      <c r="A15" s="502"/>
      <c r="B15" s="494"/>
      <c r="C15" s="495"/>
      <c r="D15" s="458"/>
      <c r="E15" s="459"/>
      <c r="F15" s="458"/>
      <c r="G15" s="459"/>
      <c r="H15" s="459"/>
      <c r="I15" s="470"/>
      <c r="J15" s="459"/>
      <c r="K15" s="459"/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45567.649756944447</v>
      </c>
      <c r="B16" s="496" t="str">
        <f>'ISIRF RAW'!T9</f>
        <v>IC15N-240517-10KansasRoar-3_4.raw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10</v>
      </c>
      <c r="G16" s="456">
        <f>'ISIRF RAW'!C9</f>
        <v>1.075</v>
      </c>
      <c r="H16" s="456">
        <f>'ISIRF RAW'!D9</f>
        <v>8.4331460000000007</v>
      </c>
      <c r="I16" s="471">
        <f>'ISIRF RAW'!E9</f>
        <v>125207024</v>
      </c>
      <c r="J16" s="456">
        <f>'ISIRF RAW'!J9</f>
        <v>6.271781121600001</v>
      </c>
      <c r="K16" s="456">
        <f>'ISIRF RAW'!L9</f>
        <v>-5.0428840127515198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45567.850324074076</v>
      </c>
      <c r="B17" s="492" t="str">
        <f>'ISIRF RAW'!T34</f>
        <v>IC15N-240517-10KansasRoar-3_29.raw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0.99299999999999999</v>
      </c>
      <c r="H17" s="450">
        <f>'ISIRF RAW'!D34</f>
        <v>8.1443204999999992</v>
      </c>
      <c r="I17" s="469">
        <f>'ISIRF RAW'!E34</f>
        <v>120973856</v>
      </c>
      <c r="J17" s="450">
        <f>'ISIRF RAW'!J34</f>
        <v>6.5736771456000005</v>
      </c>
      <c r="K17" s="450">
        <f>'ISIRF RAW'!L34</f>
        <v>-4.9689105718930415</v>
      </c>
      <c r="L17" s="451"/>
      <c r="M17" s="189"/>
      <c r="N17" s="242"/>
      <c r="O17" s="334"/>
      <c r="P17" s="334"/>
      <c r="Q17" s="242"/>
    </row>
    <row r="18" spans="1:19" ht="12" customHeight="1">
      <c r="A18" s="502"/>
      <c r="B18" s="494"/>
      <c r="C18" s="495"/>
      <c r="D18" s="459"/>
      <c r="E18" s="459"/>
      <c r="F18" s="458"/>
      <c r="G18" s="459"/>
      <c r="H18" s="459"/>
      <c r="I18" s="470"/>
      <c r="J18" s="459"/>
      <c r="K18" s="459"/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45567.657743055555</v>
      </c>
      <c r="B19" s="496" t="str">
        <f>'ISIRF RAW'!T10</f>
        <v>IC15N-240517-10KansasRoar-3_5.raw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11</v>
      </c>
      <c r="G19" s="456">
        <f>'ISIRF RAW'!C10</f>
        <v>1.494</v>
      </c>
      <c r="H19" s="456">
        <f>'ISIRF RAW'!D10</f>
        <v>5.691751</v>
      </c>
      <c r="I19" s="471">
        <f>'ISIRF RAW'!E10</f>
        <v>86893216</v>
      </c>
      <c r="J19" s="456">
        <f>'ISIRF RAW'!J10</f>
        <v>3.0713360424</v>
      </c>
      <c r="K19" s="456">
        <f>'ISIRF RAW'!L10</f>
        <v>1.9956816943467071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45567.85832175926</v>
      </c>
      <c r="B20" s="492" t="str">
        <f>'ISIRF RAW'!T35</f>
        <v>IC15N-240517-10KansasRoar-3_30.raw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1.4079999999999999</v>
      </c>
      <c r="H20" s="450">
        <f>'ISIRF RAW'!D35</f>
        <v>5.2659155000000002</v>
      </c>
      <c r="I20" s="469">
        <f>'ISIRF RAW'!E35</f>
        <v>79752976</v>
      </c>
      <c r="J20" s="450">
        <f>'ISIRF RAW'!J35</f>
        <v>3.1571669112</v>
      </c>
      <c r="K20" s="450">
        <f>'ISIRF RAW'!L35</f>
        <v>2.1360004722588655</v>
      </c>
      <c r="L20" s="451"/>
      <c r="M20" s="194"/>
      <c r="N20" s="335"/>
      <c r="O20" s="335"/>
      <c r="P20" s="335"/>
      <c r="Q20" s="242"/>
    </row>
    <row r="21" spans="1:19" ht="12" customHeight="1">
      <c r="A21" s="502"/>
      <c r="B21" s="494"/>
      <c r="C21" s="495"/>
      <c r="D21" s="458"/>
      <c r="E21" s="458"/>
      <c r="F21" s="458"/>
      <c r="G21" s="459"/>
      <c r="H21" s="459"/>
      <c r="I21" s="470"/>
      <c r="J21" s="459"/>
      <c r="K21" s="459"/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45567.66578703704</v>
      </c>
      <c r="B22" s="496" t="str">
        <f>'ISIRF RAW'!T11</f>
        <v>IC15N-240517-10KansasRoar-3_6.raw</v>
      </c>
      <c r="C22" s="497"/>
      <c r="D22" s="455" t="str">
        <f>'ISIRF RAW'!A11</f>
        <v>NBS 1575 Pine Needles</v>
      </c>
      <c r="E22" s="456" t="s">
        <v>162</v>
      </c>
      <c r="F22" s="455">
        <f>'ISIRF RAW'!B11</f>
        <v>12</v>
      </c>
      <c r="G22" s="456">
        <f>'ISIRF RAW'!C11</f>
        <v>6.4320000000000004</v>
      </c>
      <c r="H22" s="456">
        <f>'ISIRF RAW'!D11</f>
        <v>8.4650990000000004</v>
      </c>
      <c r="I22" s="471">
        <f>'ISIRF RAW'!E11</f>
        <v>142366112</v>
      </c>
      <c r="J22" s="456">
        <f>'ISIRF RAW'!J11</f>
        <v>1.1842407672000002</v>
      </c>
      <c r="K22" s="456">
        <f>'ISIRF RAW'!L11</f>
        <v>0.422363926163279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45567.866388888891</v>
      </c>
      <c r="B23" s="492" t="str">
        <f>'ISIRF RAW'!T36</f>
        <v>IC15N-240517-10KansasRoar-3_31.raw</v>
      </c>
      <c r="C23" s="493"/>
      <c r="D23" s="449" t="str">
        <f>'ISIRF RAW'!A36</f>
        <v>NBS 1575 Pine Needles</v>
      </c>
      <c r="E23" s="450" t="s">
        <v>162</v>
      </c>
      <c r="F23" s="449">
        <f>'ISIRF RAW'!B36</f>
        <v>37</v>
      </c>
      <c r="G23" s="450">
        <f>'ISIRF RAW'!C36</f>
        <v>6.4219999999999997</v>
      </c>
      <c r="H23" s="450">
        <f>'ISIRF RAW'!D36</f>
        <v>8.6169740000000008</v>
      </c>
      <c r="I23" s="469">
        <f>'ISIRF RAW'!E36</f>
        <v>143777728</v>
      </c>
      <c r="J23" s="450">
        <f>'ISIRF RAW'!J36</f>
        <v>1.2222950544</v>
      </c>
      <c r="K23" s="450">
        <f>'ISIRF RAW'!L36</f>
        <v>0.41851945768898713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/>
      <c r="B24" s="498"/>
      <c r="C24" s="499"/>
      <c r="D24" s="452"/>
      <c r="E24" s="453"/>
      <c r="F24" s="452"/>
      <c r="G24" s="453"/>
      <c r="H24" s="453"/>
      <c r="I24" s="472"/>
      <c r="J24" s="453"/>
      <c r="K24" s="453"/>
      <c r="L24" s="454"/>
      <c r="M24" s="189"/>
      <c r="N24" s="189"/>
      <c r="O24" s="194"/>
      <c r="P24" s="194"/>
      <c r="Q24" s="189"/>
    </row>
    <row r="25" spans="1:19" ht="12.75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.5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226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.5" thickTop="1">
      <c r="A28" s="224" t="s">
        <v>25</v>
      </c>
      <c r="B28" s="225">
        <f>AVERAGE('ISIRF RAW'!L12,'ISIRF RAW'!L56)</f>
        <v>6.031428072299617</v>
      </c>
      <c r="C28" s="226">
        <f>VAR('ISIRF RAW'!L12,'ISIRF RAW'!L56)</f>
        <v>1.5301549129830374E-3</v>
      </c>
      <c r="D28" s="227">
        <f>STDEV('ISIRF RAW'!L12,'ISIRF RAW'!L56)</f>
        <v>3.9117194594999238E-2</v>
      </c>
      <c r="E28" s="225">
        <f>AVERAGE('ISIRF RAW'!J12,'ISIRF RAW'!J56)</f>
        <v>0.14011209960000001</v>
      </c>
      <c r="F28" s="226">
        <f>VAR('ISIRF RAW'!J12,'ISIRF RAW'!J56)</f>
        <v>1.037533147160859E-4</v>
      </c>
      <c r="G28" s="227">
        <f>(STDEV('ISIRF RAW'!J12,'ISIRF RAW'!J56))/E28</f>
        <v>7.2698483104061823E-2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.5" thickBot="1">
      <c r="A29" s="224" t="s">
        <v>26</v>
      </c>
      <c r="B29" s="229">
        <f>AVERAGE('ISIRF RAW'!L26:L27)</f>
        <v>5.5573502688355099</v>
      </c>
      <c r="C29" s="226">
        <f>VAR('ISIRF RAW'!L26:L27)</f>
        <v>6.8004989511202046E-3</v>
      </c>
      <c r="D29" s="227">
        <f>STDEV('ISIRF RAW'!L26:L27)</f>
        <v>8.2465137792404164E-2</v>
      </c>
      <c r="E29" s="229">
        <f>AVERAGE('ISIRF RAW'!J26:J27)</f>
        <v>0.17976508560000001</v>
      </c>
      <c r="F29" s="226">
        <f>VAR('ISIRF RAW'!J26:J27)</f>
        <v>3.0872447557631803E-5</v>
      </c>
      <c r="G29" s="227">
        <f>(STDEV('ISIRF RAW'!J26:J27))/E29</f>
        <v>3.0908660543331811E-2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.5" thickTop="1">
      <c r="A30" s="231" t="str">
        <f>B4</f>
        <v>QC.STD</v>
      </c>
      <c r="B30" s="225">
        <f>AVERAGE(K11:K15)</f>
        <v>7.4990078208573134</v>
      </c>
      <c r="C30" s="232">
        <f>VAR(K11:K15)</f>
        <v>1.1729198928884519E-2</v>
      </c>
      <c r="D30" s="233">
        <f>STDEV(K11:K15)</f>
        <v>0.10830142625507995</v>
      </c>
      <c r="E30" s="225">
        <f>AVERAGE(J11:J15)</f>
        <v>4.3407644940000001</v>
      </c>
      <c r="F30" s="232">
        <f>VAR(J11:J15)</f>
        <v>6.7039955215331785E-3</v>
      </c>
      <c r="G30" s="233">
        <f>(STDEV(J11:J15))/E30</f>
        <v>1.8862559976837723E-2</v>
      </c>
      <c r="H30" s="234">
        <f>COUNT(J11:J15)</f>
        <v>4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-5.0058972923222811</v>
      </c>
      <c r="C31" s="238">
        <f>VAR(K16:K18)</f>
        <v>2.7360349762213885E-3</v>
      </c>
      <c r="D31" s="239">
        <f>STDEV(K16:K18)</f>
        <v>5.2307121658731984E-2</v>
      </c>
      <c r="E31" s="237">
        <f>AVERAGE(J16:J18)</f>
        <v>6.4227291336000008</v>
      </c>
      <c r="F31" s="238">
        <f>VAR(J16:J18)</f>
        <v>4.5570604653504133E-2</v>
      </c>
      <c r="G31" s="374">
        <f>(STDEV(J16:J18))/E31</f>
        <v>3.3237074356271795E-2</v>
      </c>
      <c r="H31" s="230">
        <f>COUNT(J16:J18)</f>
        <v>2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.75" thickBot="1">
      <c r="A32" s="532" t="str">
        <f>B6</f>
        <v>Cal-L.STD</v>
      </c>
      <c r="B32" s="533">
        <f>AVERAGE(K19:K21)</f>
        <v>2.0658410833027863</v>
      </c>
      <c r="C32" s="534">
        <f>VAR(K19:K21)</f>
        <v>9.8446797173808182E-3</v>
      </c>
      <c r="D32" s="535">
        <f>STDEV(K19:K21)</f>
        <v>9.922035938949636E-2</v>
      </c>
      <c r="E32" s="533">
        <f>AVERAGE(J19:J21)</f>
        <v>3.1142514767999998</v>
      </c>
      <c r="F32" s="534">
        <f>VAR(J19:J21)</f>
        <v>3.6834690194814078E-3</v>
      </c>
      <c r="G32" s="536">
        <f>(STDEV(J19:J21))/E32</f>
        <v>1.9488339273736357E-2</v>
      </c>
      <c r="H32" s="525">
        <f>COUNT(J19:J21)</f>
        <v>2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3.5" thickTop="1" thickBot="1">
      <c r="A33" s="526" t="str">
        <f>B7</f>
        <v>Check QC</v>
      </c>
      <c r="B33" s="527">
        <f>AVERAGE(K22:K24)</f>
        <v>0.42044169192613307</v>
      </c>
      <c r="C33" s="528">
        <f>VAR(K22:K24)</f>
        <v>7.3899689249120418E-6</v>
      </c>
      <c r="D33" s="529">
        <f>STDEV(K22:K24)</f>
        <v>2.718449728229684E-3</v>
      </c>
      <c r="E33" s="527">
        <f>AVERAGE(J22:J24)</f>
        <v>1.2032679108000002</v>
      </c>
      <c r="F33" s="528">
        <f>VAR(J22:J24)</f>
        <v>7.2406438715003486E-4</v>
      </c>
      <c r="G33" s="530">
        <f>(STDEV(J22:J24))/E33</f>
        <v>2.236280406950274E-2</v>
      </c>
      <c r="H33" s="531">
        <f>COUNT(J22:J24)</f>
        <v>2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L24" activeCellId="3" sqref="A15:L15 A18:L18 A21:L21 A24:L24"/>
    </sheetView>
  </sheetViews>
  <sheetFormatPr defaultColWidth="9.140625" defaultRowHeight="12"/>
  <cols>
    <col min="1" max="1" width="17.7109375" style="30" bestFit="1" customWidth="1"/>
    <col min="2" max="2" width="24.7109375" style="30" customWidth="1"/>
    <col min="3" max="3" width="13" style="30" customWidth="1"/>
    <col min="4" max="4" width="20.42578125" style="30" customWidth="1"/>
    <col min="5" max="5" width="9.42578125" style="30" bestFit="1" customWidth="1"/>
    <col min="6" max="6" width="8.28515625" style="30" bestFit="1" customWidth="1"/>
    <col min="7" max="7" width="7.85546875" style="30" bestFit="1" customWidth="1"/>
    <col min="8" max="8" width="8" style="41" bestFit="1" customWidth="1"/>
    <col min="9" max="9" width="9.5703125" style="41" bestFit="1" customWidth="1"/>
    <col min="10" max="10" width="5.42578125" style="41" bestFit="1" customWidth="1"/>
    <col min="11" max="11" width="6" style="30" bestFit="1" customWidth="1"/>
    <col min="12" max="12" width="9.85546875" style="30" customWidth="1"/>
    <col min="13" max="13" width="9.140625" style="30" bestFit="1"/>
    <col min="14" max="14" width="7.85546875" style="30" customWidth="1"/>
    <col min="15" max="16384" width="9.140625" style="30"/>
  </cols>
  <sheetData>
    <row r="1" spans="1:18" ht="12.75" thickBot="1">
      <c r="A1" s="185" t="s">
        <v>10</v>
      </c>
      <c r="B1" s="186" t="str">
        <f>COVER!C2</f>
        <v>IC15N-240610-10KansasROAR-3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.75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.75" thickBot="1">
      <c r="A7" s="313" t="str">
        <f>'Weigh Sheet'!C12</f>
        <v>NBS 1575 Pine Needles</v>
      </c>
      <c r="B7" s="310" t="s">
        <v>209</v>
      </c>
      <c r="C7" s="320">
        <f>'ISIRF RAW'!E66</f>
        <v>-25.808177691861903</v>
      </c>
      <c r="D7" s="321">
        <f>'ISIRF RAW'!F66</f>
        <v>52.254103751499997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.75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221</v>
      </c>
      <c r="I10" s="250" t="s">
        <v>133</v>
      </c>
      <c r="J10" s="203" t="s">
        <v>67</v>
      </c>
      <c r="K10" s="203" t="s">
        <v>210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45567.641782407409</v>
      </c>
      <c r="B11" s="516" t="str">
        <f>'ISIRF RAW'!T8</f>
        <v>IC15N-240517-10KansasRoar-3_3.raw</v>
      </c>
      <c r="C11" s="517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1.1850000000000001</v>
      </c>
      <c r="H11" s="206">
        <f>'ISIRF RAW'!F8</f>
        <v>6.6871105000000002</v>
      </c>
      <c r="I11" s="511">
        <f>'ISIRF RAW'!G8</f>
        <v>75266992</v>
      </c>
      <c r="J11" s="206">
        <f>'ISIRF RAW'!M8</f>
        <v>33.061533359999999</v>
      </c>
      <c r="K11" s="206">
        <f>'ISIRF RAW'!O8</f>
        <v>-12.764769934298311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45567.746018518519</v>
      </c>
      <c r="B12" s="492" t="str">
        <f>'ISIRF RAW'!T21</f>
        <v>IC15N-240517-10KansasRoar-3_16.raw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1.1919999999999999</v>
      </c>
      <c r="H12" s="206">
        <f>'ISIRF RAW'!F21</f>
        <v>6.7517019999999999</v>
      </c>
      <c r="I12" s="511">
        <f>'ISIRF RAW'!G21</f>
        <v>75386424</v>
      </c>
      <c r="J12" s="206">
        <f>'ISIRF RAW'!M21</f>
        <v>33.255586960000002</v>
      </c>
      <c r="K12" s="206">
        <f>'ISIRF RAW'!O21</f>
        <v>-12.984883338412269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45567.842326388891</v>
      </c>
      <c r="B13" s="492" t="str">
        <f>'ISIRF RAW'!T33</f>
        <v>IC15N-240517-10KansasRoar-3_28.raw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1.194</v>
      </c>
      <c r="H13" s="206">
        <f>'ISIRF RAW'!F33</f>
        <v>6.7372975000000004</v>
      </c>
      <c r="I13" s="511">
        <f>'ISIRF RAW'!G33</f>
        <v>76892336</v>
      </c>
      <c r="J13" s="206">
        <f>'ISIRF RAW'!M33</f>
        <v>33.788339479999998</v>
      </c>
      <c r="K13" s="206">
        <f>'ISIRF RAW'!O33</f>
        <v>-12.922047926728506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45567.946608796294</v>
      </c>
      <c r="B14" s="492" t="str">
        <f>'ISIRF RAW'!T46</f>
        <v>IC15N-240517-10KansasRoar-3_41.raw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1.224</v>
      </c>
      <c r="H14" s="206">
        <f>'ISIRF RAW'!F46</f>
        <v>6.8806849999999997</v>
      </c>
      <c r="I14" s="511">
        <f>'ISIRF RAW'!G46</f>
        <v>78287040</v>
      </c>
      <c r="J14" s="206">
        <f>'ISIRF RAW'!M46</f>
        <v>33.541341319999994</v>
      </c>
      <c r="K14" s="206">
        <f>'ISIRF RAW'!O46</f>
        <v>-12.961667498412298</v>
      </c>
      <c r="L14" s="253"/>
      <c r="M14" s="194"/>
      <c r="N14" s="240"/>
      <c r="O14" s="334"/>
      <c r="P14" s="334"/>
      <c r="Q14" s="242"/>
      <c r="R14" s="242"/>
    </row>
    <row r="15" spans="1:18">
      <c r="A15" s="502"/>
      <c r="B15" s="494"/>
      <c r="C15" s="495"/>
      <c r="D15" s="512"/>
      <c r="E15" s="512"/>
      <c r="F15" s="512"/>
      <c r="G15" s="513"/>
      <c r="H15" s="513"/>
      <c r="I15" s="514"/>
      <c r="J15" s="513"/>
      <c r="K15" s="513"/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45567.649756944447</v>
      </c>
      <c r="B16" s="496" t="str">
        <f>'ISIRF RAW'!T9</f>
        <v>IC15N-240517-10KansasRoar-3_4.raw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1.075</v>
      </c>
      <c r="H16" s="206">
        <f>'ISIRF RAW'!F9</f>
        <v>7.8699234999999996</v>
      </c>
      <c r="I16" s="511">
        <f>'ISIRF RAW'!G9</f>
        <v>89973024</v>
      </c>
      <c r="J16" s="206">
        <f>'ISIRF RAW'!M9</f>
        <v>43.512439259999994</v>
      </c>
      <c r="K16" s="206">
        <f>'ISIRF RAW'!O9</f>
        <v>-21.176358826869887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45567.850324074076</v>
      </c>
      <c r="B17" s="492" t="str">
        <f>'ISIRF RAW'!T34</f>
        <v>IC15N-240517-10KansasRoar-3_29.raw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0.99299999999999999</v>
      </c>
      <c r="H17" s="206">
        <f>'ISIRF RAW'!F34</f>
        <v>7.7999080000000003</v>
      </c>
      <c r="I17" s="511">
        <f>'ISIRF RAW'!G34</f>
        <v>87760752</v>
      </c>
      <c r="J17" s="206">
        <f>'ISIRF RAW'!M34</f>
        <v>46.313327180000002</v>
      </c>
      <c r="K17" s="206">
        <f>'ISIRF RAW'!O34</f>
        <v>-21.095873365763648</v>
      </c>
      <c r="L17" s="253"/>
      <c r="M17" s="194"/>
      <c r="N17" s="335"/>
      <c r="O17" s="335"/>
      <c r="P17" s="335"/>
      <c r="Q17" s="242"/>
      <c r="R17" s="242"/>
    </row>
    <row r="18" spans="1:18">
      <c r="A18" s="502"/>
      <c r="B18" s="494"/>
      <c r="C18" s="495"/>
      <c r="D18" s="512"/>
      <c r="E18" s="512"/>
      <c r="F18" s="518"/>
      <c r="G18" s="519"/>
      <c r="H18" s="519"/>
      <c r="I18" s="520"/>
      <c r="J18" s="519"/>
      <c r="K18" s="519"/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45567.657743055555</v>
      </c>
      <c r="B19" s="496" t="str">
        <f>'ISIRF RAW'!T10</f>
        <v>IC15N-240517-10KansasRoar-3_5.raw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1.494</v>
      </c>
      <c r="H19" s="206">
        <f>'ISIRF RAW'!F10</f>
        <v>11.205147</v>
      </c>
      <c r="I19" s="511">
        <f>'ISIRF RAW'!G10</f>
        <v>130640384</v>
      </c>
      <c r="J19" s="206">
        <f>'ISIRF RAW'!M10</f>
        <v>45.386064179999998</v>
      </c>
      <c r="K19" s="206">
        <f>'ISIRF RAW'!O10</f>
        <v>-30.411942625142363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45567.85832175926</v>
      </c>
      <c r="B20" s="492" t="str">
        <f>'ISIRF RAW'!T35</f>
        <v>IC15N-240517-10KansasRoar-3_30.raw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1.4079999999999999</v>
      </c>
      <c r="H20" s="206">
        <f>'ISIRF RAW'!F35</f>
        <v>10.786918999999999</v>
      </c>
      <c r="I20" s="511">
        <f>'ISIRF RAW'!G35</f>
        <v>123621344</v>
      </c>
      <c r="J20" s="206">
        <f>'ISIRF RAW'!M35</f>
        <v>45.897820859999996</v>
      </c>
      <c r="K20" s="206">
        <f>'ISIRF RAW'!O35</f>
        <v>-30.229907870507024</v>
      </c>
      <c r="L20" s="253"/>
      <c r="M20" s="194"/>
      <c r="N20" s="242"/>
      <c r="O20" s="242"/>
      <c r="P20" s="242"/>
      <c r="Q20" s="242"/>
      <c r="R20" s="242"/>
    </row>
    <row r="21" spans="1:18">
      <c r="A21" s="502"/>
      <c r="B21" s="494"/>
      <c r="C21" s="495"/>
      <c r="D21" s="512"/>
      <c r="E21" s="512"/>
      <c r="F21" s="518"/>
      <c r="G21" s="519"/>
      <c r="H21" s="519"/>
      <c r="I21" s="520"/>
      <c r="J21" s="519"/>
      <c r="K21" s="519"/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45567.66578703704</v>
      </c>
      <c r="B22" s="496" t="str">
        <f>'ISIRF RAW'!T11</f>
        <v>IC15N-240517-10KansasRoar-3_6.raw</v>
      </c>
      <c r="C22" s="497"/>
      <c r="D22" s="205" t="str">
        <f>'ISIRF RAW'!A11</f>
        <v>NBS 1575 Pine Needles</v>
      </c>
      <c r="E22" s="205" t="s">
        <v>130</v>
      </c>
      <c r="F22" s="205">
        <f>'ISIRF RAW'!B11</f>
        <v>12</v>
      </c>
      <c r="G22" s="206">
        <f>'ISIRF RAW'!C11</f>
        <v>6.4320000000000004</v>
      </c>
      <c r="H22" s="206">
        <f>'ISIRF RAW'!F11</f>
        <v>42.828580000000002</v>
      </c>
      <c r="I22" s="511">
        <f>'ISIRF RAW'!G11</f>
        <v>641697408</v>
      </c>
      <c r="J22" s="206">
        <f>'ISIRF RAW'!M11</f>
        <v>52.023419219999994</v>
      </c>
      <c r="K22" s="206">
        <f>'ISIRF RAW'!O11</f>
        <v>-26.166017447788853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45567.866388888891</v>
      </c>
      <c r="B23" s="492" t="str">
        <f>'ISIRF RAW'!T36</f>
        <v>IC15N-240517-10KansasRoar-3_31.raw</v>
      </c>
      <c r="C23" s="493"/>
      <c r="D23" s="207" t="str">
        <f>'ISIRF RAW'!A36</f>
        <v>NBS 1575 Pine Needles</v>
      </c>
      <c r="E23" s="207" t="s">
        <v>130</v>
      </c>
      <c r="F23" s="205">
        <f>'ISIRF RAW'!B36</f>
        <v>37</v>
      </c>
      <c r="G23" s="206">
        <f>'ISIRF RAW'!C36</f>
        <v>6.4219999999999997</v>
      </c>
      <c r="H23" s="206">
        <f>'ISIRF RAW'!F36</f>
        <v>41.723323999999998</v>
      </c>
      <c r="I23" s="511">
        <f>'ISIRF RAW'!G36</f>
        <v>637239360</v>
      </c>
      <c r="J23" s="206">
        <f>'ISIRF RAW'!M36</f>
        <v>52.024598919999995</v>
      </c>
      <c r="K23" s="206">
        <f>'ISIRF RAW'!O36</f>
        <v>-26.045811476097384</v>
      </c>
      <c r="L23" s="253"/>
      <c r="M23" s="194"/>
      <c r="N23" s="242"/>
      <c r="O23" s="242"/>
      <c r="P23" s="242"/>
      <c r="Q23" s="242"/>
      <c r="R23" s="242"/>
    </row>
    <row r="24" spans="1:18" ht="12.75" thickBot="1">
      <c r="A24" s="504"/>
      <c r="B24" s="498"/>
      <c r="C24" s="499"/>
      <c r="D24" s="537"/>
      <c r="E24" s="537"/>
      <c r="F24" s="538"/>
      <c r="G24" s="539"/>
      <c r="H24" s="539"/>
      <c r="I24" s="540"/>
      <c r="J24" s="539"/>
      <c r="K24" s="539"/>
      <c r="L24" s="541"/>
      <c r="M24" s="194"/>
      <c r="N24" s="242"/>
      <c r="O24" s="242"/>
      <c r="P24" s="242"/>
      <c r="Q24" s="242"/>
      <c r="R24" s="242"/>
    </row>
    <row r="25" spans="1:18" ht="12.75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.75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227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.75" thickTop="1">
      <c r="A28" s="224" t="s">
        <v>25</v>
      </c>
      <c r="B28" s="263">
        <f>AVERAGE('ISIRF RAW'!O12,'ISIRF RAW'!O56)</f>
        <v>-16.912340873234164</v>
      </c>
      <c r="C28" s="264">
        <f>VAR('ISIRF RAW'!O12,'ISIRF RAW'!O56)</f>
        <v>1.6208027896724358E-2</v>
      </c>
      <c r="D28" s="425">
        <f>STDEV('ISIRF RAW'!O12,'ISIRF RAW'!O56)</f>
        <v>0.12731075326430347</v>
      </c>
      <c r="E28" s="265">
        <f>AVERAGE('ISIRF RAW'!M12,'ISIRF RAW'!M56)</f>
        <v>1.34605697</v>
      </c>
      <c r="F28" s="265">
        <f>VAR('ISIRF RAW'!M12,'ISIRF RAW'!M56)</f>
        <v>1.7939822380721958E-3</v>
      </c>
      <c r="G28" s="425">
        <f>(STDEV('ISIRF RAW'!M12,'ISIRF RAW'!M56))/E28</f>
        <v>3.1466296328079853E-2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.75" thickBot="1">
      <c r="A29" s="224" t="s">
        <v>26</v>
      </c>
      <c r="B29" s="266">
        <f>AVERAGE('ISIRF RAW'!O26:O27)</f>
        <v>-16.681564776788285</v>
      </c>
      <c r="C29" s="264">
        <f>VAR('ISIRF RAW'!O26:O27)</f>
        <v>1.8028993426027099E-4</v>
      </c>
      <c r="D29" s="425">
        <f>STDEV('ISIRF RAW'!O26:O27)</f>
        <v>1.3427208729303012E-2</v>
      </c>
      <c r="E29" s="265">
        <f>AVERAGE('ISIRF RAW'!M26:M27)</f>
        <v>2.1406121799999998</v>
      </c>
      <c r="F29" s="265">
        <f>VAR('ISIRF RAW'!M26:M27)</f>
        <v>4.8981599194247542E-3</v>
      </c>
      <c r="G29" s="425">
        <f>(STDEV('ISIRF RAW'!M26:M27))/E29</f>
        <v>3.2694785158683265E-2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.75" thickTop="1">
      <c r="A30" s="231" t="str">
        <f>B4</f>
        <v>QC.STD</v>
      </c>
      <c r="B30" s="263">
        <f>AVERAGE(K11:K15)</f>
        <v>-12.908342174462845</v>
      </c>
      <c r="C30" s="426">
        <f>VAR(K11:K15)</f>
        <v>9.8343252480256813E-3</v>
      </c>
      <c r="D30" s="268">
        <f>STDEV(K11:K15)</f>
        <v>9.9168166505314001E-2</v>
      </c>
      <c r="E30" s="267">
        <f>AVERAGE(J11:J15)</f>
        <v>33.411700279999998</v>
      </c>
      <c r="F30" s="263">
        <f>VAR(J11:J15)</f>
        <v>0.10188404225754244</v>
      </c>
      <c r="G30" s="268">
        <f>(STDEV(J11:J15))/E30</f>
        <v>9.5533239932803805E-3</v>
      </c>
      <c r="H30" s="234">
        <f>COUNT(J11:J15)</f>
        <v>4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-21.136116096316769</v>
      </c>
      <c r="C31" s="427">
        <f>VAR(K16:K18)</f>
        <v>3.2389547247419466E-3</v>
      </c>
      <c r="D31" s="271">
        <f>STDEV(K16:K18)</f>
        <v>5.6911815335147643E-2</v>
      </c>
      <c r="E31" s="270">
        <f>AVERAGE(J16:J18)</f>
        <v>44.912883219999998</v>
      </c>
      <c r="F31" s="266">
        <f>VAR(J16:J18)</f>
        <v>3.9224865702009857</v>
      </c>
      <c r="G31" s="271">
        <f>(STDEV(J16:J18))/E31</f>
        <v>4.4097076375037722E-2</v>
      </c>
      <c r="H31" s="230">
        <f>COUNT(J16:J18)</f>
        <v>2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.75" thickBot="1">
      <c r="A32" s="521" t="str">
        <f t="shared" si="0"/>
        <v>Cal-L.STD</v>
      </c>
      <c r="B32" s="522">
        <f>AVERAGE(K19:K21)</f>
        <v>-30.320925247824693</v>
      </c>
      <c r="C32" s="523">
        <f>VAR(K19:K21)</f>
        <v>1.6568325947574021E-2</v>
      </c>
      <c r="D32" s="524">
        <f>STDEV(K19:K21)</f>
        <v>0.12871800941427747</v>
      </c>
      <c r="E32" s="522">
        <f>AVERAGE(J19:J21)</f>
        <v>45.641942520000001</v>
      </c>
      <c r="F32" s="522">
        <f>VAR(J19:J21)</f>
        <v>0.13094744976231004</v>
      </c>
      <c r="G32" s="524">
        <f>(STDEV(J19:J21))/E32</f>
        <v>7.9283790033026057E-3</v>
      </c>
      <c r="H32" s="525">
        <f>COUNT(J19:J21)</f>
        <v>2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3.5" thickTop="1" thickBot="1">
      <c r="A33" s="526" t="str">
        <f t="shared" si="0"/>
        <v>Check QC</v>
      </c>
      <c r="B33" s="527">
        <f>AVERAGE(K22:K24)</f>
        <v>-26.105914461943119</v>
      </c>
      <c r="C33" s="528">
        <f>VAR(K22:K24)</f>
        <v>7.2247378151451182E-3</v>
      </c>
      <c r="D33" s="529">
        <f>STDEV(K22:K24)</f>
        <v>8.4998457722155862E-2</v>
      </c>
      <c r="E33" s="527">
        <f>AVERAGE(J22:J24)</f>
        <v>52.024009069999991</v>
      </c>
      <c r="F33" s="528">
        <f>VAR(J22:J24)</f>
        <v>6.9584604500184042E-7</v>
      </c>
      <c r="G33" s="530">
        <f>(STDEV(J22:J24))/E33</f>
        <v>1.6034401897871139E-5</v>
      </c>
      <c r="H33" s="531">
        <f>COUNT(J22:J24)</f>
        <v>2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75"/>
  <cols>
    <col min="1" max="1" width="25.28515625" bestFit="1" customWidth="1"/>
    <col min="2" max="2" width="21.28515625" bestFit="1" customWidth="1"/>
    <col min="3" max="3" width="6.42578125" bestFit="1" customWidth="1"/>
    <col min="5" max="5" width="12.42578125" bestFit="1" customWidth="1"/>
    <col min="6" max="6" width="12.85546875" bestFit="1" customWidth="1"/>
    <col min="7" max="7" width="11.28515625" bestFit="1" customWidth="1"/>
    <col min="8" max="8" width="12.85546875" bestFit="1" customWidth="1"/>
    <col min="9" max="9" width="20.28515625" bestFit="1" customWidth="1"/>
    <col min="10" max="10" width="25" bestFit="1" customWidth="1"/>
    <col min="11" max="11" width="9" bestFit="1" customWidth="1"/>
    <col min="14" max="14" width="19.5703125" bestFit="1" customWidth="1"/>
  </cols>
  <sheetData>
    <row r="1" spans="1:11" ht="30.75" customHeight="1" thickTop="1">
      <c r="A1" s="584" t="s">
        <v>231</v>
      </c>
      <c r="B1" s="585" t="s">
        <v>0</v>
      </c>
      <c r="C1" s="639" t="s">
        <v>330</v>
      </c>
      <c r="E1" s="595" t="s">
        <v>252</v>
      </c>
      <c r="F1" s="596" t="s">
        <v>253</v>
      </c>
      <c r="G1" s="596" t="s">
        <v>254</v>
      </c>
      <c r="H1" s="596" t="s">
        <v>255</v>
      </c>
      <c r="I1" s="597" t="s">
        <v>256</v>
      </c>
      <c r="J1" s="597" t="s">
        <v>257</v>
      </c>
      <c r="K1" s="598" t="s">
        <v>258</v>
      </c>
    </row>
    <row r="2" spans="1:11">
      <c r="A2" s="590" t="s">
        <v>347</v>
      </c>
      <c r="B2" s="591" t="s">
        <v>246</v>
      </c>
      <c r="C2" s="636">
        <v>3</v>
      </c>
      <c r="E2" s="599" t="s">
        <v>259</v>
      </c>
      <c r="F2" s="600" t="s">
        <v>260</v>
      </c>
      <c r="G2" s="600" t="s">
        <v>261</v>
      </c>
      <c r="H2" s="601">
        <v>11</v>
      </c>
      <c r="I2" s="602" t="s">
        <v>262</v>
      </c>
      <c r="J2" s="603" t="s">
        <v>263</v>
      </c>
      <c r="K2" s="604">
        <v>4791</v>
      </c>
    </row>
    <row r="3" spans="1:11" ht="15">
      <c r="A3" s="588" t="s">
        <v>348</v>
      </c>
      <c r="B3" s="589" t="s">
        <v>241</v>
      </c>
      <c r="C3" s="637">
        <v>3</v>
      </c>
      <c r="E3" s="599" t="s">
        <v>264</v>
      </c>
      <c r="F3" s="600" t="s">
        <v>265</v>
      </c>
      <c r="G3" s="600" t="s">
        <v>261</v>
      </c>
      <c r="H3" s="600">
        <v>8</v>
      </c>
      <c r="I3" s="605" t="s">
        <v>266</v>
      </c>
      <c r="J3" s="603" t="s">
        <v>267</v>
      </c>
      <c r="K3" s="604">
        <v>4684</v>
      </c>
    </row>
    <row r="4" spans="1:11">
      <c r="A4" s="586" t="s">
        <v>249</v>
      </c>
      <c r="B4" s="587" t="s">
        <v>233</v>
      </c>
      <c r="C4" s="638">
        <v>1.5</v>
      </c>
      <c r="E4" s="599" t="s">
        <v>268</v>
      </c>
      <c r="F4" s="600" t="s">
        <v>269</v>
      </c>
      <c r="G4" s="600" t="s">
        <v>270</v>
      </c>
      <c r="H4" s="600">
        <v>10</v>
      </c>
      <c r="I4" s="605" t="s">
        <v>271</v>
      </c>
      <c r="J4" s="603" t="s">
        <v>272</v>
      </c>
      <c r="K4" s="604">
        <v>4620</v>
      </c>
    </row>
    <row r="5" spans="1:11">
      <c r="A5" s="586" t="s">
        <v>349</v>
      </c>
      <c r="B5" s="587" t="s">
        <v>234</v>
      </c>
      <c r="C5" s="638">
        <v>1</v>
      </c>
      <c r="E5" s="599" t="s">
        <v>273</v>
      </c>
      <c r="F5" s="600" t="s">
        <v>274</v>
      </c>
      <c r="G5" s="600" t="s">
        <v>275</v>
      </c>
      <c r="H5" s="600">
        <v>19</v>
      </c>
      <c r="I5" s="605" t="s">
        <v>276</v>
      </c>
      <c r="J5" s="603" t="s">
        <v>277</v>
      </c>
      <c r="K5" s="604">
        <v>4029</v>
      </c>
    </row>
    <row r="6" spans="1:11">
      <c r="A6" s="586" t="s">
        <v>250</v>
      </c>
      <c r="B6" s="587" t="s">
        <v>235</v>
      </c>
      <c r="C6" s="638">
        <v>1</v>
      </c>
      <c r="E6" s="599" t="s">
        <v>278</v>
      </c>
      <c r="F6" s="600" t="s">
        <v>279</v>
      </c>
      <c r="G6" s="600" t="s">
        <v>280</v>
      </c>
      <c r="H6" s="600">
        <v>23</v>
      </c>
      <c r="I6" s="605"/>
      <c r="J6" s="603"/>
      <c r="K6" s="604"/>
    </row>
    <row r="7" spans="1:11">
      <c r="A7" s="586" t="s">
        <v>350</v>
      </c>
      <c r="B7" s="587" t="s">
        <v>236</v>
      </c>
      <c r="C7" s="638">
        <v>2</v>
      </c>
      <c r="E7" s="599" t="s">
        <v>281</v>
      </c>
      <c r="F7" s="600" t="s">
        <v>282</v>
      </c>
      <c r="G7" s="600" t="s">
        <v>280</v>
      </c>
      <c r="H7" s="600">
        <v>22</v>
      </c>
      <c r="I7" s="605"/>
      <c r="J7" s="603"/>
      <c r="K7" s="604"/>
    </row>
    <row r="8" spans="1:11">
      <c r="A8" s="586" t="s">
        <v>351</v>
      </c>
      <c r="B8" s="587" t="s">
        <v>237</v>
      </c>
      <c r="C8" s="638">
        <v>6.5</v>
      </c>
      <c r="E8" s="599" t="s">
        <v>283</v>
      </c>
      <c r="F8" s="600" t="s">
        <v>284</v>
      </c>
      <c r="G8" s="600" t="s">
        <v>261</v>
      </c>
      <c r="H8" s="600">
        <v>2</v>
      </c>
      <c r="I8" s="605" t="s">
        <v>285</v>
      </c>
      <c r="J8" s="603" t="s">
        <v>286</v>
      </c>
      <c r="K8" s="604">
        <v>4696</v>
      </c>
    </row>
    <row r="9" spans="1:11">
      <c r="A9" s="586" t="s">
        <v>352</v>
      </c>
      <c r="B9" s="587" t="s">
        <v>240</v>
      </c>
      <c r="C9" s="638">
        <v>6.5</v>
      </c>
      <c r="E9" s="599" t="s">
        <v>287</v>
      </c>
      <c r="F9" s="600" t="s">
        <v>288</v>
      </c>
      <c r="G9" s="600" t="s">
        <v>289</v>
      </c>
      <c r="H9" s="600">
        <v>16</v>
      </c>
      <c r="I9" s="605" t="s">
        <v>290</v>
      </c>
      <c r="J9" s="603" t="s">
        <v>291</v>
      </c>
      <c r="K9" s="604">
        <v>4026</v>
      </c>
    </row>
    <row r="10" spans="1:11">
      <c r="A10" s="588" t="s">
        <v>345</v>
      </c>
      <c r="B10" s="589" t="s">
        <v>238</v>
      </c>
      <c r="C10" s="637">
        <v>0.5</v>
      </c>
      <c r="E10" s="599" t="s">
        <v>292</v>
      </c>
      <c r="F10" s="600" t="s">
        <v>293</v>
      </c>
      <c r="G10" s="600" t="s">
        <v>261</v>
      </c>
      <c r="H10" s="600">
        <v>17</v>
      </c>
      <c r="I10" s="605" t="s">
        <v>294</v>
      </c>
      <c r="J10" s="603"/>
      <c r="K10" s="604">
        <v>4832</v>
      </c>
    </row>
    <row r="11" spans="1:11">
      <c r="A11" s="588" t="s">
        <v>346</v>
      </c>
      <c r="B11" s="589" t="s">
        <v>242</v>
      </c>
      <c r="C11" s="637">
        <v>1</v>
      </c>
      <c r="E11" s="599" t="s">
        <v>295</v>
      </c>
      <c r="F11" s="600" t="s">
        <v>296</v>
      </c>
      <c r="G11" s="600" t="s">
        <v>261</v>
      </c>
      <c r="H11" s="600">
        <v>14</v>
      </c>
      <c r="I11" s="605" t="s">
        <v>297</v>
      </c>
      <c r="J11" s="603"/>
      <c r="K11" s="604">
        <v>4631</v>
      </c>
    </row>
    <row r="12" spans="1:11">
      <c r="A12" s="588" t="s">
        <v>343</v>
      </c>
      <c r="B12" s="589" t="s">
        <v>232</v>
      </c>
      <c r="C12" s="637">
        <v>0.5</v>
      </c>
      <c r="E12" s="599" t="s">
        <v>298</v>
      </c>
      <c r="F12" s="600" t="s">
        <v>299</v>
      </c>
      <c r="G12" s="600" t="s">
        <v>270</v>
      </c>
      <c r="H12" s="600">
        <v>24</v>
      </c>
      <c r="I12" s="605" t="s">
        <v>342</v>
      </c>
      <c r="J12" s="603" t="s">
        <v>251</v>
      </c>
      <c r="K12" s="604">
        <v>4581</v>
      </c>
    </row>
    <row r="13" spans="1:11">
      <c r="A13" s="588" t="s">
        <v>344</v>
      </c>
      <c r="B13" s="589" t="s">
        <v>232</v>
      </c>
      <c r="C13" s="637">
        <v>0.5</v>
      </c>
      <c r="E13" s="599" t="s">
        <v>300</v>
      </c>
      <c r="F13" s="600" t="s">
        <v>301</v>
      </c>
      <c r="G13" s="600" t="s">
        <v>261</v>
      </c>
      <c r="H13" s="600">
        <v>13</v>
      </c>
      <c r="I13" s="605" t="s">
        <v>302</v>
      </c>
      <c r="J13" s="603"/>
      <c r="K13" s="604">
        <v>4397</v>
      </c>
    </row>
    <row r="14" spans="1:11">
      <c r="A14" s="588" t="s">
        <v>353</v>
      </c>
      <c r="B14" s="589" t="s">
        <v>239</v>
      </c>
      <c r="C14" s="637">
        <v>0.5</v>
      </c>
      <c r="E14" s="606" t="s">
        <v>303</v>
      </c>
      <c r="F14" s="607" t="s">
        <v>304</v>
      </c>
      <c r="G14" s="607" t="s">
        <v>305</v>
      </c>
      <c r="H14" s="607">
        <v>0</v>
      </c>
      <c r="I14" s="608" t="s">
        <v>340</v>
      </c>
      <c r="J14" s="609" t="s">
        <v>306</v>
      </c>
      <c r="K14" s="610">
        <v>4604</v>
      </c>
    </row>
    <row r="15" spans="1:11">
      <c r="A15" s="588" t="s">
        <v>354</v>
      </c>
      <c r="B15" s="589" t="s">
        <v>239</v>
      </c>
      <c r="C15" s="637">
        <v>0.5</v>
      </c>
      <c r="E15" s="606" t="s">
        <v>339</v>
      </c>
      <c r="F15" s="607" t="s">
        <v>304</v>
      </c>
      <c r="G15" s="607" t="s">
        <v>305</v>
      </c>
      <c r="H15" s="607">
        <v>0</v>
      </c>
      <c r="I15" s="608" t="s">
        <v>340</v>
      </c>
      <c r="J15" s="603" t="s">
        <v>341</v>
      </c>
      <c r="K15" s="610"/>
    </row>
    <row r="16" spans="1:11">
      <c r="A16" s="586" t="s">
        <v>244</v>
      </c>
      <c r="B16" s="587" t="s">
        <v>245</v>
      </c>
      <c r="C16" s="638">
        <v>1.2</v>
      </c>
      <c r="E16" s="606" t="s">
        <v>307</v>
      </c>
      <c r="F16" s="607" t="s">
        <v>308</v>
      </c>
      <c r="G16" s="607" t="s">
        <v>309</v>
      </c>
      <c r="H16" s="607">
        <v>25</v>
      </c>
      <c r="I16" s="611" t="s">
        <v>310</v>
      </c>
      <c r="J16" s="609" t="s">
        <v>311</v>
      </c>
      <c r="K16" s="612"/>
    </row>
    <row r="17" spans="1:8" ht="13.5" thickBot="1">
      <c r="A17" s="646" t="s">
        <v>355</v>
      </c>
      <c r="B17" s="647" t="s">
        <v>243</v>
      </c>
      <c r="C17" s="648">
        <v>0.6</v>
      </c>
    </row>
    <row r="18" spans="1:8" ht="15.75" thickTop="1">
      <c r="E18" s="613" t="s">
        <v>312</v>
      </c>
      <c r="H18" s="621" t="s">
        <v>317</v>
      </c>
    </row>
    <row r="19" spans="1:8" ht="15">
      <c r="E19" s="614" t="s">
        <v>313</v>
      </c>
      <c r="H19" s="622" t="s">
        <v>318</v>
      </c>
    </row>
    <row r="20" spans="1:8" ht="15.75" thickBot="1">
      <c r="E20" s="615" t="s">
        <v>314</v>
      </c>
      <c r="H20" s="622" t="s">
        <v>319</v>
      </c>
    </row>
    <row r="21" spans="1:8" ht="13.5" thickTop="1">
      <c r="E21" s="616"/>
      <c r="H21" s="623" t="s">
        <v>320</v>
      </c>
    </row>
    <row r="22" spans="1:8">
      <c r="E22" s="616"/>
    </row>
    <row r="23" spans="1:8">
      <c r="E23" s="616" t="s">
        <v>315</v>
      </c>
      <c r="H23" s="621" t="s">
        <v>321</v>
      </c>
    </row>
    <row r="24" spans="1:8">
      <c r="E24" s="617">
        <f ca="1">TODAY()</f>
        <v>44106</v>
      </c>
      <c r="H24" s="622" t="s">
        <v>322</v>
      </c>
    </row>
    <row r="25" spans="1:8">
      <c r="E25" s="616"/>
      <c r="H25" s="622" t="s">
        <v>323</v>
      </c>
    </row>
    <row r="26" spans="1:8">
      <c r="E26" s="616"/>
      <c r="H26" s="623" t="s">
        <v>324</v>
      </c>
    </row>
    <row r="27" spans="1:8">
      <c r="E27" s="677" t="s">
        <v>316</v>
      </c>
      <c r="F27" s="678"/>
    </row>
    <row r="28" spans="1:8">
      <c r="E28" s="618" t="str">
        <f ca="1">TEXT(E24,"yymmdd")</f>
        <v>241003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75"/>
  <cols>
    <col min="1" max="1" width="10.140625" bestFit="1" customWidth="1"/>
    <col min="2" max="2" width="90.85546875" bestFit="1" customWidth="1"/>
  </cols>
  <sheetData>
    <row r="1" spans="1:3" ht="15">
      <c r="A1" s="641" t="s">
        <v>9</v>
      </c>
      <c r="B1" s="641" t="s">
        <v>333</v>
      </c>
      <c r="C1" s="641" t="s">
        <v>334</v>
      </c>
    </row>
    <row r="2" spans="1:3">
      <c r="A2" s="428">
        <v>42542</v>
      </c>
      <c r="B2" t="s">
        <v>331</v>
      </c>
      <c r="C2" t="s">
        <v>332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Trine, Lisandra</cp:lastModifiedBy>
  <cp:lastPrinted>2024-10-01T23:52:36Z</cp:lastPrinted>
  <dcterms:created xsi:type="dcterms:W3CDTF">2000-03-01T21:58:50Z</dcterms:created>
  <dcterms:modified xsi:type="dcterms:W3CDTF">2024-10-03T19:11:13Z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