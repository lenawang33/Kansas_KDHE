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0" documentId="8_{68144A71-90F2-4ED6-AA67-B76900A52EB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oil1_20240520_LW Modified_C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2" l="1"/>
  <c r="F81" i="2" s="1"/>
  <c r="G81" i="2" s="1"/>
  <c r="H81" i="2" s="1"/>
  <c r="D3" i="2"/>
  <c r="E3" i="2" s="1"/>
  <c r="F3" i="2" s="1"/>
  <c r="G3" i="2" s="1"/>
  <c r="H3" i="2" s="1"/>
  <c r="D4" i="2"/>
  <c r="E4" i="2" s="1"/>
  <c r="F4" i="2" s="1"/>
  <c r="G4" i="2" s="1"/>
  <c r="H4" i="2" s="1"/>
  <c r="D5" i="2"/>
  <c r="E5" i="2" s="1"/>
  <c r="F5" i="2" s="1"/>
  <c r="G5" i="2" s="1"/>
  <c r="H5" i="2" s="1"/>
  <c r="D6" i="2"/>
  <c r="E6" i="2" s="1"/>
  <c r="F6" i="2" s="1"/>
  <c r="G6" i="2" s="1"/>
  <c r="H6" i="2" s="1"/>
  <c r="D7" i="2"/>
  <c r="E7" i="2" s="1"/>
  <c r="F7" i="2" s="1"/>
  <c r="G7" i="2" s="1"/>
  <c r="H7" i="2" s="1"/>
  <c r="D8" i="2"/>
  <c r="E8" i="2" s="1"/>
  <c r="F8" i="2" s="1"/>
  <c r="G8" i="2" s="1"/>
  <c r="H8" i="2" s="1"/>
  <c r="D9" i="2"/>
  <c r="E9" i="2" s="1"/>
  <c r="F9" i="2" s="1"/>
  <c r="G9" i="2" s="1"/>
  <c r="H9" i="2" s="1"/>
  <c r="D10" i="2"/>
  <c r="E10" i="2" s="1"/>
  <c r="F10" i="2" s="1"/>
  <c r="G10" i="2" s="1"/>
  <c r="H10" i="2" s="1"/>
  <c r="D11" i="2"/>
  <c r="E11" i="2" s="1"/>
  <c r="F11" i="2" s="1"/>
  <c r="G11" i="2" s="1"/>
  <c r="H11" i="2" s="1"/>
  <c r="D12" i="2"/>
  <c r="E12" i="2" s="1"/>
  <c r="F12" i="2" s="1"/>
  <c r="G12" i="2" s="1"/>
  <c r="H12" i="2" s="1"/>
  <c r="D13" i="2"/>
  <c r="E13" i="2" s="1"/>
  <c r="F13" i="2" s="1"/>
  <c r="G13" i="2" s="1"/>
  <c r="H13" i="2" s="1"/>
  <c r="D14" i="2"/>
  <c r="E14" i="2" s="1"/>
  <c r="F14" i="2" s="1"/>
  <c r="G14" i="2" s="1"/>
  <c r="H14" i="2" s="1"/>
  <c r="D15" i="2"/>
  <c r="E15" i="2" s="1"/>
  <c r="F15" i="2" s="1"/>
  <c r="G15" i="2" s="1"/>
  <c r="H15" i="2" s="1"/>
  <c r="D16" i="2"/>
  <c r="E16" i="2" s="1"/>
  <c r="F16" i="2" s="1"/>
  <c r="G16" i="2" s="1"/>
  <c r="H16" i="2" s="1"/>
  <c r="D17" i="2"/>
  <c r="E17" i="2" s="1"/>
  <c r="F17" i="2" s="1"/>
  <c r="G17" i="2" s="1"/>
  <c r="H17" i="2" s="1"/>
  <c r="D18" i="2"/>
  <c r="E18" i="2" s="1"/>
  <c r="F18" i="2" s="1"/>
  <c r="G18" i="2" s="1"/>
  <c r="H18" i="2" s="1"/>
  <c r="D19" i="2"/>
  <c r="E19" i="2" s="1"/>
  <c r="F19" i="2" s="1"/>
  <c r="G19" i="2" s="1"/>
  <c r="H19" i="2" s="1"/>
  <c r="D20" i="2"/>
  <c r="E20" i="2" s="1"/>
  <c r="F20" i="2" s="1"/>
  <c r="G20" i="2" s="1"/>
  <c r="H20" i="2" s="1"/>
  <c r="D21" i="2"/>
  <c r="E21" i="2" s="1"/>
  <c r="F21" i="2" s="1"/>
  <c r="G21" i="2" s="1"/>
  <c r="H21" i="2" s="1"/>
  <c r="D22" i="2"/>
  <c r="E22" i="2" s="1"/>
  <c r="F22" i="2" s="1"/>
  <c r="G22" i="2" s="1"/>
  <c r="H22" i="2" s="1"/>
  <c r="D23" i="2"/>
  <c r="E23" i="2" s="1"/>
  <c r="F23" i="2" s="1"/>
  <c r="G23" i="2" s="1"/>
  <c r="H23" i="2" s="1"/>
  <c r="D24" i="2"/>
  <c r="E24" i="2" s="1"/>
  <c r="F24" i="2" s="1"/>
  <c r="G24" i="2" s="1"/>
  <c r="H24" i="2" s="1"/>
  <c r="D25" i="2"/>
  <c r="E25" i="2" s="1"/>
  <c r="F25" i="2" s="1"/>
  <c r="G25" i="2" s="1"/>
  <c r="H25" i="2" s="1"/>
  <c r="D26" i="2"/>
  <c r="E26" i="2" s="1"/>
  <c r="F26" i="2" s="1"/>
  <c r="G26" i="2" s="1"/>
  <c r="H26" i="2" s="1"/>
  <c r="D27" i="2"/>
  <c r="E27" i="2" s="1"/>
  <c r="F27" i="2" s="1"/>
  <c r="G27" i="2" s="1"/>
  <c r="H27" i="2" s="1"/>
  <c r="D28" i="2"/>
  <c r="E28" i="2" s="1"/>
  <c r="F28" i="2" s="1"/>
  <c r="G28" i="2" s="1"/>
  <c r="H28" i="2" s="1"/>
  <c r="D29" i="2"/>
  <c r="E29" i="2" s="1"/>
  <c r="F29" i="2" s="1"/>
  <c r="G29" i="2" s="1"/>
  <c r="H29" i="2" s="1"/>
  <c r="D30" i="2"/>
  <c r="E30" i="2" s="1"/>
  <c r="F30" i="2" s="1"/>
  <c r="G30" i="2" s="1"/>
  <c r="H30" i="2" s="1"/>
  <c r="D31" i="2"/>
  <c r="E31" i="2" s="1"/>
  <c r="F31" i="2" s="1"/>
  <c r="G31" i="2" s="1"/>
  <c r="H31" i="2" s="1"/>
  <c r="D32" i="2"/>
  <c r="E32" i="2" s="1"/>
  <c r="F32" i="2" s="1"/>
  <c r="G32" i="2" s="1"/>
  <c r="H32" i="2" s="1"/>
  <c r="D33" i="2"/>
  <c r="E33" i="2" s="1"/>
  <c r="F33" i="2" s="1"/>
  <c r="G33" i="2" s="1"/>
  <c r="H33" i="2" s="1"/>
  <c r="D34" i="2"/>
  <c r="E34" i="2" s="1"/>
  <c r="F34" i="2" s="1"/>
  <c r="G34" i="2" s="1"/>
  <c r="H34" i="2" s="1"/>
  <c r="D35" i="2"/>
  <c r="E35" i="2" s="1"/>
  <c r="F35" i="2" s="1"/>
  <c r="G35" i="2" s="1"/>
  <c r="H35" i="2" s="1"/>
  <c r="D36" i="2"/>
  <c r="E36" i="2" s="1"/>
  <c r="F36" i="2" s="1"/>
  <c r="G36" i="2" s="1"/>
  <c r="H36" i="2" s="1"/>
  <c r="D37" i="2"/>
  <c r="E37" i="2" s="1"/>
  <c r="F37" i="2" s="1"/>
  <c r="G37" i="2" s="1"/>
  <c r="H37" i="2" s="1"/>
  <c r="D38" i="2"/>
  <c r="E38" i="2" s="1"/>
  <c r="F38" i="2" s="1"/>
  <c r="G38" i="2" s="1"/>
  <c r="H38" i="2" s="1"/>
  <c r="D39" i="2"/>
  <c r="E39" i="2" s="1"/>
  <c r="F39" i="2" s="1"/>
  <c r="G39" i="2" s="1"/>
  <c r="H39" i="2" s="1"/>
  <c r="D40" i="2"/>
  <c r="E40" i="2" s="1"/>
  <c r="F40" i="2" s="1"/>
  <c r="G40" i="2" s="1"/>
  <c r="H40" i="2" s="1"/>
  <c r="D41" i="2"/>
  <c r="E41" i="2" s="1"/>
  <c r="F41" i="2" s="1"/>
  <c r="G41" i="2" s="1"/>
  <c r="H41" i="2" s="1"/>
  <c r="D42" i="2"/>
  <c r="E42" i="2" s="1"/>
  <c r="F42" i="2" s="1"/>
  <c r="G42" i="2" s="1"/>
  <c r="H42" i="2" s="1"/>
  <c r="D43" i="2"/>
  <c r="E43" i="2" s="1"/>
  <c r="F43" i="2" s="1"/>
  <c r="G43" i="2" s="1"/>
  <c r="H43" i="2" s="1"/>
  <c r="D44" i="2"/>
  <c r="E44" i="2" s="1"/>
  <c r="F44" i="2" s="1"/>
  <c r="G44" i="2" s="1"/>
  <c r="H44" i="2" s="1"/>
  <c r="D45" i="2"/>
  <c r="E45" i="2" s="1"/>
  <c r="F45" i="2" s="1"/>
  <c r="G45" i="2" s="1"/>
  <c r="H45" i="2" s="1"/>
  <c r="D46" i="2"/>
  <c r="E46" i="2" s="1"/>
  <c r="F46" i="2" s="1"/>
  <c r="G46" i="2" s="1"/>
  <c r="H46" i="2" s="1"/>
  <c r="D47" i="2"/>
  <c r="E47" i="2" s="1"/>
  <c r="F47" i="2" s="1"/>
  <c r="G47" i="2" s="1"/>
  <c r="H47" i="2" s="1"/>
  <c r="D48" i="2"/>
  <c r="E48" i="2" s="1"/>
  <c r="F48" i="2" s="1"/>
  <c r="G48" i="2" s="1"/>
  <c r="H48" i="2" s="1"/>
  <c r="D49" i="2"/>
  <c r="E49" i="2" s="1"/>
  <c r="F49" i="2" s="1"/>
  <c r="G49" i="2" s="1"/>
  <c r="H49" i="2" s="1"/>
  <c r="D50" i="2"/>
  <c r="E50" i="2" s="1"/>
  <c r="F50" i="2" s="1"/>
  <c r="G50" i="2" s="1"/>
  <c r="H50" i="2" s="1"/>
  <c r="D51" i="2"/>
  <c r="E51" i="2" s="1"/>
  <c r="F51" i="2" s="1"/>
  <c r="G51" i="2" s="1"/>
  <c r="H51" i="2" s="1"/>
  <c r="D52" i="2"/>
  <c r="E52" i="2" s="1"/>
  <c r="F52" i="2" s="1"/>
  <c r="G52" i="2" s="1"/>
  <c r="H52" i="2" s="1"/>
  <c r="D53" i="2"/>
  <c r="E53" i="2" s="1"/>
  <c r="F53" i="2" s="1"/>
  <c r="G53" i="2" s="1"/>
  <c r="H53" i="2" s="1"/>
  <c r="D54" i="2"/>
  <c r="E54" i="2" s="1"/>
  <c r="F54" i="2" s="1"/>
  <c r="G54" i="2" s="1"/>
  <c r="H54" i="2" s="1"/>
  <c r="D55" i="2"/>
  <c r="E55" i="2" s="1"/>
  <c r="F55" i="2" s="1"/>
  <c r="G55" i="2" s="1"/>
  <c r="H55" i="2" s="1"/>
  <c r="D56" i="2"/>
  <c r="E56" i="2" s="1"/>
  <c r="F56" i="2" s="1"/>
  <c r="G56" i="2" s="1"/>
  <c r="H56" i="2" s="1"/>
  <c r="D57" i="2"/>
  <c r="E57" i="2" s="1"/>
  <c r="F57" i="2" s="1"/>
  <c r="G57" i="2" s="1"/>
  <c r="H57" i="2" s="1"/>
  <c r="D58" i="2"/>
  <c r="E58" i="2" s="1"/>
  <c r="F58" i="2" s="1"/>
  <c r="G58" i="2" s="1"/>
  <c r="H58" i="2" s="1"/>
  <c r="D59" i="2"/>
  <c r="E59" i="2" s="1"/>
  <c r="F59" i="2" s="1"/>
  <c r="G59" i="2" s="1"/>
  <c r="H59" i="2" s="1"/>
  <c r="D60" i="2"/>
  <c r="E60" i="2" s="1"/>
  <c r="F60" i="2" s="1"/>
  <c r="G60" i="2" s="1"/>
  <c r="H60" i="2" s="1"/>
  <c r="D61" i="2"/>
  <c r="E61" i="2" s="1"/>
  <c r="F61" i="2" s="1"/>
  <c r="G61" i="2" s="1"/>
  <c r="H61" i="2" s="1"/>
  <c r="D62" i="2"/>
  <c r="E62" i="2" s="1"/>
  <c r="F62" i="2" s="1"/>
  <c r="G62" i="2" s="1"/>
  <c r="H62" i="2" s="1"/>
  <c r="D63" i="2"/>
  <c r="E63" i="2" s="1"/>
  <c r="F63" i="2" s="1"/>
  <c r="G63" i="2" s="1"/>
  <c r="H63" i="2" s="1"/>
  <c r="D64" i="2"/>
  <c r="E64" i="2" s="1"/>
  <c r="F64" i="2" s="1"/>
  <c r="G64" i="2" s="1"/>
  <c r="H64" i="2" s="1"/>
  <c r="D65" i="2"/>
  <c r="E65" i="2" s="1"/>
  <c r="F65" i="2" s="1"/>
  <c r="G65" i="2" s="1"/>
  <c r="H65" i="2" s="1"/>
  <c r="D66" i="2"/>
  <c r="E66" i="2" s="1"/>
  <c r="F66" i="2" s="1"/>
  <c r="G66" i="2" s="1"/>
  <c r="H66" i="2" s="1"/>
  <c r="D67" i="2"/>
  <c r="E67" i="2" s="1"/>
  <c r="F67" i="2" s="1"/>
  <c r="G67" i="2" s="1"/>
  <c r="H67" i="2" s="1"/>
  <c r="D68" i="2"/>
  <c r="E68" i="2" s="1"/>
  <c r="F68" i="2" s="1"/>
  <c r="G68" i="2" s="1"/>
  <c r="H68" i="2" s="1"/>
  <c r="D69" i="2"/>
  <c r="E69" i="2" s="1"/>
  <c r="F69" i="2" s="1"/>
  <c r="G69" i="2" s="1"/>
  <c r="H69" i="2" s="1"/>
  <c r="D70" i="2"/>
  <c r="E70" i="2" s="1"/>
  <c r="F70" i="2" s="1"/>
  <c r="G70" i="2" s="1"/>
  <c r="H70" i="2" s="1"/>
  <c r="D71" i="2"/>
  <c r="E71" i="2" s="1"/>
  <c r="F71" i="2" s="1"/>
  <c r="G71" i="2" s="1"/>
  <c r="H71" i="2" s="1"/>
  <c r="D72" i="2"/>
  <c r="E72" i="2" s="1"/>
  <c r="F72" i="2" s="1"/>
  <c r="G72" i="2" s="1"/>
  <c r="H72" i="2" s="1"/>
  <c r="D73" i="2"/>
  <c r="E73" i="2" s="1"/>
  <c r="F73" i="2" s="1"/>
  <c r="G73" i="2" s="1"/>
  <c r="H73" i="2" s="1"/>
  <c r="D74" i="2"/>
  <c r="E74" i="2" s="1"/>
  <c r="F74" i="2" s="1"/>
  <c r="G74" i="2" s="1"/>
  <c r="H74" i="2" s="1"/>
  <c r="D75" i="2"/>
  <c r="E75" i="2" s="1"/>
  <c r="F75" i="2" s="1"/>
  <c r="G75" i="2" s="1"/>
  <c r="H75" i="2" s="1"/>
  <c r="D76" i="2"/>
  <c r="E76" i="2" s="1"/>
  <c r="F76" i="2" s="1"/>
  <c r="G76" i="2" s="1"/>
  <c r="H76" i="2" s="1"/>
  <c r="D77" i="2"/>
  <c r="E77" i="2" s="1"/>
  <c r="F77" i="2" s="1"/>
  <c r="G77" i="2" s="1"/>
  <c r="H77" i="2" s="1"/>
  <c r="D78" i="2"/>
  <c r="E78" i="2" s="1"/>
  <c r="F78" i="2" s="1"/>
  <c r="G78" i="2" s="1"/>
  <c r="H78" i="2" s="1"/>
  <c r="D79" i="2"/>
  <c r="E79" i="2" s="1"/>
  <c r="F79" i="2" s="1"/>
  <c r="G79" i="2" s="1"/>
  <c r="H79" i="2" s="1"/>
  <c r="D80" i="2"/>
  <c r="E80" i="2" s="1"/>
  <c r="F80" i="2" s="1"/>
  <c r="G80" i="2" s="1"/>
  <c r="H80" i="2" s="1"/>
  <c r="D81" i="2"/>
  <c r="D82" i="2"/>
  <c r="E82" i="2" s="1"/>
  <c r="F82" i="2" s="1"/>
  <c r="G82" i="2" s="1"/>
  <c r="H82" i="2" s="1"/>
  <c r="D83" i="2"/>
  <c r="E83" i="2" s="1"/>
  <c r="F83" i="2" s="1"/>
  <c r="G83" i="2" s="1"/>
  <c r="H83" i="2" s="1"/>
  <c r="D84" i="2"/>
  <c r="E84" i="2" s="1"/>
  <c r="F84" i="2" s="1"/>
  <c r="G84" i="2" s="1"/>
  <c r="H84" i="2" s="1"/>
  <c r="D85" i="2"/>
  <c r="E85" i="2" s="1"/>
  <c r="F85" i="2" s="1"/>
  <c r="G85" i="2" s="1"/>
  <c r="H85" i="2" s="1"/>
  <c r="D86" i="2"/>
  <c r="E86" i="2" s="1"/>
  <c r="F86" i="2" s="1"/>
  <c r="G86" i="2" s="1"/>
  <c r="H86" i="2" s="1"/>
  <c r="D87" i="2"/>
  <c r="E87" i="2" s="1"/>
  <c r="F87" i="2" s="1"/>
  <c r="G87" i="2" s="1"/>
  <c r="H87" i="2" s="1"/>
  <c r="D88" i="2"/>
  <c r="E88" i="2" s="1"/>
  <c r="F88" i="2" s="1"/>
  <c r="G88" i="2" s="1"/>
  <c r="H88" i="2" s="1"/>
  <c r="D89" i="2"/>
  <c r="E89" i="2" s="1"/>
  <c r="F89" i="2" s="1"/>
  <c r="G89" i="2" s="1"/>
  <c r="H89" i="2" s="1"/>
  <c r="D90" i="2"/>
  <c r="E90" i="2" s="1"/>
  <c r="F90" i="2" s="1"/>
  <c r="G90" i="2" s="1"/>
  <c r="H90" i="2" s="1"/>
  <c r="D91" i="2"/>
  <c r="E91" i="2" s="1"/>
  <c r="F91" i="2" s="1"/>
  <c r="G91" i="2" s="1"/>
  <c r="H91" i="2" s="1"/>
  <c r="D92" i="2"/>
  <c r="E92" i="2" s="1"/>
  <c r="F92" i="2" s="1"/>
  <c r="G92" i="2" s="1"/>
  <c r="H92" i="2" s="1"/>
  <c r="D93" i="2"/>
  <c r="E93" i="2" s="1"/>
  <c r="F93" i="2" s="1"/>
  <c r="G93" i="2" s="1"/>
  <c r="H93" i="2" s="1"/>
  <c r="D94" i="2"/>
  <c r="E94" i="2" s="1"/>
  <c r="F94" i="2" s="1"/>
  <c r="G94" i="2" s="1"/>
  <c r="H94" i="2" s="1"/>
  <c r="D95" i="2"/>
  <c r="E95" i="2" s="1"/>
  <c r="F95" i="2" s="1"/>
  <c r="G95" i="2" s="1"/>
  <c r="H95" i="2" s="1"/>
  <c r="D96" i="2"/>
  <c r="E96" i="2" s="1"/>
  <c r="F96" i="2" s="1"/>
  <c r="G96" i="2" s="1"/>
  <c r="H96" i="2" s="1"/>
  <c r="D97" i="2"/>
  <c r="E97" i="2" s="1"/>
  <c r="F97" i="2" s="1"/>
  <c r="G97" i="2" s="1"/>
  <c r="H97" i="2" s="1"/>
  <c r="D98" i="2"/>
  <c r="E98" i="2" s="1"/>
  <c r="F98" i="2" s="1"/>
  <c r="G98" i="2" s="1"/>
  <c r="H98" i="2" s="1"/>
  <c r="D99" i="2"/>
  <c r="E99" i="2" s="1"/>
  <c r="F99" i="2" s="1"/>
  <c r="G99" i="2" s="1"/>
  <c r="H99" i="2" s="1"/>
  <c r="D100" i="2"/>
  <c r="E100" i="2" s="1"/>
  <c r="F100" i="2" s="1"/>
  <c r="G100" i="2" s="1"/>
  <c r="H100" i="2" s="1"/>
  <c r="D101" i="2"/>
  <c r="E101" i="2" s="1"/>
  <c r="F101" i="2" s="1"/>
  <c r="G101" i="2" s="1"/>
  <c r="H101" i="2" s="1"/>
  <c r="D102" i="2"/>
  <c r="E102" i="2" s="1"/>
  <c r="F102" i="2" s="1"/>
  <c r="G102" i="2" s="1"/>
  <c r="H102" i="2" s="1"/>
  <c r="D103" i="2"/>
  <c r="E103" i="2" s="1"/>
  <c r="F103" i="2" s="1"/>
  <c r="G103" i="2" s="1"/>
  <c r="H103" i="2" s="1"/>
  <c r="D104" i="2"/>
  <c r="E104" i="2" s="1"/>
  <c r="F104" i="2" s="1"/>
  <c r="G104" i="2" s="1"/>
  <c r="H104" i="2" s="1"/>
  <c r="D105" i="2"/>
  <c r="E105" i="2" s="1"/>
  <c r="F105" i="2" s="1"/>
  <c r="G105" i="2" s="1"/>
  <c r="H105" i="2" s="1"/>
  <c r="D106" i="2"/>
  <c r="E106" i="2" s="1"/>
  <c r="F106" i="2" s="1"/>
  <c r="G106" i="2" s="1"/>
  <c r="H106" i="2" s="1"/>
  <c r="D107" i="2"/>
  <c r="E107" i="2" s="1"/>
  <c r="F107" i="2" s="1"/>
  <c r="G107" i="2" s="1"/>
  <c r="H107" i="2" s="1"/>
  <c r="D108" i="2"/>
  <c r="E108" i="2" s="1"/>
  <c r="F108" i="2" s="1"/>
  <c r="G108" i="2" s="1"/>
  <c r="H108" i="2" s="1"/>
  <c r="D109" i="2"/>
  <c r="E109" i="2" s="1"/>
  <c r="F109" i="2" s="1"/>
  <c r="G109" i="2" s="1"/>
  <c r="H109" i="2" s="1"/>
  <c r="D110" i="2"/>
  <c r="E110" i="2" s="1"/>
  <c r="F110" i="2" s="1"/>
  <c r="G110" i="2" s="1"/>
  <c r="H110" i="2" s="1"/>
  <c r="D111" i="2"/>
  <c r="E111" i="2" s="1"/>
  <c r="F111" i="2" s="1"/>
  <c r="G111" i="2" s="1"/>
  <c r="H111" i="2" s="1"/>
  <c r="D112" i="2"/>
  <c r="E112" i="2" s="1"/>
  <c r="F112" i="2" s="1"/>
  <c r="G112" i="2" s="1"/>
  <c r="H112" i="2" s="1"/>
  <c r="D113" i="2"/>
  <c r="E113" i="2" s="1"/>
  <c r="F113" i="2" s="1"/>
  <c r="G113" i="2" s="1"/>
  <c r="H113" i="2" s="1"/>
  <c r="D114" i="2"/>
  <c r="E114" i="2" s="1"/>
  <c r="F114" i="2" s="1"/>
  <c r="G114" i="2" s="1"/>
  <c r="H114" i="2" s="1"/>
  <c r="D115" i="2"/>
  <c r="E115" i="2" s="1"/>
  <c r="F115" i="2" s="1"/>
  <c r="G115" i="2" s="1"/>
  <c r="H115" i="2" s="1"/>
  <c r="D116" i="2"/>
  <c r="E116" i="2" s="1"/>
  <c r="F116" i="2" s="1"/>
  <c r="G116" i="2" s="1"/>
  <c r="H116" i="2" s="1"/>
  <c r="D117" i="2"/>
  <c r="E117" i="2" s="1"/>
  <c r="F117" i="2" s="1"/>
  <c r="G117" i="2" s="1"/>
  <c r="H117" i="2" s="1"/>
  <c r="D118" i="2"/>
  <c r="E118" i="2" s="1"/>
  <c r="F118" i="2" s="1"/>
  <c r="G118" i="2" s="1"/>
  <c r="H118" i="2" s="1"/>
  <c r="D119" i="2"/>
  <c r="E119" i="2" s="1"/>
  <c r="F119" i="2" s="1"/>
  <c r="G119" i="2" s="1"/>
  <c r="H119" i="2" s="1"/>
  <c r="D120" i="2"/>
  <c r="E120" i="2" s="1"/>
  <c r="F120" i="2" s="1"/>
  <c r="G120" i="2" s="1"/>
  <c r="H120" i="2" s="1"/>
  <c r="D121" i="2"/>
  <c r="E121" i="2" s="1"/>
  <c r="F121" i="2" s="1"/>
  <c r="G121" i="2" s="1"/>
  <c r="H121" i="2" s="1"/>
  <c r="D122" i="2"/>
  <c r="E122" i="2" s="1"/>
  <c r="F122" i="2" s="1"/>
  <c r="G122" i="2" s="1"/>
  <c r="H122" i="2" s="1"/>
  <c r="D123" i="2"/>
  <c r="E123" i="2" s="1"/>
  <c r="F123" i="2" s="1"/>
  <c r="G123" i="2" s="1"/>
  <c r="H123" i="2" s="1"/>
  <c r="D124" i="2"/>
  <c r="E124" i="2" s="1"/>
  <c r="F124" i="2" s="1"/>
  <c r="G124" i="2" s="1"/>
  <c r="H124" i="2" s="1"/>
  <c r="D125" i="2"/>
  <c r="E125" i="2" s="1"/>
  <c r="F125" i="2" s="1"/>
  <c r="G125" i="2" s="1"/>
  <c r="H125" i="2" s="1"/>
  <c r="D126" i="2"/>
  <c r="E126" i="2" s="1"/>
  <c r="F126" i="2" s="1"/>
  <c r="G126" i="2" s="1"/>
  <c r="H126" i="2" s="1"/>
  <c r="D127" i="2"/>
  <c r="E127" i="2" s="1"/>
  <c r="F127" i="2" s="1"/>
  <c r="G127" i="2" s="1"/>
  <c r="H127" i="2" s="1"/>
  <c r="D128" i="2"/>
  <c r="E128" i="2" s="1"/>
  <c r="F128" i="2" s="1"/>
  <c r="G128" i="2" s="1"/>
  <c r="H128" i="2" s="1"/>
  <c r="D129" i="2"/>
  <c r="E129" i="2" s="1"/>
  <c r="F129" i="2" s="1"/>
  <c r="G129" i="2" s="1"/>
  <c r="H129" i="2" s="1"/>
  <c r="D130" i="2"/>
  <c r="E130" i="2" s="1"/>
  <c r="F130" i="2" s="1"/>
  <c r="G130" i="2" s="1"/>
  <c r="H130" i="2" s="1"/>
  <c r="D131" i="2"/>
  <c r="E131" i="2" s="1"/>
  <c r="F131" i="2" s="1"/>
  <c r="G131" i="2" s="1"/>
  <c r="H131" i="2" s="1"/>
  <c r="D132" i="2"/>
  <c r="E132" i="2" s="1"/>
  <c r="F132" i="2" s="1"/>
  <c r="G132" i="2" s="1"/>
  <c r="H132" i="2" s="1"/>
  <c r="D133" i="2"/>
  <c r="E133" i="2" s="1"/>
  <c r="F133" i="2" s="1"/>
  <c r="G133" i="2" s="1"/>
  <c r="H133" i="2" s="1"/>
  <c r="D134" i="2"/>
  <c r="E134" i="2" s="1"/>
  <c r="F134" i="2" s="1"/>
  <c r="G134" i="2" s="1"/>
  <c r="H134" i="2" s="1"/>
  <c r="D135" i="2"/>
  <c r="E135" i="2" s="1"/>
  <c r="F135" i="2" s="1"/>
  <c r="G135" i="2" s="1"/>
  <c r="H135" i="2" s="1"/>
  <c r="D136" i="2"/>
  <c r="E136" i="2" s="1"/>
  <c r="F136" i="2" s="1"/>
  <c r="G136" i="2" s="1"/>
  <c r="H136" i="2" s="1"/>
  <c r="D137" i="2"/>
  <c r="E137" i="2" s="1"/>
  <c r="F137" i="2" s="1"/>
  <c r="G137" i="2" s="1"/>
  <c r="H137" i="2" s="1"/>
  <c r="D138" i="2"/>
  <c r="E138" i="2" s="1"/>
  <c r="F138" i="2" s="1"/>
  <c r="G138" i="2" s="1"/>
  <c r="H138" i="2" s="1"/>
  <c r="D139" i="2"/>
  <c r="E139" i="2" s="1"/>
  <c r="F139" i="2" s="1"/>
  <c r="G139" i="2" s="1"/>
  <c r="H139" i="2" s="1"/>
  <c r="D140" i="2"/>
  <c r="E140" i="2" s="1"/>
  <c r="F140" i="2" s="1"/>
  <c r="G140" i="2" s="1"/>
  <c r="H140" i="2" s="1"/>
  <c r="D141" i="2"/>
  <c r="E141" i="2" s="1"/>
  <c r="F141" i="2" s="1"/>
  <c r="G141" i="2" s="1"/>
  <c r="H141" i="2" s="1"/>
  <c r="D2" i="2"/>
  <c r="E2" i="2" s="1"/>
  <c r="F2" i="2" s="1"/>
  <c r="G2" i="2" s="1"/>
  <c r="H2" i="2" l="1"/>
</calcChain>
</file>

<file path=xl/sharedStrings.xml><?xml version="1.0" encoding="utf-8"?>
<sst xmlns="http://schemas.openxmlformats.org/spreadsheetml/2006/main" count="1215" uniqueCount="119">
  <si>
    <t>Lab No</t>
  </si>
  <si>
    <t>Crop 2023</t>
  </si>
  <si>
    <t>Planting Method</t>
  </si>
  <si>
    <t>Tillage</t>
  </si>
  <si>
    <t>Soil Type</t>
  </si>
  <si>
    <t>Cover Crop</t>
  </si>
  <si>
    <t>Crop_Diversity</t>
  </si>
  <si>
    <t>Grazing</t>
  </si>
  <si>
    <t>Fertilization</t>
  </si>
  <si>
    <t>Lime</t>
  </si>
  <si>
    <t>Longtitude</t>
  </si>
  <si>
    <t>Latitude</t>
  </si>
  <si>
    <t>Field</t>
  </si>
  <si>
    <t>Sample_ID</t>
  </si>
  <si>
    <t>Season</t>
  </si>
  <si>
    <t>Date_Rept</t>
  </si>
  <si>
    <t>B_Depth</t>
  </si>
  <si>
    <t>E_Depth</t>
  </si>
  <si>
    <t>pH</t>
  </si>
  <si>
    <t>OM%</t>
  </si>
  <si>
    <t>Ca_ppm</t>
  </si>
  <si>
    <t>OC_H2O_ppm</t>
  </si>
  <si>
    <t>CO2</t>
  </si>
  <si>
    <t>Corn</t>
  </si>
  <si>
    <t>No-Till</t>
  </si>
  <si>
    <t>High Crop Diversity</t>
  </si>
  <si>
    <t>S3</t>
  </si>
  <si>
    <t xml:space="preserve">S3_B </t>
  </si>
  <si>
    <t>Spring</t>
  </si>
  <si>
    <t xml:space="preserve">S3_C </t>
  </si>
  <si>
    <t xml:space="preserve">S3_D </t>
  </si>
  <si>
    <t>S3_E</t>
  </si>
  <si>
    <t>Warm season: Millet Pearl, Buckwheat sunflower, Egyptian wheat, Sorghum Sudan (3 varieties); Cold Season: Season Cereal Rye, Hairy Vetch, Winter Peas, Wheat and Barley</t>
  </si>
  <si>
    <t>Drilled</t>
  </si>
  <si>
    <t>Pawnee Clay Loam (7501)</t>
  </si>
  <si>
    <t>No Fertilization</t>
  </si>
  <si>
    <t>W1</t>
  </si>
  <si>
    <t xml:space="preserve">W1_C </t>
  </si>
  <si>
    <t xml:space="preserve">W1_E </t>
  </si>
  <si>
    <t xml:space="preserve">W1_G </t>
  </si>
  <si>
    <t xml:space="preserve">W1_F </t>
  </si>
  <si>
    <t>S3_F</t>
  </si>
  <si>
    <t>Fall</t>
  </si>
  <si>
    <t xml:space="preserve">W1_H </t>
  </si>
  <si>
    <t xml:space="preserve">W1_D </t>
  </si>
  <si>
    <t>S4</t>
  </si>
  <si>
    <t xml:space="preserve">S4_C </t>
  </si>
  <si>
    <t>Conventional Till</t>
  </si>
  <si>
    <t>No Cover Crop</t>
  </si>
  <si>
    <t>Low Crop Diversity</t>
  </si>
  <si>
    <t>SS1</t>
  </si>
  <si>
    <t>SS1_K</t>
  </si>
  <si>
    <t xml:space="preserve">S3_A </t>
  </si>
  <si>
    <t>E3</t>
  </si>
  <si>
    <t xml:space="preserve">E3_G </t>
  </si>
  <si>
    <t xml:space="preserve">W1_B </t>
  </si>
  <si>
    <t xml:space="preserve">SS1_C </t>
  </si>
  <si>
    <t xml:space="preserve">W1_A </t>
  </si>
  <si>
    <t xml:space="preserve">SS1_I </t>
  </si>
  <si>
    <t>Soybeans</t>
  </si>
  <si>
    <t>S2</t>
  </si>
  <si>
    <t xml:space="preserve">S2_J </t>
  </si>
  <si>
    <t xml:space="preserve">E3_A </t>
  </si>
  <si>
    <t xml:space="preserve">S4_B </t>
  </si>
  <si>
    <t xml:space="preserve">S4_F </t>
  </si>
  <si>
    <t xml:space="preserve">S2_B </t>
  </si>
  <si>
    <t xml:space="preserve">S2_F </t>
  </si>
  <si>
    <t xml:space="preserve">S2_I </t>
  </si>
  <si>
    <t xml:space="preserve">SS1_F </t>
  </si>
  <si>
    <t xml:space="preserve">E3_B </t>
  </si>
  <si>
    <t xml:space="preserve">S2_C </t>
  </si>
  <si>
    <t xml:space="preserve">SS1_J </t>
  </si>
  <si>
    <t>S2_H</t>
  </si>
  <si>
    <t xml:space="preserve">SS1_E </t>
  </si>
  <si>
    <t xml:space="preserve">E3_H </t>
  </si>
  <si>
    <t xml:space="preserve">S4_E </t>
  </si>
  <si>
    <t xml:space="preserve">S2_G </t>
  </si>
  <si>
    <t xml:space="preserve">E3_D </t>
  </si>
  <si>
    <t xml:space="preserve">SS1_B </t>
  </si>
  <si>
    <t>E2</t>
  </si>
  <si>
    <t xml:space="preserve">E2_F </t>
  </si>
  <si>
    <t xml:space="preserve">E3_E </t>
  </si>
  <si>
    <t>S4_I</t>
  </si>
  <si>
    <t xml:space="preserve">S2_E </t>
  </si>
  <si>
    <t xml:space="preserve">S4_D </t>
  </si>
  <si>
    <t xml:space="preserve">SS1_D </t>
  </si>
  <si>
    <t>E1</t>
  </si>
  <si>
    <t xml:space="preserve">E1_G </t>
  </si>
  <si>
    <t xml:space="preserve">E3_F </t>
  </si>
  <si>
    <t xml:space="preserve">E1_H </t>
  </si>
  <si>
    <t>S4_J</t>
  </si>
  <si>
    <t xml:space="preserve">E2_D </t>
  </si>
  <si>
    <t xml:space="preserve">S4_A </t>
  </si>
  <si>
    <t xml:space="preserve">S4_G </t>
  </si>
  <si>
    <t xml:space="preserve">S2_A </t>
  </si>
  <si>
    <t xml:space="preserve">E3_I </t>
  </si>
  <si>
    <t xml:space="preserve">S4_H </t>
  </si>
  <si>
    <t xml:space="preserve">S2_D </t>
  </si>
  <si>
    <t xml:space="preserve">E2_G </t>
  </si>
  <si>
    <t xml:space="preserve">E1_D </t>
  </si>
  <si>
    <t xml:space="preserve">E3_C </t>
  </si>
  <si>
    <t xml:space="preserve">E1_I </t>
  </si>
  <si>
    <t xml:space="preserve">E1_F </t>
  </si>
  <si>
    <t xml:space="preserve">E1_E </t>
  </si>
  <si>
    <t xml:space="preserve">E2_E </t>
  </si>
  <si>
    <t xml:space="preserve">E2_C </t>
  </si>
  <si>
    <t>E2_A</t>
  </si>
  <si>
    <t xml:space="preserve">SS1_H </t>
  </si>
  <si>
    <t xml:space="preserve">E1_C </t>
  </si>
  <si>
    <t xml:space="preserve">SS1_A </t>
  </si>
  <si>
    <t xml:space="preserve">E2_B </t>
  </si>
  <si>
    <t xml:space="preserve">E1_B </t>
  </si>
  <si>
    <t xml:space="preserve">SS1_G </t>
  </si>
  <si>
    <t xml:space="preserve">E1_A </t>
  </si>
  <si>
    <t>grams of CaCO3 per 2.5 grams of sample</t>
  </si>
  <si>
    <t>moles CaCO3</t>
  </si>
  <si>
    <t>moles HCl needed</t>
  </si>
  <si>
    <t>mL of 1M HCl needed</t>
  </si>
  <si>
    <t>uL of 1M HCl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</si>
</sst>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0" xfId="0" applyFont="1"/>
    <xf numFmtId="164" fontId="0" fillId="0" borderId="0" xfId="0" applyNumberFormat="1"/>
    <xf numFmtId="2" fontId="0" fillId="0" borderId="0" xfId="0" applyNumberFormat="1"/>
    <xf numFmtId="0" fontId="16" fillId="33" borderId="0" xfId="0" applyFont="1" applyFill="1"/>
    <xf numFmtId="0" fontId="16" fillId="34" borderId="0" xfId="0" applyFont="1" applyFill="1"/>
    <xf numFmtId="2" fontId="0" fillId="34" borderId="0" xfId="0" applyNumberFormat="1" applyFill="1"/>
    <xf numFmtId="0" fontId="0" fillId="34" borderId="0" xfId="0" applyFill="1"/>
    <xf numFmtId="1" fontId="0" fillId="0" borderId="0" xfId="0" applyNumberFormat="1"/>
    <xf numFmtId="1" fontId="0" fillId="34" borderId="0" xfId="0" applyNumberFormat="1" applyFill="1"/>
    <xf numFmtId="0" fontId="16" fillId="0" borderId="0" xfId="0" applyFont="1" applyFill="1"/>
    <xf numFmtId="0" fontId="0" fillId="0" borderId="0" xfId="0" applyFill="1"/>
    <xf numFmtId="0" fontId="16" fillId="35" borderId="0" xfId="0" applyFont="1" applyFill="1"/>
    <xf numFmtId="14" fontId="0" fillId="35" borderId="0" xfId="0" applyNumberFormat="1" applyFill="1"/>
    <xf numFmtId="0" fontId="0" fillId="35" borderId="0" xfId="0" applyFill="1"/>
    <xf numFmtId="164" fontId="0" fillId="35" borderId="0" xfId="0" applyNumberFormat="1" applyFill="1"/>
    <xf numFmtId="2" fontId="0" fillId="35" borderId="0" xfId="0" applyNumberFormat="1" applyFill="1"/>
    <xf numFmtId="1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209550</xdr:colOff>
      <xdr:row>1</xdr:row>
      <xdr:rowOff>104774</xdr:rowOff>
    </xdr:from>
    <xdr:ext cx="6724649" cy="31606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FBF57-A089-DEE3-2A2B-8B52F5EB0B7C}"/>
            </a:ext>
          </a:extLst>
        </xdr:cNvPr>
        <xdr:cNvSpPr txBox="1"/>
      </xdr:nvSpPr>
      <xdr:spPr>
        <a:xfrm>
          <a:off x="8543925" y="295274"/>
          <a:ext cx="6724649" cy="3160609"/>
        </a:xfrm>
        <a:prstGeom prst="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C: Ca ppm to grams of CaCO3 - multiply Ca</a:t>
          </a:r>
          <a:r>
            <a:rPr lang="en-US" sz="1400" baseline="0"/>
            <a:t> ppm by 2.5 (ratio of Ca in CaCO3),  multiply by 2.5 (grams of soil to use), divide by 1000 to go into mg, divide by 1000 to go into grams.</a:t>
          </a:r>
        </a:p>
        <a:p>
          <a:endParaRPr lang="en-US" sz="1400" baseline="0"/>
        </a:p>
        <a:p>
          <a:r>
            <a:rPr lang="en-US" sz="1400" baseline="0"/>
            <a:t>D: calculate moles of CaCO3 - use grams of CaCO3 (column C) and multiply by 100.0869g/mol (CaCO3 molecular weight)</a:t>
          </a:r>
        </a:p>
        <a:p>
          <a:endParaRPr lang="en-US" sz="1400" baseline="0"/>
        </a:p>
        <a:p>
          <a:r>
            <a:rPr lang="en-US" sz="1400" baseline="0"/>
            <a:t>E: calculate moles of HCl needed - molar ratio of 2; multiply moles of CaCO3 by 2</a:t>
          </a:r>
        </a:p>
        <a:p>
          <a:r>
            <a:rPr lang="en-US" sz="1400" baseline="0"/>
            <a:t>     </a:t>
          </a:r>
          <a:r>
            <a:rPr lang="en-US" sz="1400" b="1" baseline="0"/>
            <a:t>CaCO3 + 2HCl</a:t>
          </a:r>
          <a:r>
            <a:rPr lang="en-US" sz="1400" baseline="0"/>
            <a:t> ---&gt; CaCl2 + CO2 + H2O</a:t>
          </a:r>
        </a:p>
        <a:p>
          <a:endParaRPr lang="en-US" sz="1400" baseline="0"/>
        </a:p>
        <a:p>
          <a:r>
            <a:rPr lang="en-US" sz="1400" baseline="0"/>
            <a:t>F: calculate mL of 1M HCl needed - multiply moles of HCl by HCl concentration (1 M HCl = 1 mol/L HCl), multiply by 1000 to convert to mL</a:t>
          </a:r>
        </a:p>
        <a:p>
          <a:endParaRPr lang="en-US" sz="1400" baseline="0"/>
        </a:p>
        <a:p>
          <a:r>
            <a:rPr lang="en-US" sz="1400" baseline="0"/>
            <a:t>Notes: We can change the total sample mass (2.5 grams of soil) as needed, and the same with HCl concentration.</a:t>
          </a:r>
          <a:endParaRPr lang="en-US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workbookViewId="0">
      <selection activeCell="P1" sqref="P1:P1048576"/>
    </sheetView>
  </sheetViews>
  <sheetFormatPr defaultRowHeight="14.5" x14ac:dyDescent="0.35"/>
  <cols>
    <col min="1" max="1" width="7" style="3" bestFit="1" customWidth="1"/>
    <col min="14" max="14" width="10.453125" style="3" bestFit="1" customWidth="1"/>
    <col min="16" max="16" width="16.81640625" customWidth="1"/>
    <col min="21" max="21" width="8.1796875" style="2" bestFit="1" customWidth="1"/>
    <col min="22" max="22" width="13.453125" bestFit="1" customWidth="1"/>
  </cols>
  <sheetData>
    <row r="1" spans="1:23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t="s">
        <v>22</v>
      </c>
    </row>
    <row r="2" spans="1:23" x14ac:dyDescent="0.35">
      <c r="A2" s="3">
        <v>54225</v>
      </c>
      <c r="B2" t="s">
        <v>23</v>
      </c>
      <c r="D2" t="s">
        <v>24</v>
      </c>
      <c r="F2" t="s">
        <v>5</v>
      </c>
      <c r="G2" t="s">
        <v>25</v>
      </c>
      <c r="K2">
        <v>-95.67</v>
      </c>
      <c r="L2">
        <v>39.3855</v>
      </c>
      <c r="M2" t="s">
        <v>26</v>
      </c>
      <c r="N2" s="3" t="s">
        <v>27</v>
      </c>
      <c r="O2" t="s">
        <v>28</v>
      </c>
      <c r="P2" s="1">
        <v>45394</v>
      </c>
      <c r="Q2">
        <v>0</v>
      </c>
      <c r="R2">
        <v>8</v>
      </c>
      <c r="S2">
        <v>7</v>
      </c>
      <c r="T2">
        <v>4.8</v>
      </c>
      <c r="U2" s="2">
        <v>4498</v>
      </c>
      <c r="V2">
        <v>272</v>
      </c>
      <c r="W2">
        <v>86.8</v>
      </c>
    </row>
    <row r="3" spans="1:23" x14ac:dyDescent="0.35">
      <c r="A3" s="3">
        <v>54226</v>
      </c>
      <c r="B3" t="s">
        <v>23</v>
      </c>
      <c r="D3" t="s">
        <v>24</v>
      </c>
      <c r="F3" t="s">
        <v>5</v>
      </c>
      <c r="G3" t="s">
        <v>25</v>
      </c>
      <c r="K3">
        <v>-95.671000000000006</v>
      </c>
      <c r="L3">
        <v>39.384500000000003</v>
      </c>
      <c r="M3" t="s">
        <v>26</v>
      </c>
      <c r="N3" s="3" t="s">
        <v>29</v>
      </c>
      <c r="O3" t="s">
        <v>28</v>
      </c>
      <c r="P3" s="1">
        <v>45394</v>
      </c>
      <c r="Q3">
        <v>0</v>
      </c>
      <c r="R3">
        <v>8</v>
      </c>
      <c r="S3">
        <v>7.1</v>
      </c>
      <c r="T3">
        <v>4.4000000000000004</v>
      </c>
      <c r="U3" s="2">
        <v>4353</v>
      </c>
      <c r="V3">
        <v>299</v>
      </c>
      <c r="W3">
        <v>101.8</v>
      </c>
    </row>
    <row r="4" spans="1:23" x14ac:dyDescent="0.35">
      <c r="A4" s="3">
        <v>54227</v>
      </c>
      <c r="B4" t="s">
        <v>23</v>
      </c>
      <c r="D4" t="s">
        <v>24</v>
      </c>
      <c r="F4" t="s">
        <v>5</v>
      </c>
      <c r="G4" t="s">
        <v>25</v>
      </c>
      <c r="K4">
        <v>-95.67</v>
      </c>
      <c r="L4">
        <v>39.384500000000003</v>
      </c>
      <c r="M4" t="s">
        <v>26</v>
      </c>
      <c r="N4" s="3" t="s">
        <v>30</v>
      </c>
      <c r="O4" t="s">
        <v>28</v>
      </c>
      <c r="P4" s="1">
        <v>45394</v>
      </c>
      <c r="Q4">
        <v>0</v>
      </c>
      <c r="R4">
        <v>8</v>
      </c>
      <c r="S4">
        <v>7</v>
      </c>
      <c r="T4">
        <v>5.2</v>
      </c>
      <c r="U4" s="2">
        <v>4329</v>
      </c>
      <c r="V4">
        <v>307</v>
      </c>
      <c r="W4">
        <v>125.5</v>
      </c>
    </row>
    <row r="5" spans="1:23" x14ac:dyDescent="0.35">
      <c r="A5" s="3">
        <v>54228</v>
      </c>
      <c r="B5" t="s">
        <v>23</v>
      </c>
      <c r="D5" t="s">
        <v>24</v>
      </c>
      <c r="F5" t="s">
        <v>5</v>
      </c>
      <c r="G5" t="s">
        <v>25</v>
      </c>
      <c r="K5">
        <v>-95.670299999999997</v>
      </c>
      <c r="L5">
        <v>39.383800000000001</v>
      </c>
      <c r="M5" t="s">
        <v>26</v>
      </c>
      <c r="N5" s="3" t="s">
        <v>31</v>
      </c>
      <c r="O5" t="s">
        <v>28</v>
      </c>
      <c r="P5" s="1">
        <v>45394</v>
      </c>
      <c r="Q5">
        <v>0</v>
      </c>
      <c r="R5">
        <v>8</v>
      </c>
      <c r="S5">
        <v>6.7</v>
      </c>
      <c r="T5">
        <v>4.8</v>
      </c>
      <c r="U5" s="2">
        <v>4235</v>
      </c>
      <c r="V5">
        <v>290</v>
      </c>
      <c r="W5">
        <v>108.1</v>
      </c>
    </row>
    <row r="6" spans="1:23" x14ac:dyDescent="0.35">
      <c r="A6" s="3">
        <v>54243</v>
      </c>
      <c r="B6" t="s">
        <v>32</v>
      </c>
      <c r="C6" t="s">
        <v>33</v>
      </c>
      <c r="D6" t="s">
        <v>24</v>
      </c>
      <c r="E6" t="s">
        <v>34</v>
      </c>
      <c r="F6" t="s">
        <v>5</v>
      </c>
      <c r="G6" t="s">
        <v>25</v>
      </c>
      <c r="H6" t="s">
        <v>7</v>
      </c>
      <c r="I6" t="s">
        <v>35</v>
      </c>
      <c r="K6">
        <v>-95.757800000000003</v>
      </c>
      <c r="L6">
        <v>39.509900000000002</v>
      </c>
      <c r="M6" t="s">
        <v>36</v>
      </c>
      <c r="N6" s="3" t="s">
        <v>37</v>
      </c>
      <c r="O6" t="s">
        <v>28</v>
      </c>
      <c r="P6" s="1">
        <v>45394</v>
      </c>
      <c r="Q6">
        <v>0</v>
      </c>
      <c r="R6">
        <v>8</v>
      </c>
      <c r="S6">
        <v>7.1</v>
      </c>
      <c r="T6">
        <v>4.4000000000000004</v>
      </c>
      <c r="U6" s="2">
        <v>4198</v>
      </c>
      <c r="V6">
        <v>292</v>
      </c>
      <c r="W6">
        <v>103.9</v>
      </c>
    </row>
    <row r="7" spans="1:23" x14ac:dyDescent="0.35">
      <c r="A7" s="3">
        <v>54245</v>
      </c>
      <c r="B7" t="s">
        <v>32</v>
      </c>
      <c r="C7" t="s">
        <v>33</v>
      </c>
      <c r="D7" t="s">
        <v>24</v>
      </c>
      <c r="E7" t="s">
        <v>34</v>
      </c>
      <c r="F7" t="s">
        <v>5</v>
      </c>
      <c r="G7" t="s">
        <v>25</v>
      </c>
      <c r="H7" t="s">
        <v>7</v>
      </c>
      <c r="I7" t="s">
        <v>35</v>
      </c>
      <c r="K7">
        <v>-95.758099999999999</v>
      </c>
      <c r="L7">
        <v>39.508899999999997</v>
      </c>
      <c r="M7" t="s">
        <v>36</v>
      </c>
      <c r="N7" s="3" t="s">
        <v>38</v>
      </c>
      <c r="O7" t="s">
        <v>28</v>
      </c>
      <c r="P7" s="1">
        <v>45394</v>
      </c>
      <c r="Q7">
        <v>0</v>
      </c>
      <c r="R7">
        <v>8</v>
      </c>
      <c r="S7">
        <v>7.1</v>
      </c>
      <c r="T7">
        <v>4.5</v>
      </c>
      <c r="U7" s="2">
        <v>3930</v>
      </c>
      <c r="V7">
        <v>291</v>
      </c>
      <c r="W7">
        <v>101.2</v>
      </c>
    </row>
    <row r="8" spans="1:23" x14ac:dyDescent="0.35">
      <c r="A8" s="3">
        <v>54248</v>
      </c>
      <c r="B8" t="s">
        <v>32</v>
      </c>
      <c r="C8" t="s">
        <v>33</v>
      </c>
      <c r="D8" t="s">
        <v>24</v>
      </c>
      <c r="E8" t="s">
        <v>34</v>
      </c>
      <c r="F8" t="s">
        <v>5</v>
      </c>
      <c r="G8" t="s">
        <v>25</v>
      </c>
      <c r="H8" t="s">
        <v>7</v>
      </c>
      <c r="I8" t="s">
        <v>35</v>
      </c>
      <c r="K8">
        <v>-95.759100000000004</v>
      </c>
      <c r="L8">
        <v>39.507199999999997</v>
      </c>
      <c r="M8" t="s">
        <v>36</v>
      </c>
      <c r="N8" s="3" t="s">
        <v>39</v>
      </c>
      <c r="O8" t="s">
        <v>28</v>
      </c>
      <c r="P8" s="1">
        <v>45394</v>
      </c>
      <c r="Q8">
        <v>0</v>
      </c>
      <c r="R8">
        <v>8</v>
      </c>
      <c r="S8">
        <v>7</v>
      </c>
      <c r="T8">
        <v>4.3</v>
      </c>
      <c r="U8" s="2">
        <v>3783</v>
      </c>
      <c r="V8">
        <v>302</v>
      </c>
      <c r="W8">
        <v>151.9</v>
      </c>
    </row>
    <row r="9" spans="1:23" x14ac:dyDescent="0.35">
      <c r="A9" s="3">
        <v>54246</v>
      </c>
      <c r="B9" t="s">
        <v>32</v>
      </c>
      <c r="C9" t="s">
        <v>33</v>
      </c>
      <c r="D9" t="s">
        <v>24</v>
      </c>
      <c r="E9" t="s">
        <v>34</v>
      </c>
      <c r="F9" t="s">
        <v>5</v>
      </c>
      <c r="G9" t="s">
        <v>25</v>
      </c>
      <c r="H9" t="s">
        <v>7</v>
      </c>
      <c r="I9" t="s">
        <v>35</v>
      </c>
      <c r="K9">
        <v>-95.759100000000004</v>
      </c>
      <c r="L9">
        <v>39.507899999999999</v>
      </c>
      <c r="M9" t="s">
        <v>36</v>
      </c>
      <c r="N9" s="3" t="s">
        <v>40</v>
      </c>
      <c r="O9" t="s">
        <v>28</v>
      </c>
      <c r="P9" s="1">
        <v>45394</v>
      </c>
      <c r="Q9">
        <v>0</v>
      </c>
      <c r="R9">
        <v>8</v>
      </c>
      <c r="S9">
        <v>6.7</v>
      </c>
      <c r="T9">
        <v>4</v>
      </c>
      <c r="U9" s="2">
        <v>3735</v>
      </c>
      <c r="V9">
        <v>267</v>
      </c>
      <c r="W9">
        <v>117.5</v>
      </c>
    </row>
    <row r="10" spans="1:23" x14ac:dyDescent="0.35">
      <c r="A10" s="3">
        <v>54229</v>
      </c>
      <c r="B10" t="s">
        <v>23</v>
      </c>
      <c r="D10" t="s">
        <v>24</v>
      </c>
      <c r="F10" t="s">
        <v>5</v>
      </c>
      <c r="G10" t="s">
        <v>25</v>
      </c>
      <c r="K10">
        <v>-95.670299999999997</v>
      </c>
      <c r="L10">
        <v>39.383499999999998</v>
      </c>
      <c r="M10" t="s">
        <v>26</v>
      </c>
      <c r="N10" s="3" t="s">
        <v>41</v>
      </c>
      <c r="O10" t="s">
        <v>28</v>
      </c>
      <c r="P10" s="1">
        <v>45394</v>
      </c>
      <c r="Q10">
        <v>0</v>
      </c>
      <c r="R10">
        <v>8</v>
      </c>
      <c r="S10">
        <v>7</v>
      </c>
      <c r="T10">
        <v>3.9</v>
      </c>
      <c r="U10" s="2">
        <v>3731</v>
      </c>
      <c r="V10">
        <v>297</v>
      </c>
      <c r="W10">
        <v>100.8</v>
      </c>
    </row>
    <row r="11" spans="1:23" x14ac:dyDescent="0.35">
      <c r="A11" s="3">
        <v>247984</v>
      </c>
      <c r="B11" t="s">
        <v>23</v>
      </c>
      <c r="D11" t="s">
        <v>24</v>
      </c>
      <c r="F11" t="s">
        <v>5</v>
      </c>
      <c r="G11" t="s">
        <v>25</v>
      </c>
      <c r="K11">
        <v>-95.67</v>
      </c>
      <c r="L11">
        <v>39.384500000000003</v>
      </c>
      <c r="M11" t="s">
        <v>26</v>
      </c>
      <c r="N11" s="3" t="s">
        <v>30</v>
      </c>
      <c r="O11" t="s">
        <v>42</v>
      </c>
      <c r="P11" s="1">
        <v>45257</v>
      </c>
      <c r="Q11">
        <v>0</v>
      </c>
      <c r="R11">
        <v>8</v>
      </c>
      <c r="S11">
        <v>7.1</v>
      </c>
      <c r="T11">
        <v>6</v>
      </c>
      <c r="U11" s="2">
        <v>3658</v>
      </c>
      <c r="V11">
        <v>202</v>
      </c>
      <c r="W11">
        <v>104.4</v>
      </c>
    </row>
    <row r="12" spans="1:23" x14ac:dyDescent="0.35">
      <c r="A12" s="3">
        <v>54249</v>
      </c>
      <c r="B12" t="s">
        <v>32</v>
      </c>
      <c r="C12" t="s">
        <v>33</v>
      </c>
      <c r="D12" t="s">
        <v>24</v>
      </c>
      <c r="E12" t="s">
        <v>34</v>
      </c>
      <c r="F12" t="s">
        <v>5</v>
      </c>
      <c r="G12" t="s">
        <v>25</v>
      </c>
      <c r="H12" t="s">
        <v>7</v>
      </c>
      <c r="I12" t="s">
        <v>35</v>
      </c>
      <c r="K12">
        <v>-95.758099999999999</v>
      </c>
      <c r="L12">
        <v>39.507899999999999</v>
      </c>
      <c r="M12" t="s">
        <v>36</v>
      </c>
      <c r="N12" s="3" t="s">
        <v>43</v>
      </c>
      <c r="O12" t="s">
        <v>28</v>
      </c>
      <c r="P12" s="1">
        <v>45394</v>
      </c>
      <c r="Q12">
        <v>0</v>
      </c>
      <c r="R12">
        <v>8</v>
      </c>
      <c r="S12">
        <v>7</v>
      </c>
      <c r="T12">
        <v>4.2</v>
      </c>
      <c r="U12" s="2">
        <v>3534</v>
      </c>
      <c r="V12">
        <v>269</v>
      </c>
      <c r="W12">
        <v>103.8</v>
      </c>
    </row>
    <row r="13" spans="1:23" x14ac:dyDescent="0.35">
      <c r="A13" s="3">
        <v>54244</v>
      </c>
      <c r="B13" t="s">
        <v>32</v>
      </c>
      <c r="C13" t="s">
        <v>33</v>
      </c>
      <c r="D13" t="s">
        <v>24</v>
      </c>
      <c r="E13" t="s">
        <v>34</v>
      </c>
      <c r="F13" t="s">
        <v>5</v>
      </c>
      <c r="G13" t="s">
        <v>25</v>
      </c>
      <c r="H13" t="s">
        <v>7</v>
      </c>
      <c r="I13" t="s">
        <v>35</v>
      </c>
      <c r="K13">
        <v>-95.759100000000004</v>
      </c>
      <c r="L13">
        <v>39.508899999999997</v>
      </c>
      <c r="M13" t="s">
        <v>36</v>
      </c>
      <c r="N13" s="3" t="s">
        <v>44</v>
      </c>
      <c r="O13" t="s">
        <v>28</v>
      </c>
      <c r="P13" s="1">
        <v>45394</v>
      </c>
      <c r="Q13">
        <v>0</v>
      </c>
      <c r="R13">
        <v>8</v>
      </c>
      <c r="S13">
        <v>6.8</v>
      </c>
      <c r="T13">
        <v>4</v>
      </c>
      <c r="U13" s="2">
        <v>3527</v>
      </c>
      <c r="V13">
        <v>304</v>
      </c>
      <c r="W13">
        <v>107.8</v>
      </c>
    </row>
    <row r="14" spans="1:23" x14ac:dyDescent="0.35">
      <c r="A14" s="3">
        <v>54233</v>
      </c>
      <c r="B14" t="s">
        <v>23</v>
      </c>
      <c r="D14" t="s">
        <v>24</v>
      </c>
      <c r="F14" t="s">
        <v>5</v>
      </c>
      <c r="G14" t="s">
        <v>25</v>
      </c>
      <c r="K14">
        <v>-95.666600000000003</v>
      </c>
      <c r="L14">
        <v>39.3855</v>
      </c>
      <c r="M14" t="s">
        <v>45</v>
      </c>
      <c r="N14" s="3" t="s">
        <v>46</v>
      </c>
      <c r="O14" t="s">
        <v>28</v>
      </c>
      <c r="P14" s="1">
        <v>45394</v>
      </c>
      <c r="Q14">
        <v>0</v>
      </c>
      <c r="R14">
        <v>8</v>
      </c>
      <c r="S14">
        <v>6.6</v>
      </c>
      <c r="T14">
        <v>4.5</v>
      </c>
      <c r="U14" s="2">
        <v>3364</v>
      </c>
      <c r="V14">
        <v>291</v>
      </c>
      <c r="W14">
        <v>140.6</v>
      </c>
    </row>
    <row r="15" spans="1:23" x14ac:dyDescent="0.35">
      <c r="A15" s="3">
        <v>248005</v>
      </c>
      <c r="B15" t="s">
        <v>32</v>
      </c>
      <c r="C15" t="s">
        <v>33</v>
      </c>
      <c r="D15" t="s">
        <v>24</v>
      </c>
      <c r="E15" t="s">
        <v>34</v>
      </c>
      <c r="F15" t="s">
        <v>5</v>
      </c>
      <c r="G15" t="s">
        <v>25</v>
      </c>
      <c r="H15" t="s">
        <v>7</v>
      </c>
      <c r="I15" t="s">
        <v>35</v>
      </c>
      <c r="K15">
        <v>-95.759100000000004</v>
      </c>
      <c r="L15">
        <v>39.507199999999997</v>
      </c>
      <c r="M15" t="s">
        <v>36</v>
      </c>
      <c r="N15" s="3" t="s">
        <v>39</v>
      </c>
      <c r="O15" t="s">
        <v>42</v>
      </c>
      <c r="P15" s="1">
        <v>45257</v>
      </c>
      <c r="Q15">
        <v>0</v>
      </c>
      <c r="R15">
        <v>8</v>
      </c>
      <c r="S15">
        <v>7.3</v>
      </c>
      <c r="T15">
        <v>6</v>
      </c>
      <c r="U15" s="2">
        <v>3351</v>
      </c>
      <c r="V15">
        <v>195</v>
      </c>
      <c r="W15">
        <v>107.8</v>
      </c>
    </row>
    <row r="16" spans="1:23" x14ac:dyDescent="0.35">
      <c r="A16" s="3">
        <v>54213</v>
      </c>
      <c r="B16" t="s">
        <v>23</v>
      </c>
      <c r="D16" t="s">
        <v>47</v>
      </c>
      <c r="F16" t="s">
        <v>48</v>
      </c>
      <c r="G16" t="s">
        <v>49</v>
      </c>
      <c r="K16">
        <v>-95.664199999999994</v>
      </c>
      <c r="L16">
        <v>39.379399999999997</v>
      </c>
      <c r="M16" t="s">
        <v>50</v>
      </c>
      <c r="N16" s="3" t="s">
        <v>51</v>
      </c>
      <c r="O16" t="s">
        <v>28</v>
      </c>
      <c r="P16" s="1">
        <v>45394</v>
      </c>
      <c r="Q16">
        <v>0</v>
      </c>
      <c r="R16">
        <v>8</v>
      </c>
      <c r="S16">
        <v>7</v>
      </c>
      <c r="T16">
        <v>3.2</v>
      </c>
      <c r="U16" s="2">
        <v>3318</v>
      </c>
      <c r="V16">
        <v>216</v>
      </c>
      <c r="W16">
        <v>116.1</v>
      </c>
    </row>
    <row r="17" spans="1:23" x14ac:dyDescent="0.35">
      <c r="A17" s="3">
        <v>54224</v>
      </c>
      <c r="B17" t="s">
        <v>23</v>
      </c>
      <c r="D17" t="s">
        <v>24</v>
      </c>
      <c r="F17" t="s">
        <v>5</v>
      </c>
      <c r="G17" t="s">
        <v>25</v>
      </c>
      <c r="K17">
        <v>-95.67</v>
      </c>
      <c r="L17">
        <v>39.386499999999998</v>
      </c>
      <c r="M17" t="s">
        <v>26</v>
      </c>
      <c r="N17" s="3" t="s">
        <v>52</v>
      </c>
      <c r="O17" t="s">
        <v>28</v>
      </c>
      <c r="P17" s="1">
        <v>45394</v>
      </c>
      <c r="Q17">
        <v>0</v>
      </c>
      <c r="R17">
        <v>8</v>
      </c>
      <c r="S17">
        <v>6.2</v>
      </c>
      <c r="T17">
        <v>3.9</v>
      </c>
      <c r="U17" s="2">
        <v>3248</v>
      </c>
      <c r="V17">
        <v>244</v>
      </c>
      <c r="W17">
        <v>99</v>
      </c>
    </row>
    <row r="18" spans="1:23" x14ac:dyDescent="0.35">
      <c r="A18" s="3">
        <v>54200</v>
      </c>
      <c r="B18" t="s">
        <v>23</v>
      </c>
      <c r="D18" t="s">
        <v>24</v>
      </c>
      <c r="F18" t="s">
        <v>48</v>
      </c>
      <c r="G18" t="s">
        <v>49</v>
      </c>
      <c r="K18">
        <v>-95.756600000000006</v>
      </c>
      <c r="L18">
        <v>39.507599999999996</v>
      </c>
      <c r="M18" t="s">
        <v>53</v>
      </c>
      <c r="N18" s="3" t="s">
        <v>54</v>
      </c>
      <c r="O18" t="s">
        <v>28</v>
      </c>
      <c r="P18" s="1">
        <v>45394</v>
      </c>
      <c r="Q18">
        <v>0</v>
      </c>
      <c r="R18">
        <v>8</v>
      </c>
      <c r="S18">
        <v>6.3</v>
      </c>
      <c r="T18">
        <v>3.6</v>
      </c>
      <c r="U18" s="2">
        <v>3227</v>
      </c>
      <c r="V18">
        <v>248</v>
      </c>
      <c r="W18">
        <v>129.30000000000001</v>
      </c>
    </row>
    <row r="19" spans="1:23" x14ac:dyDescent="0.35">
      <c r="A19" s="3">
        <v>54242</v>
      </c>
      <c r="B19" t="s">
        <v>32</v>
      </c>
      <c r="C19" t="s">
        <v>33</v>
      </c>
      <c r="D19" t="s">
        <v>24</v>
      </c>
      <c r="E19" t="s">
        <v>34</v>
      </c>
      <c r="F19" t="s">
        <v>5</v>
      </c>
      <c r="G19" t="s">
        <v>25</v>
      </c>
      <c r="H19" t="s">
        <v>7</v>
      </c>
      <c r="I19" t="s">
        <v>35</v>
      </c>
      <c r="K19">
        <v>-95.758799999999994</v>
      </c>
      <c r="L19">
        <v>39.509900000000002</v>
      </c>
      <c r="M19" t="s">
        <v>36</v>
      </c>
      <c r="N19" s="3" t="s">
        <v>55</v>
      </c>
      <c r="O19" t="s">
        <v>28</v>
      </c>
      <c r="P19" s="1">
        <v>45394</v>
      </c>
      <c r="Q19">
        <v>0</v>
      </c>
      <c r="R19">
        <v>8</v>
      </c>
      <c r="S19">
        <v>6.9</v>
      </c>
      <c r="T19">
        <v>4.3</v>
      </c>
      <c r="U19" s="2">
        <v>3211</v>
      </c>
      <c r="V19">
        <v>305</v>
      </c>
      <c r="W19">
        <v>108.8</v>
      </c>
    </row>
    <row r="20" spans="1:23" x14ac:dyDescent="0.35">
      <c r="A20" s="3">
        <v>54205</v>
      </c>
      <c r="B20" t="s">
        <v>23</v>
      </c>
      <c r="D20" t="s">
        <v>47</v>
      </c>
      <c r="F20" t="s">
        <v>48</v>
      </c>
      <c r="G20" t="s">
        <v>49</v>
      </c>
      <c r="K20">
        <v>-95.665599999999998</v>
      </c>
      <c r="L20">
        <v>39.382599999999996</v>
      </c>
      <c r="M20" t="s">
        <v>50</v>
      </c>
      <c r="N20" s="3" t="s">
        <v>56</v>
      </c>
      <c r="O20" t="s">
        <v>28</v>
      </c>
      <c r="P20" s="1">
        <v>45394</v>
      </c>
      <c r="Q20">
        <v>0</v>
      </c>
      <c r="R20">
        <v>8</v>
      </c>
      <c r="S20">
        <v>6.2</v>
      </c>
      <c r="T20">
        <v>3</v>
      </c>
      <c r="U20" s="2">
        <v>3198</v>
      </c>
      <c r="V20">
        <v>164</v>
      </c>
      <c r="W20">
        <v>111.4</v>
      </c>
    </row>
    <row r="21" spans="1:23" x14ac:dyDescent="0.35">
      <c r="A21" s="3">
        <v>248006</v>
      </c>
      <c r="B21" t="s">
        <v>32</v>
      </c>
      <c r="C21" t="s">
        <v>33</v>
      </c>
      <c r="D21" t="s">
        <v>24</v>
      </c>
      <c r="E21" t="s">
        <v>34</v>
      </c>
      <c r="F21" t="s">
        <v>5</v>
      </c>
      <c r="G21" t="s">
        <v>25</v>
      </c>
      <c r="H21" t="s">
        <v>7</v>
      </c>
      <c r="I21" t="s">
        <v>35</v>
      </c>
      <c r="K21">
        <v>-95.758099999999999</v>
      </c>
      <c r="L21">
        <v>39.507899999999999</v>
      </c>
      <c r="M21" t="s">
        <v>36</v>
      </c>
      <c r="N21" s="3" t="s">
        <v>43</v>
      </c>
      <c r="O21" t="s">
        <v>42</v>
      </c>
      <c r="P21" s="1">
        <v>45257</v>
      </c>
      <c r="Q21">
        <v>0</v>
      </c>
      <c r="R21">
        <v>8</v>
      </c>
      <c r="S21">
        <v>7</v>
      </c>
      <c r="T21">
        <v>5.6</v>
      </c>
      <c r="U21" s="2">
        <v>3191</v>
      </c>
      <c r="V21">
        <v>182</v>
      </c>
      <c r="W21">
        <v>119.7</v>
      </c>
    </row>
    <row r="22" spans="1:23" x14ac:dyDescent="0.35">
      <c r="A22" s="3">
        <v>54241</v>
      </c>
      <c r="B22" t="s">
        <v>32</v>
      </c>
      <c r="C22" t="s">
        <v>33</v>
      </c>
      <c r="D22" t="s">
        <v>24</v>
      </c>
      <c r="E22" t="s">
        <v>34</v>
      </c>
      <c r="F22" t="s">
        <v>5</v>
      </c>
      <c r="G22" t="s">
        <v>25</v>
      </c>
      <c r="H22" t="s">
        <v>7</v>
      </c>
      <c r="I22" t="s">
        <v>35</v>
      </c>
      <c r="K22">
        <v>-95.758200000000002</v>
      </c>
      <c r="L22">
        <v>39.510899999999999</v>
      </c>
      <c r="M22" t="s">
        <v>36</v>
      </c>
      <c r="N22" s="3" t="s">
        <v>57</v>
      </c>
      <c r="O22" t="s">
        <v>28</v>
      </c>
      <c r="P22" s="1">
        <v>45394</v>
      </c>
      <c r="Q22">
        <v>0</v>
      </c>
      <c r="R22">
        <v>8</v>
      </c>
      <c r="S22">
        <v>7</v>
      </c>
      <c r="T22">
        <v>3.7</v>
      </c>
      <c r="U22" s="2">
        <v>3179</v>
      </c>
      <c r="V22">
        <v>258</v>
      </c>
      <c r="W22">
        <v>111.6</v>
      </c>
    </row>
    <row r="23" spans="1:23" x14ac:dyDescent="0.35">
      <c r="A23" s="3">
        <v>248002</v>
      </c>
      <c r="B23" t="s">
        <v>32</v>
      </c>
      <c r="C23" t="s">
        <v>33</v>
      </c>
      <c r="D23" t="s">
        <v>24</v>
      </c>
      <c r="E23" t="s">
        <v>34</v>
      </c>
      <c r="F23" t="s">
        <v>5</v>
      </c>
      <c r="G23" t="s">
        <v>25</v>
      </c>
      <c r="H23" t="s">
        <v>7</v>
      </c>
      <c r="I23" t="s">
        <v>35</v>
      </c>
      <c r="K23">
        <v>-95.759100000000004</v>
      </c>
      <c r="L23">
        <v>39.508899999999997</v>
      </c>
      <c r="M23" t="s">
        <v>36</v>
      </c>
      <c r="N23" s="3" t="s">
        <v>44</v>
      </c>
      <c r="O23" t="s">
        <v>42</v>
      </c>
      <c r="P23" s="1">
        <v>45257</v>
      </c>
      <c r="Q23">
        <v>0</v>
      </c>
      <c r="R23">
        <v>8</v>
      </c>
      <c r="S23">
        <v>7</v>
      </c>
      <c r="T23">
        <v>5.3</v>
      </c>
      <c r="U23" s="2">
        <v>3151</v>
      </c>
      <c r="V23">
        <v>185</v>
      </c>
      <c r="W23">
        <v>98.1</v>
      </c>
    </row>
    <row r="24" spans="1:23" x14ac:dyDescent="0.35">
      <c r="A24" s="3">
        <v>247999</v>
      </c>
      <c r="B24" t="s">
        <v>32</v>
      </c>
      <c r="C24" t="s">
        <v>33</v>
      </c>
      <c r="D24" t="s">
        <v>24</v>
      </c>
      <c r="E24" t="s">
        <v>34</v>
      </c>
      <c r="F24" t="s">
        <v>5</v>
      </c>
      <c r="G24" t="s">
        <v>25</v>
      </c>
      <c r="H24" t="s">
        <v>7</v>
      </c>
      <c r="I24" t="s">
        <v>35</v>
      </c>
      <c r="K24">
        <v>-95.758200000000002</v>
      </c>
      <c r="L24">
        <v>39.510899999999999</v>
      </c>
      <c r="M24" t="s">
        <v>36</v>
      </c>
      <c r="N24" s="3" t="s">
        <v>57</v>
      </c>
      <c r="O24" t="s">
        <v>42</v>
      </c>
      <c r="P24" s="1">
        <v>45257</v>
      </c>
      <c r="Q24">
        <v>0</v>
      </c>
      <c r="R24">
        <v>8</v>
      </c>
      <c r="S24">
        <v>6.8</v>
      </c>
      <c r="T24">
        <v>5.3</v>
      </c>
      <c r="U24" s="2">
        <v>3150</v>
      </c>
      <c r="V24">
        <v>139</v>
      </c>
      <c r="W24">
        <v>133.1</v>
      </c>
    </row>
    <row r="25" spans="1:23" x14ac:dyDescent="0.35">
      <c r="A25" s="3">
        <v>54211</v>
      </c>
      <c r="B25" t="s">
        <v>23</v>
      </c>
      <c r="D25" t="s">
        <v>47</v>
      </c>
      <c r="F25" t="s">
        <v>48</v>
      </c>
      <c r="G25" t="s">
        <v>49</v>
      </c>
      <c r="K25">
        <v>-95.664199999999994</v>
      </c>
      <c r="L25">
        <v>39.380499999999998</v>
      </c>
      <c r="M25" t="s">
        <v>50</v>
      </c>
      <c r="N25" s="3" t="s">
        <v>58</v>
      </c>
      <c r="O25" t="s">
        <v>28</v>
      </c>
      <c r="P25" s="1">
        <v>45394</v>
      </c>
      <c r="Q25">
        <v>0</v>
      </c>
      <c r="R25">
        <v>8</v>
      </c>
      <c r="S25">
        <v>7.1</v>
      </c>
      <c r="T25">
        <v>3.2</v>
      </c>
      <c r="U25" s="2">
        <v>3140</v>
      </c>
      <c r="V25">
        <v>197</v>
      </c>
      <c r="W25">
        <v>118.5</v>
      </c>
    </row>
    <row r="26" spans="1:23" x14ac:dyDescent="0.35">
      <c r="A26" s="3">
        <v>247969</v>
      </c>
      <c r="B26" t="s">
        <v>23</v>
      </c>
      <c r="D26" t="s">
        <v>47</v>
      </c>
      <c r="F26" t="s">
        <v>48</v>
      </c>
      <c r="G26" t="s">
        <v>49</v>
      </c>
      <c r="K26">
        <v>-95.664199999999994</v>
      </c>
      <c r="L26">
        <v>39.379399999999997</v>
      </c>
      <c r="M26" t="s">
        <v>50</v>
      </c>
      <c r="N26" s="3" t="s">
        <v>51</v>
      </c>
      <c r="O26" t="s">
        <v>42</v>
      </c>
      <c r="P26" s="1">
        <v>45257</v>
      </c>
      <c r="Q26">
        <v>0</v>
      </c>
      <c r="R26">
        <v>8</v>
      </c>
      <c r="S26">
        <v>7.1</v>
      </c>
      <c r="T26">
        <v>3.6</v>
      </c>
      <c r="U26" s="2">
        <v>3132</v>
      </c>
      <c r="V26">
        <v>151</v>
      </c>
      <c r="W26">
        <v>107</v>
      </c>
    </row>
    <row r="27" spans="1:23" x14ac:dyDescent="0.35">
      <c r="A27" s="3">
        <v>247985</v>
      </c>
      <c r="B27" t="s">
        <v>23</v>
      </c>
      <c r="D27" t="s">
        <v>24</v>
      </c>
      <c r="F27" t="s">
        <v>5</v>
      </c>
      <c r="G27" t="s">
        <v>25</v>
      </c>
      <c r="K27">
        <v>-95.670299999999997</v>
      </c>
      <c r="L27">
        <v>39.383800000000001</v>
      </c>
      <c r="M27" t="s">
        <v>26</v>
      </c>
      <c r="N27" s="3" t="s">
        <v>31</v>
      </c>
      <c r="O27" t="s">
        <v>42</v>
      </c>
      <c r="P27" s="1">
        <v>45257</v>
      </c>
      <c r="Q27">
        <v>0</v>
      </c>
      <c r="R27">
        <v>8</v>
      </c>
      <c r="S27">
        <v>6.7</v>
      </c>
      <c r="T27">
        <v>5.7</v>
      </c>
      <c r="U27" s="2">
        <v>3092</v>
      </c>
      <c r="V27">
        <v>201</v>
      </c>
      <c r="W27">
        <v>271.10000000000002</v>
      </c>
    </row>
    <row r="28" spans="1:23" x14ac:dyDescent="0.35">
      <c r="A28" s="3">
        <v>247967</v>
      </c>
      <c r="B28" t="s">
        <v>23</v>
      </c>
      <c r="D28" t="s">
        <v>47</v>
      </c>
      <c r="F28" t="s">
        <v>48</v>
      </c>
      <c r="G28" t="s">
        <v>49</v>
      </c>
      <c r="K28">
        <v>-95.664199999999994</v>
      </c>
      <c r="L28">
        <v>39.380499999999998</v>
      </c>
      <c r="M28" t="s">
        <v>50</v>
      </c>
      <c r="N28" s="3" t="s">
        <v>58</v>
      </c>
      <c r="O28" t="s">
        <v>42</v>
      </c>
      <c r="P28" s="1">
        <v>45257</v>
      </c>
      <c r="Q28">
        <v>0</v>
      </c>
      <c r="R28">
        <v>8</v>
      </c>
      <c r="S28">
        <v>7.1</v>
      </c>
      <c r="T28">
        <v>3.1</v>
      </c>
      <c r="U28" s="2">
        <v>3058</v>
      </c>
      <c r="V28">
        <v>130</v>
      </c>
      <c r="W28">
        <v>228.4</v>
      </c>
    </row>
    <row r="29" spans="1:23" x14ac:dyDescent="0.35">
      <c r="A29" s="3">
        <v>54223</v>
      </c>
      <c r="B29" t="s">
        <v>59</v>
      </c>
      <c r="D29" t="s">
        <v>24</v>
      </c>
      <c r="F29" t="s">
        <v>5</v>
      </c>
      <c r="G29" t="s">
        <v>49</v>
      </c>
      <c r="K29">
        <v>-95.668099999999995</v>
      </c>
      <c r="L29">
        <v>39.386499999999998</v>
      </c>
      <c r="M29" t="s">
        <v>60</v>
      </c>
      <c r="N29" s="3" t="s">
        <v>61</v>
      </c>
      <c r="O29" t="s">
        <v>28</v>
      </c>
      <c r="P29" s="1">
        <v>45394</v>
      </c>
      <c r="Q29">
        <v>0</v>
      </c>
      <c r="R29">
        <v>8</v>
      </c>
      <c r="S29">
        <v>5.9</v>
      </c>
      <c r="T29">
        <v>4.0999999999999996</v>
      </c>
      <c r="U29" s="2">
        <v>3022</v>
      </c>
      <c r="V29">
        <v>232</v>
      </c>
      <c r="W29">
        <v>144</v>
      </c>
    </row>
    <row r="30" spans="1:23" x14ac:dyDescent="0.35">
      <c r="A30" s="3">
        <v>54193</v>
      </c>
      <c r="B30" t="s">
        <v>23</v>
      </c>
      <c r="D30" t="s">
        <v>24</v>
      </c>
      <c r="F30" t="s">
        <v>48</v>
      </c>
      <c r="G30" t="s">
        <v>49</v>
      </c>
      <c r="K30">
        <v>-95.756600000000006</v>
      </c>
      <c r="L30">
        <v>39.509799999999998</v>
      </c>
      <c r="M30" t="s">
        <v>53</v>
      </c>
      <c r="N30" s="3" t="s">
        <v>62</v>
      </c>
      <c r="O30" t="s">
        <v>28</v>
      </c>
      <c r="P30" s="1">
        <v>45394</v>
      </c>
      <c r="Q30">
        <v>0</v>
      </c>
      <c r="R30">
        <v>8</v>
      </c>
      <c r="S30">
        <v>5.6</v>
      </c>
      <c r="T30">
        <v>3.6</v>
      </c>
      <c r="U30" s="2">
        <v>2972</v>
      </c>
      <c r="V30">
        <v>226</v>
      </c>
      <c r="W30">
        <v>216.5</v>
      </c>
    </row>
    <row r="31" spans="1:23" x14ac:dyDescent="0.35">
      <c r="A31" s="3">
        <v>54232</v>
      </c>
      <c r="B31" t="s">
        <v>23</v>
      </c>
      <c r="D31" t="s">
        <v>24</v>
      </c>
      <c r="F31" t="s">
        <v>5</v>
      </c>
      <c r="G31" t="s">
        <v>25</v>
      </c>
      <c r="K31">
        <v>-95.664299999999997</v>
      </c>
      <c r="L31">
        <v>39.386499999999998</v>
      </c>
      <c r="M31" t="s">
        <v>45</v>
      </c>
      <c r="N31" s="3" t="s">
        <v>63</v>
      </c>
      <c r="O31" t="s">
        <v>28</v>
      </c>
      <c r="P31" s="1">
        <v>45394</v>
      </c>
      <c r="Q31">
        <v>0</v>
      </c>
      <c r="R31">
        <v>8</v>
      </c>
      <c r="S31">
        <v>6.9</v>
      </c>
      <c r="T31">
        <v>4.2</v>
      </c>
      <c r="U31" s="2">
        <v>2972</v>
      </c>
      <c r="V31">
        <v>265</v>
      </c>
      <c r="W31">
        <v>155.1</v>
      </c>
    </row>
    <row r="32" spans="1:23" x14ac:dyDescent="0.35">
      <c r="A32" s="3">
        <v>54236</v>
      </c>
      <c r="B32" t="s">
        <v>23</v>
      </c>
      <c r="D32" t="s">
        <v>24</v>
      </c>
      <c r="F32" t="s">
        <v>5</v>
      </c>
      <c r="G32" t="s">
        <v>25</v>
      </c>
      <c r="K32">
        <v>-95.666600000000003</v>
      </c>
      <c r="L32">
        <v>39.384500000000003</v>
      </c>
      <c r="M32" t="s">
        <v>45</v>
      </c>
      <c r="N32" s="3" t="s">
        <v>64</v>
      </c>
      <c r="O32" t="s">
        <v>28</v>
      </c>
      <c r="P32" s="1">
        <v>45394</v>
      </c>
      <c r="Q32">
        <v>0</v>
      </c>
      <c r="R32">
        <v>8</v>
      </c>
      <c r="S32">
        <v>6.7</v>
      </c>
      <c r="T32">
        <v>5.7</v>
      </c>
      <c r="U32" s="2">
        <v>2946</v>
      </c>
      <c r="V32">
        <v>253</v>
      </c>
      <c r="W32">
        <v>210.8</v>
      </c>
    </row>
    <row r="33" spans="1:23" x14ac:dyDescent="0.35">
      <c r="A33" s="3">
        <v>248003</v>
      </c>
      <c r="B33" t="s">
        <v>32</v>
      </c>
      <c r="C33" t="s">
        <v>33</v>
      </c>
      <c r="D33" t="s">
        <v>24</v>
      </c>
      <c r="E33" t="s">
        <v>34</v>
      </c>
      <c r="F33" t="s">
        <v>5</v>
      </c>
      <c r="G33" t="s">
        <v>25</v>
      </c>
      <c r="H33" t="s">
        <v>7</v>
      </c>
      <c r="I33" t="s">
        <v>35</v>
      </c>
      <c r="K33">
        <v>-95.758099999999999</v>
      </c>
      <c r="L33">
        <v>39.508899999999997</v>
      </c>
      <c r="M33" t="s">
        <v>36</v>
      </c>
      <c r="N33" s="3" t="s">
        <v>38</v>
      </c>
      <c r="O33" t="s">
        <v>42</v>
      </c>
      <c r="P33" s="1">
        <v>45257</v>
      </c>
      <c r="Q33">
        <v>0</v>
      </c>
      <c r="R33">
        <v>8</v>
      </c>
      <c r="S33">
        <v>7.1</v>
      </c>
      <c r="T33">
        <v>4.8</v>
      </c>
      <c r="U33" s="2">
        <v>2925</v>
      </c>
      <c r="V33">
        <v>187</v>
      </c>
      <c r="W33">
        <v>195</v>
      </c>
    </row>
    <row r="34" spans="1:23" x14ac:dyDescent="0.35">
      <c r="A34" s="3">
        <v>54215</v>
      </c>
      <c r="B34" t="s">
        <v>59</v>
      </c>
      <c r="D34" t="s">
        <v>24</v>
      </c>
      <c r="F34" t="s">
        <v>5</v>
      </c>
      <c r="G34" t="s">
        <v>49</v>
      </c>
      <c r="K34">
        <v>-95.667699999999996</v>
      </c>
      <c r="L34">
        <v>39.389499999999998</v>
      </c>
      <c r="M34" t="s">
        <v>60</v>
      </c>
      <c r="N34" s="3" t="s">
        <v>65</v>
      </c>
      <c r="O34" t="s">
        <v>28</v>
      </c>
      <c r="P34" s="1">
        <v>45394</v>
      </c>
      <c r="Q34">
        <v>0</v>
      </c>
      <c r="R34">
        <v>8</v>
      </c>
      <c r="S34">
        <v>6.3</v>
      </c>
      <c r="T34">
        <v>3.4</v>
      </c>
      <c r="U34" s="2">
        <v>2917</v>
      </c>
      <c r="V34">
        <v>287</v>
      </c>
      <c r="W34">
        <v>136.69999999999999</v>
      </c>
    </row>
    <row r="35" spans="1:23" x14ac:dyDescent="0.35">
      <c r="A35" s="3">
        <v>248001</v>
      </c>
      <c r="B35" t="s">
        <v>32</v>
      </c>
      <c r="C35" t="s">
        <v>33</v>
      </c>
      <c r="D35" t="s">
        <v>24</v>
      </c>
      <c r="E35" t="s">
        <v>34</v>
      </c>
      <c r="F35" t="s">
        <v>5</v>
      </c>
      <c r="G35" t="s">
        <v>25</v>
      </c>
      <c r="H35" t="s">
        <v>7</v>
      </c>
      <c r="I35" t="s">
        <v>35</v>
      </c>
      <c r="K35">
        <v>-95.757800000000003</v>
      </c>
      <c r="L35">
        <v>39.509900000000002</v>
      </c>
      <c r="M35" t="s">
        <v>36</v>
      </c>
      <c r="N35" s="3" t="s">
        <v>37</v>
      </c>
      <c r="O35" t="s">
        <v>42</v>
      </c>
      <c r="P35" s="1">
        <v>45257</v>
      </c>
      <c r="Q35">
        <v>0</v>
      </c>
      <c r="R35">
        <v>8</v>
      </c>
      <c r="S35">
        <v>6.9</v>
      </c>
      <c r="T35">
        <v>5.5</v>
      </c>
      <c r="U35" s="2">
        <v>2906</v>
      </c>
      <c r="V35">
        <v>162</v>
      </c>
      <c r="W35">
        <v>198.2</v>
      </c>
    </row>
    <row r="36" spans="1:23" x14ac:dyDescent="0.35">
      <c r="A36" s="3">
        <v>54219</v>
      </c>
      <c r="B36" t="s">
        <v>59</v>
      </c>
      <c r="D36" t="s">
        <v>24</v>
      </c>
      <c r="F36" t="s">
        <v>5</v>
      </c>
      <c r="G36" t="s">
        <v>49</v>
      </c>
      <c r="K36">
        <v>-95.666700000000006</v>
      </c>
      <c r="L36">
        <v>39.388500000000001</v>
      </c>
      <c r="M36" t="s">
        <v>60</v>
      </c>
      <c r="N36" s="3" t="s">
        <v>66</v>
      </c>
      <c r="O36" t="s">
        <v>28</v>
      </c>
      <c r="P36" s="1">
        <v>45394</v>
      </c>
      <c r="Q36">
        <v>0</v>
      </c>
      <c r="R36">
        <v>8</v>
      </c>
      <c r="S36">
        <v>5.9</v>
      </c>
      <c r="T36">
        <v>3.7</v>
      </c>
      <c r="U36" s="2">
        <v>2903</v>
      </c>
      <c r="V36">
        <v>251</v>
      </c>
      <c r="W36">
        <v>176.2</v>
      </c>
    </row>
    <row r="37" spans="1:23" x14ac:dyDescent="0.35">
      <c r="A37" s="3">
        <v>247982</v>
      </c>
      <c r="B37" t="s">
        <v>23</v>
      </c>
      <c r="D37" t="s">
        <v>24</v>
      </c>
      <c r="F37" t="s">
        <v>5</v>
      </c>
      <c r="G37" t="s">
        <v>25</v>
      </c>
      <c r="K37">
        <v>-95.67</v>
      </c>
      <c r="L37">
        <v>39.3855</v>
      </c>
      <c r="M37" t="s">
        <v>26</v>
      </c>
      <c r="N37" s="3" t="s">
        <v>27</v>
      </c>
      <c r="O37" t="s">
        <v>42</v>
      </c>
      <c r="P37" s="1">
        <v>45257</v>
      </c>
      <c r="Q37">
        <v>0</v>
      </c>
      <c r="R37">
        <v>8</v>
      </c>
      <c r="S37">
        <v>6.8</v>
      </c>
      <c r="T37">
        <v>5.9</v>
      </c>
      <c r="U37" s="2">
        <v>2900</v>
      </c>
      <c r="V37">
        <v>215</v>
      </c>
      <c r="W37">
        <v>205.8</v>
      </c>
    </row>
    <row r="38" spans="1:23" x14ac:dyDescent="0.35">
      <c r="A38" s="3">
        <v>247986</v>
      </c>
      <c r="B38" t="s">
        <v>23</v>
      </c>
      <c r="D38" t="s">
        <v>24</v>
      </c>
      <c r="F38" t="s">
        <v>5</v>
      </c>
      <c r="G38" t="s">
        <v>25</v>
      </c>
      <c r="K38">
        <v>-95.670299999999997</v>
      </c>
      <c r="L38">
        <v>39.383499999999998</v>
      </c>
      <c r="M38" t="s">
        <v>26</v>
      </c>
      <c r="N38" s="3" t="s">
        <v>41</v>
      </c>
      <c r="O38" t="s">
        <v>42</v>
      </c>
      <c r="P38" s="1">
        <v>45257</v>
      </c>
      <c r="Q38">
        <v>0</v>
      </c>
      <c r="R38">
        <v>8</v>
      </c>
      <c r="S38">
        <v>7</v>
      </c>
      <c r="T38">
        <v>5</v>
      </c>
      <c r="U38" s="2">
        <v>2886</v>
      </c>
      <c r="V38">
        <v>184</v>
      </c>
      <c r="W38">
        <v>235.7</v>
      </c>
    </row>
    <row r="39" spans="1:23" x14ac:dyDescent="0.35">
      <c r="A39" s="3">
        <v>248000</v>
      </c>
      <c r="B39" t="s">
        <v>32</v>
      </c>
      <c r="C39" t="s">
        <v>33</v>
      </c>
      <c r="D39" t="s">
        <v>24</v>
      </c>
      <c r="E39" t="s">
        <v>34</v>
      </c>
      <c r="F39" t="s">
        <v>5</v>
      </c>
      <c r="G39" t="s">
        <v>25</v>
      </c>
      <c r="H39" t="s">
        <v>7</v>
      </c>
      <c r="I39" t="s">
        <v>35</v>
      </c>
      <c r="K39">
        <v>-95.758799999999994</v>
      </c>
      <c r="L39">
        <v>39.509900000000002</v>
      </c>
      <c r="M39" t="s">
        <v>36</v>
      </c>
      <c r="N39" s="3" t="s">
        <v>55</v>
      </c>
      <c r="O39" t="s">
        <v>42</v>
      </c>
      <c r="P39" s="1">
        <v>45257</v>
      </c>
      <c r="Q39">
        <v>0</v>
      </c>
      <c r="R39">
        <v>8</v>
      </c>
      <c r="S39">
        <v>6.6</v>
      </c>
      <c r="T39">
        <v>5.2</v>
      </c>
      <c r="U39" s="2">
        <v>2864</v>
      </c>
      <c r="V39">
        <v>185</v>
      </c>
      <c r="W39">
        <v>173.2</v>
      </c>
    </row>
    <row r="40" spans="1:23" x14ac:dyDescent="0.35">
      <c r="A40" s="3">
        <v>54222</v>
      </c>
      <c r="B40" t="s">
        <v>59</v>
      </c>
      <c r="D40" t="s">
        <v>24</v>
      </c>
      <c r="F40" t="s">
        <v>5</v>
      </c>
      <c r="G40" t="s">
        <v>49</v>
      </c>
      <c r="K40">
        <v>-95.666399999999996</v>
      </c>
      <c r="L40">
        <v>39.387500000000003</v>
      </c>
      <c r="M40" t="s">
        <v>60</v>
      </c>
      <c r="N40" s="3" t="s">
        <v>67</v>
      </c>
      <c r="O40" t="s">
        <v>28</v>
      </c>
      <c r="P40" s="1">
        <v>45394</v>
      </c>
      <c r="Q40">
        <v>0</v>
      </c>
      <c r="R40">
        <v>8</v>
      </c>
      <c r="S40">
        <v>6.2</v>
      </c>
      <c r="T40">
        <v>3.4</v>
      </c>
      <c r="U40" s="2">
        <v>2854</v>
      </c>
      <c r="V40">
        <v>251</v>
      </c>
      <c r="W40">
        <v>251.7</v>
      </c>
    </row>
    <row r="41" spans="1:23" x14ac:dyDescent="0.35">
      <c r="A41" s="3">
        <v>54208</v>
      </c>
      <c r="B41" t="s">
        <v>23</v>
      </c>
      <c r="D41" t="s">
        <v>47</v>
      </c>
      <c r="F41" t="s">
        <v>48</v>
      </c>
      <c r="G41" t="s">
        <v>49</v>
      </c>
      <c r="K41">
        <v>-95.664599999999993</v>
      </c>
      <c r="L41">
        <v>39.381999999999998</v>
      </c>
      <c r="M41" t="s">
        <v>50</v>
      </c>
      <c r="N41" s="3" t="s">
        <v>68</v>
      </c>
      <c r="O41" t="s">
        <v>28</v>
      </c>
      <c r="P41" s="1">
        <v>45394</v>
      </c>
      <c r="Q41">
        <v>0</v>
      </c>
      <c r="R41">
        <v>8</v>
      </c>
      <c r="S41">
        <v>6.7</v>
      </c>
      <c r="T41">
        <v>3.1</v>
      </c>
      <c r="U41" s="2">
        <v>2847</v>
      </c>
      <c r="V41">
        <v>165</v>
      </c>
      <c r="W41">
        <v>296.5</v>
      </c>
    </row>
    <row r="42" spans="1:23" x14ac:dyDescent="0.35">
      <c r="A42" s="3">
        <v>54195</v>
      </c>
      <c r="B42" t="s">
        <v>23</v>
      </c>
      <c r="D42" t="s">
        <v>24</v>
      </c>
      <c r="F42" t="s">
        <v>48</v>
      </c>
      <c r="G42" t="s">
        <v>49</v>
      </c>
      <c r="K42">
        <v>-95.755399999999995</v>
      </c>
      <c r="L42">
        <v>39.509900000000002</v>
      </c>
      <c r="M42" t="s">
        <v>53</v>
      </c>
      <c r="N42" s="3" t="s">
        <v>69</v>
      </c>
      <c r="O42" t="s">
        <v>28</v>
      </c>
      <c r="P42" s="1">
        <v>45394</v>
      </c>
      <c r="Q42">
        <v>0</v>
      </c>
      <c r="R42">
        <v>8</v>
      </c>
      <c r="S42">
        <v>5.5</v>
      </c>
      <c r="T42">
        <v>3.6</v>
      </c>
      <c r="U42" s="2">
        <v>2826</v>
      </c>
      <c r="V42">
        <v>241</v>
      </c>
      <c r="W42">
        <v>277.39999999999998</v>
      </c>
    </row>
    <row r="43" spans="1:23" x14ac:dyDescent="0.35">
      <c r="A43" s="3">
        <v>54216</v>
      </c>
      <c r="B43" t="s">
        <v>59</v>
      </c>
      <c r="D43" t="s">
        <v>24</v>
      </c>
      <c r="F43" t="s">
        <v>5</v>
      </c>
      <c r="G43" t="s">
        <v>49</v>
      </c>
      <c r="K43">
        <v>-95.666700000000006</v>
      </c>
      <c r="L43">
        <v>39.389499999999998</v>
      </c>
      <c r="M43" t="s">
        <v>60</v>
      </c>
      <c r="N43" s="3" t="s">
        <v>70</v>
      </c>
      <c r="O43" t="s">
        <v>28</v>
      </c>
      <c r="P43" s="1">
        <v>45394</v>
      </c>
      <c r="Q43">
        <v>0</v>
      </c>
      <c r="R43">
        <v>8</v>
      </c>
      <c r="S43">
        <v>6</v>
      </c>
      <c r="T43">
        <v>3.9</v>
      </c>
      <c r="U43" s="2">
        <v>2767</v>
      </c>
      <c r="V43">
        <v>297</v>
      </c>
      <c r="W43">
        <v>264.10000000000002</v>
      </c>
    </row>
    <row r="44" spans="1:23" x14ac:dyDescent="0.35">
      <c r="A44" s="3">
        <v>54212</v>
      </c>
      <c r="B44" t="s">
        <v>23</v>
      </c>
      <c r="D44" t="s">
        <v>47</v>
      </c>
      <c r="F44" t="s">
        <v>48</v>
      </c>
      <c r="G44" t="s">
        <v>49</v>
      </c>
      <c r="K44">
        <v>-95.665899999999993</v>
      </c>
      <c r="L44">
        <v>39.3795</v>
      </c>
      <c r="M44" t="s">
        <v>50</v>
      </c>
      <c r="N44" s="3" t="s">
        <v>71</v>
      </c>
      <c r="O44" t="s">
        <v>28</v>
      </c>
      <c r="P44" s="1">
        <v>45394</v>
      </c>
      <c r="Q44">
        <v>0</v>
      </c>
      <c r="R44">
        <v>8</v>
      </c>
      <c r="S44">
        <v>6.3</v>
      </c>
      <c r="T44">
        <v>2.9</v>
      </c>
      <c r="U44" s="2">
        <v>2762</v>
      </c>
      <c r="V44">
        <v>203</v>
      </c>
      <c r="W44">
        <v>225.2</v>
      </c>
    </row>
    <row r="45" spans="1:23" x14ac:dyDescent="0.35">
      <c r="A45" s="3">
        <v>54221</v>
      </c>
      <c r="B45" t="s">
        <v>59</v>
      </c>
      <c r="D45" t="s">
        <v>24</v>
      </c>
      <c r="F45" t="s">
        <v>5</v>
      </c>
      <c r="G45" t="s">
        <v>49</v>
      </c>
      <c r="K45">
        <v>-95.667400000000001</v>
      </c>
      <c r="L45">
        <v>39.387500000000003</v>
      </c>
      <c r="M45" t="s">
        <v>60</v>
      </c>
      <c r="N45" s="3" t="s">
        <v>72</v>
      </c>
      <c r="O45" t="s">
        <v>28</v>
      </c>
      <c r="P45" s="1">
        <v>45394</v>
      </c>
      <c r="Q45">
        <v>0</v>
      </c>
      <c r="R45">
        <v>8</v>
      </c>
      <c r="S45">
        <v>6</v>
      </c>
      <c r="T45">
        <v>4.0999999999999996</v>
      </c>
      <c r="U45" s="2">
        <v>2729</v>
      </c>
      <c r="V45">
        <v>252</v>
      </c>
      <c r="W45">
        <v>320.3</v>
      </c>
    </row>
    <row r="46" spans="1:23" x14ac:dyDescent="0.35">
      <c r="A46" s="3">
        <v>247981</v>
      </c>
      <c r="B46" t="s">
        <v>23</v>
      </c>
      <c r="D46" t="s">
        <v>24</v>
      </c>
      <c r="F46" t="s">
        <v>5</v>
      </c>
      <c r="G46" t="s">
        <v>25</v>
      </c>
      <c r="K46">
        <v>-95.67</v>
      </c>
      <c r="L46">
        <v>39.386499999999998</v>
      </c>
      <c r="M46" t="s">
        <v>26</v>
      </c>
      <c r="N46" s="3" t="s">
        <v>52</v>
      </c>
      <c r="O46" t="s">
        <v>42</v>
      </c>
      <c r="P46" s="1">
        <v>45257</v>
      </c>
      <c r="Q46">
        <v>0</v>
      </c>
      <c r="R46">
        <v>8</v>
      </c>
      <c r="S46">
        <v>6.2</v>
      </c>
      <c r="T46">
        <v>4.8</v>
      </c>
      <c r="U46" s="2">
        <v>2723</v>
      </c>
      <c r="V46">
        <v>141</v>
      </c>
      <c r="W46">
        <v>147.1</v>
      </c>
    </row>
    <row r="47" spans="1:23" x14ac:dyDescent="0.35">
      <c r="A47" s="3">
        <v>54207</v>
      </c>
      <c r="B47" t="s">
        <v>23</v>
      </c>
      <c r="D47" t="s">
        <v>47</v>
      </c>
      <c r="F47" t="s">
        <v>48</v>
      </c>
      <c r="G47" t="s">
        <v>49</v>
      </c>
      <c r="K47">
        <v>-95.665899999999993</v>
      </c>
      <c r="L47">
        <v>39.381500000000003</v>
      </c>
      <c r="M47" t="s">
        <v>50</v>
      </c>
      <c r="N47" s="3" t="s">
        <v>73</v>
      </c>
      <c r="O47" t="s">
        <v>28</v>
      </c>
      <c r="P47" s="1">
        <v>45394</v>
      </c>
      <c r="Q47">
        <v>0</v>
      </c>
      <c r="R47">
        <v>8</v>
      </c>
      <c r="S47">
        <v>5.9</v>
      </c>
      <c r="T47">
        <v>3</v>
      </c>
      <c r="U47" s="2">
        <v>2718</v>
      </c>
      <c r="V47">
        <v>167</v>
      </c>
      <c r="W47">
        <v>237.7</v>
      </c>
    </row>
    <row r="48" spans="1:23" x14ac:dyDescent="0.35">
      <c r="A48" s="3">
        <v>247963</v>
      </c>
      <c r="B48" t="s">
        <v>23</v>
      </c>
      <c r="D48" t="s">
        <v>47</v>
      </c>
      <c r="F48" t="s">
        <v>48</v>
      </c>
      <c r="G48" t="s">
        <v>49</v>
      </c>
      <c r="K48">
        <v>-95.665899999999993</v>
      </c>
      <c r="L48">
        <v>39.381500000000003</v>
      </c>
      <c r="M48" t="s">
        <v>50</v>
      </c>
      <c r="N48" s="3" t="s">
        <v>73</v>
      </c>
      <c r="O48" t="s">
        <v>42</v>
      </c>
      <c r="P48" s="1">
        <v>45257</v>
      </c>
      <c r="Q48">
        <v>0</v>
      </c>
      <c r="R48">
        <v>8</v>
      </c>
      <c r="S48">
        <v>5.7</v>
      </c>
      <c r="T48">
        <v>3.2</v>
      </c>
      <c r="U48" s="2">
        <v>2681</v>
      </c>
      <c r="V48">
        <v>107</v>
      </c>
      <c r="W48">
        <v>363.8</v>
      </c>
    </row>
    <row r="49" spans="1:23" x14ac:dyDescent="0.35">
      <c r="A49" s="3">
        <v>54201</v>
      </c>
      <c r="B49" t="s">
        <v>23</v>
      </c>
      <c r="D49" t="s">
        <v>24</v>
      </c>
      <c r="F49" t="s">
        <v>48</v>
      </c>
      <c r="G49" t="s">
        <v>49</v>
      </c>
      <c r="K49">
        <v>-95.755399999999995</v>
      </c>
      <c r="L49">
        <v>39.507599999999996</v>
      </c>
      <c r="M49" t="s">
        <v>53</v>
      </c>
      <c r="N49" s="3" t="s">
        <v>74</v>
      </c>
      <c r="O49" t="s">
        <v>28</v>
      </c>
      <c r="P49" s="1">
        <v>45394</v>
      </c>
      <c r="Q49">
        <v>0</v>
      </c>
      <c r="R49">
        <v>8</v>
      </c>
      <c r="S49">
        <v>5.7</v>
      </c>
      <c r="T49">
        <v>3.8</v>
      </c>
      <c r="U49" s="2">
        <v>2681</v>
      </c>
      <c r="V49">
        <v>232</v>
      </c>
      <c r="W49">
        <v>323.7</v>
      </c>
    </row>
    <row r="50" spans="1:23" x14ac:dyDescent="0.35">
      <c r="A50" s="3">
        <v>54235</v>
      </c>
      <c r="B50" t="s">
        <v>23</v>
      </c>
      <c r="D50" t="s">
        <v>24</v>
      </c>
      <c r="F50" t="s">
        <v>5</v>
      </c>
      <c r="G50" t="s">
        <v>25</v>
      </c>
      <c r="K50">
        <v>-95.664500000000004</v>
      </c>
      <c r="L50">
        <v>39.385300000000001</v>
      </c>
      <c r="M50" t="s">
        <v>45</v>
      </c>
      <c r="N50" s="3" t="s">
        <v>75</v>
      </c>
      <c r="O50" t="s">
        <v>28</v>
      </c>
      <c r="P50" s="1">
        <v>45394</v>
      </c>
      <c r="Q50">
        <v>0</v>
      </c>
      <c r="R50">
        <v>8</v>
      </c>
      <c r="S50">
        <v>6.6</v>
      </c>
      <c r="T50">
        <v>5.5</v>
      </c>
      <c r="U50" s="2">
        <v>2627</v>
      </c>
      <c r="V50">
        <v>211</v>
      </c>
      <c r="W50">
        <v>311.7</v>
      </c>
    </row>
    <row r="51" spans="1:23" x14ac:dyDescent="0.35">
      <c r="A51" s="3">
        <v>247990</v>
      </c>
      <c r="B51" t="s">
        <v>23</v>
      </c>
      <c r="D51" t="s">
        <v>24</v>
      </c>
      <c r="F51" t="s">
        <v>5</v>
      </c>
      <c r="G51" t="s">
        <v>25</v>
      </c>
      <c r="K51">
        <v>-95.666600000000003</v>
      </c>
      <c r="L51">
        <v>39.3855</v>
      </c>
      <c r="M51" t="s">
        <v>45</v>
      </c>
      <c r="N51" s="3" t="s">
        <v>46</v>
      </c>
      <c r="O51" t="s">
        <v>42</v>
      </c>
      <c r="P51" s="1">
        <v>45257</v>
      </c>
      <c r="Q51">
        <v>0</v>
      </c>
      <c r="R51">
        <v>8</v>
      </c>
      <c r="S51">
        <v>6.2</v>
      </c>
      <c r="T51">
        <v>4.8</v>
      </c>
      <c r="U51" s="2">
        <v>2614</v>
      </c>
      <c r="V51">
        <v>142</v>
      </c>
      <c r="W51">
        <v>323.60000000000002</v>
      </c>
    </row>
    <row r="52" spans="1:23" x14ac:dyDescent="0.35">
      <c r="A52" s="3">
        <v>54220</v>
      </c>
      <c r="B52" t="s">
        <v>59</v>
      </c>
      <c r="D52" t="s">
        <v>24</v>
      </c>
      <c r="F52" t="s">
        <v>5</v>
      </c>
      <c r="G52" t="s">
        <v>49</v>
      </c>
      <c r="K52">
        <v>-95.668400000000005</v>
      </c>
      <c r="L52">
        <v>39.387500000000003</v>
      </c>
      <c r="M52" t="s">
        <v>60</v>
      </c>
      <c r="N52" s="3" t="s">
        <v>76</v>
      </c>
      <c r="O52" t="s">
        <v>28</v>
      </c>
      <c r="P52" s="1">
        <v>45394</v>
      </c>
      <c r="Q52">
        <v>0</v>
      </c>
      <c r="R52">
        <v>8</v>
      </c>
      <c r="S52">
        <v>5.8</v>
      </c>
      <c r="T52">
        <v>3.8</v>
      </c>
      <c r="U52" s="2">
        <v>2597</v>
      </c>
      <c r="V52">
        <v>221</v>
      </c>
      <c r="W52">
        <v>287</v>
      </c>
    </row>
    <row r="53" spans="1:23" x14ac:dyDescent="0.35">
      <c r="A53" s="3">
        <v>54197</v>
      </c>
      <c r="B53" t="s">
        <v>23</v>
      </c>
      <c r="D53" t="s">
        <v>24</v>
      </c>
      <c r="F53" t="s">
        <v>48</v>
      </c>
      <c r="G53" t="s">
        <v>49</v>
      </c>
      <c r="K53">
        <v>-95.756600000000006</v>
      </c>
      <c r="L53">
        <v>39.508699999999997</v>
      </c>
      <c r="M53" t="s">
        <v>53</v>
      </c>
      <c r="N53" s="3" t="s">
        <v>77</v>
      </c>
      <c r="O53" t="s">
        <v>28</v>
      </c>
      <c r="P53" s="1">
        <v>45394</v>
      </c>
      <c r="Q53">
        <v>0</v>
      </c>
      <c r="R53">
        <v>8</v>
      </c>
      <c r="S53">
        <v>5.8</v>
      </c>
      <c r="T53">
        <v>4</v>
      </c>
      <c r="U53" s="2">
        <v>2595</v>
      </c>
      <c r="V53">
        <v>156</v>
      </c>
      <c r="W53">
        <v>48.1</v>
      </c>
    </row>
    <row r="54" spans="1:23" x14ac:dyDescent="0.35">
      <c r="A54" s="3">
        <v>54204</v>
      </c>
      <c r="B54" t="s">
        <v>23</v>
      </c>
      <c r="D54" t="s">
        <v>47</v>
      </c>
      <c r="F54" t="s">
        <v>48</v>
      </c>
      <c r="G54" t="s">
        <v>49</v>
      </c>
      <c r="K54">
        <v>-95.666600000000003</v>
      </c>
      <c r="L54">
        <v>39.382599999999996</v>
      </c>
      <c r="M54" t="s">
        <v>50</v>
      </c>
      <c r="N54" s="3" t="s">
        <v>78</v>
      </c>
      <c r="O54" t="s">
        <v>28</v>
      </c>
      <c r="P54" s="1">
        <v>45394</v>
      </c>
      <c r="Q54">
        <v>0</v>
      </c>
      <c r="R54">
        <v>8</v>
      </c>
      <c r="S54">
        <v>5.8</v>
      </c>
      <c r="T54">
        <v>3.6</v>
      </c>
      <c r="U54" s="2">
        <v>2594</v>
      </c>
      <c r="V54">
        <v>137</v>
      </c>
      <c r="W54">
        <v>110.9</v>
      </c>
    </row>
    <row r="55" spans="1:23" x14ac:dyDescent="0.35">
      <c r="A55" s="3">
        <v>54191</v>
      </c>
      <c r="B55" t="s">
        <v>59</v>
      </c>
      <c r="D55" t="s">
        <v>24</v>
      </c>
      <c r="F55" t="s">
        <v>48</v>
      </c>
      <c r="G55" t="s">
        <v>49</v>
      </c>
      <c r="K55">
        <v>-95.752799999999993</v>
      </c>
      <c r="L55">
        <v>39.507599999999996</v>
      </c>
      <c r="M55" t="s">
        <v>79</v>
      </c>
      <c r="N55" s="3" t="s">
        <v>80</v>
      </c>
      <c r="O55" t="s">
        <v>28</v>
      </c>
      <c r="P55" s="1">
        <v>45394</v>
      </c>
      <c r="Q55">
        <v>0</v>
      </c>
      <c r="R55">
        <v>8</v>
      </c>
      <c r="S55">
        <v>5.4</v>
      </c>
      <c r="T55">
        <v>3.6</v>
      </c>
      <c r="U55" s="2">
        <v>2573</v>
      </c>
      <c r="V55">
        <v>186</v>
      </c>
      <c r="W55">
        <v>104.5</v>
      </c>
    </row>
    <row r="56" spans="1:23" x14ac:dyDescent="0.35">
      <c r="A56" s="3">
        <v>54198</v>
      </c>
      <c r="B56" t="s">
        <v>23</v>
      </c>
      <c r="D56" t="s">
        <v>24</v>
      </c>
      <c r="F56" t="s">
        <v>48</v>
      </c>
      <c r="G56" t="s">
        <v>49</v>
      </c>
      <c r="K56">
        <v>-95.755399999999995</v>
      </c>
      <c r="L56">
        <v>39.508699999999997</v>
      </c>
      <c r="M56" t="s">
        <v>53</v>
      </c>
      <c r="N56" s="3" t="s">
        <v>81</v>
      </c>
      <c r="O56" t="s">
        <v>28</v>
      </c>
      <c r="P56" s="1">
        <v>45394</v>
      </c>
      <c r="Q56">
        <v>0</v>
      </c>
      <c r="R56">
        <v>8</v>
      </c>
      <c r="S56">
        <v>5.5</v>
      </c>
      <c r="T56">
        <v>4.0999999999999996</v>
      </c>
      <c r="U56" s="2">
        <v>2565</v>
      </c>
      <c r="V56">
        <v>208</v>
      </c>
      <c r="W56">
        <v>78.3</v>
      </c>
    </row>
    <row r="57" spans="1:23" x14ac:dyDescent="0.35">
      <c r="A57" s="3">
        <v>247978</v>
      </c>
      <c r="B57" t="s">
        <v>59</v>
      </c>
      <c r="D57" t="s">
        <v>24</v>
      </c>
      <c r="F57" t="s">
        <v>5</v>
      </c>
      <c r="G57" t="s">
        <v>49</v>
      </c>
      <c r="K57">
        <v>-95.667400000000001</v>
      </c>
      <c r="L57">
        <v>39.387500000000003</v>
      </c>
      <c r="M57" t="s">
        <v>60</v>
      </c>
      <c r="N57" s="3" t="s">
        <v>72</v>
      </c>
      <c r="O57" t="s">
        <v>42</v>
      </c>
      <c r="P57" s="1">
        <v>45257</v>
      </c>
      <c r="Q57">
        <v>0</v>
      </c>
      <c r="R57">
        <v>8</v>
      </c>
      <c r="S57">
        <v>6.1</v>
      </c>
      <c r="T57">
        <v>4.2</v>
      </c>
      <c r="U57" s="2">
        <v>2557</v>
      </c>
      <c r="V57">
        <v>175</v>
      </c>
      <c r="W57">
        <v>91.3</v>
      </c>
    </row>
    <row r="58" spans="1:23" x14ac:dyDescent="0.35">
      <c r="A58" s="3">
        <v>54239</v>
      </c>
      <c r="B58" t="s">
        <v>23</v>
      </c>
      <c r="D58" t="s">
        <v>24</v>
      </c>
      <c r="F58" t="s">
        <v>5</v>
      </c>
      <c r="G58" t="s">
        <v>25</v>
      </c>
      <c r="K58">
        <v>-95.665599999999998</v>
      </c>
      <c r="L58">
        <v>39.383800000000001</v>
      </c>
      <c r="M58" t="s">
        <v>45</v>
      </c>
      <c r="N58" s="3" t="s">
        <v>82</v>
      </c>
      <c r="O58" t="s">
        <v>28</v>
      </c>
      <c r="P58" s="1">
        <v>45394</v>
      </c>
      <c r="Q58">
        <v>0</v>
      </c>
      <c r="R58">
        <v>8</v>
      </c>
      <c r="S58">
        <v>6.6</v>
      </c>
      <c r="T58">
        <v>5</v>
      </c>
      <c r="U58" s="2">
        <v>2545</v>
      </c>
      <c r="V58">
        <v>216</v>
      </c>
      <c r="W58">
        <v>104.6</v>
      </c>
    </row>
    <row r="59" spans="1:23" x14ac:dyDescent="0.35">
      <c r="A59" s="3">
        <v>247956</v>
      </c>
      <c r="B59" t="s">
        <v>23</v>
      </c>
      <c r="D59" t="s">
        <v>24</v>
      </c>
      <c r="F59" t="s">
        <v>48</v>
      </c>
      <c r="G59" t="s">
        <v>49</v>
      </c>
      <c r="K59">
        <v>-95.756600000000006</v>
      </c>
      <c r="L59">
        <v>39.507599999999996</v>
      </c>
      <c r="M59" t="s">
        <v>53</v>
      </c>
      <c r="N59" s="3" t="s">
        <v>54</v>
      </c>
      <c r="O59" t="s">
        <v>42</v>
      </c>
      <c r="P59" s="1">
        <v>45257</v>
      </c>
      <c r="Q59">
        <v>0</v>
      </c>
      <c r="R59">
        <v>8</v>
      </c>
      <c r="S59">
        <v>6</v>
      </c>
      <c r="T59">
        <v>3.9</v>
      </c>
      <c r="U59" s="2">
        <v>2518</v>
      </c>
      <c r="V59">
        <v>148</v>
      </c>
      <c r="W59">
        <v>91.4</v>
      </c>
    </row>
    <row r="60" spans="1:23" x14ac:dyDescent="0.35">
      <c r="A60" s="3">
        <v>54218</v>
      </c>
      <c r="B60" t="s">
        <v>59</v>
      </c>
      <c r="D60" t="s">
        <v>24</v>
      </c>
      <c r="F60" t="s">
        <v>5</v>
      </c>
      <c r="G60" t="s">
        <v>49</v>
      </c>
      <c r="K60">
        <v>-95.667699999999996</v>
      </c>
      <c r="L60">
        <v>39.388500000000001</v>
      </c>
      <c r="M60" t="s">
        <v>60</v>
      </c>
      <c r="N60" s="3" t="s">
        <v>83</v>
      </c>
      <c r="O60" t="s">
        <v>28</v>
      </c>
      <c r="P60" s="1">
        <v>45394</v>
      </c>
      <c r="Q60">
        <v>0</v>
      </c>
      <c r="R60">
        <v>8</v>
      </c>
      <c r="S60">
        <v>6.4</v>
      </c>
      <c r="T60">
        <v>3.6</v>
      </c>
      <c r="U60" s="2">
        <v>2507</v>
      </c>
      <c r="V60">
        <v>255</v>
      </c>
      <c r="W60">
        <v>118.5</v>
      </c>
    </row>
    <row r="61" spans="1:23" x14ac:dyDescent="0.35">
      <c r="A61" s="3">
        <v>54234</v>
      </c>
      <c r="B61" t="s">
        <v>23</v>
      </c>
      <c r="D61" t="s">
        <v>24</v>
      </c>
      <c r="F61" t="s">
        <v>5</v>
      </c>
      <c r="G61" t="s">
        <v>25</v>
      </c>
      <c r="K61">
        <v>-95.665599999999998</v>
      </c>
      <c r="L61">
        <v>39.3855</v>
      </c>
      <c r="M61" t="s">
        <v>45</v>
      </c>
      <c r="N61" s="3" t="s">
        <v>84</v>
      </c>
      <c r="O61" t="s">
        <v>28</v>
      </c>
      <c r="P61" s="1">
        <v>45394</v>
      </c>
      <c r="Q61">
        <v>0</v>
      </c>
      <c r="R61">
        <v>8</v>
      </c>
      <c r="S61">
        <v>6.1</v>
      </c>
      <c r="T61">
        <v>3.6</v>
      </c>
      <c r="U61" s="2">
        <v>2504</v>
      </c>
      <c r="V61">
        <v>211</v>
      </c>
      <c r="W61">
        <v>177.9</v>
      </c>
    </row>
    <row r="62" spans="1:23" x14ac:dyDescent="0.35">
      <c r="A62" s="3">
        <v>247961</v>
      </c>
      <c r="B62" t="s">
        <v>23</v>
      </c>
      <c r="D62" t="s">
        <v>47</v>
      </c>
      <c r="F62" t="s">
        <v>48</v>
      </c>
      <c r="G62" t="s">
        <v>49</v>
      </c>
      <c r="K62">
        <v>-95.665599999999998</v>
      </c>
      <c r="L62">
        <v>39.382599999999996</v>
      </c>
      <c r="M62" t="s">
        <v>50</v>
      </c>
      <c r="N62" s="3" t="s">
        <v>56</v>
      </c>
      <c r="O62" t="s">
        <v>42</v>
      </c>
      <c r="P62" s="1">
        <v>45257</v>
      </c>
      <c r="Q62">
        <v>0</v>
      </c>
      <c r="R62">
        <v>8</v>
      </c>
      <c r="S62">
        <v>6.1</v>
      </c>
      <c r="T62">
        <v>3.5</v>
      </c>
      <c r="U62" s="2">
        <v>2500</v>
      </c>
      <c r="V62">
        <v>124</v>
      </c>
      <c r="W62">
        <v>55.1</v>
      </c>
    </row>
    <row r="63" spans="1:23" x14ac:dyDescent="0.35">
      <c r="A63" s="3">
        <v>247957</v>
      </c>
      <c r="B63" t="s">
        <v>23</v>
      </c>
      <c r="D63" t="s">
        <v>24</v>
      </c>
      <c r="F63" t="s">
        <v>48</v>
      </c>
      <c r="G63" t="s">
        <v>49</v>
      </c>
      <c r="K63">
        <v>-95.755399999999995</v>
      </c>
      <c r="L63">
        <v>39.507599999999996</v>
      </c>
      <c r="M63" t="s">
        <v>53</v>
      </c>
      <c r="N63" s="3" t="s">
        <v>74</v>
      </c>
      <c r="O63" t="s">
        <v>42</v>
      </c>
      <c r="P63" s="1">
        <v>45257</v>
      </c>
      <c r="Q63">
        <v>0</v>
      </c>
      <c r="R63">
        <v>8</v>
      </c>
      <c r="S63">
        <v>5.5</v>
      </c>
      <c r="T63">
        <v>4.0999999999999996</v>
      </c>
      <c r="U63" s="2">
        <v>2498</v>
      </c>
      <c r="V63">
        <v>149</v>
      </c>
      <c r="W63">
        <v>158.80000000000001</v>
      </c>
    </row>
    <row r="64" spans="1:23" x14ac:dyDescent="0.35">
      <c r="A64" s="3">
        <v>54206</v>
      </c>
      <c r="B64" t="s">
        <v>23</v>
      </c>
      <c r="D64" t="s">
        <v>47</v>
      </c>
      <c r="F64" t="s">
        <v>48</v>
      </c>
      <c r="G64" t="s">
        <v>49</v>
      </c>
      <c r="K64">
        <v>-95.667599999999993</v>
      </c>
      <c r="L64">
        <v>39.381500000000003</v>
      </c>
      <c r="M64" t="s">
        <v>50</v>
      </c>
      <c r="N64" s="3" t="s">
        <v>85</v>
      </c>
      <c r="O64" t="s">
        <v>28</v>
      </c>
      <c r="P64" s="1">
        <v>45394</v>
      </c>
      <c r="Q64">
        <v>0</v>
      </c>
      <c r="R64">
        <v>8</v>
      </c>
      <c r="S64">
        <v>6.3</v>
      </c>
      <c r="T64">
        <v>2.5</v>
      </c>
      <c r="U64" s="2">
        <v>2493</v>
      </c>
      <c r="V64">
        <v>164</v>
      </c>
      <c r="W64">
        <v>172.1</v>
      </c>
    </row>
    <row r="65" spans="1:23" x14ac:dyDescent="0.35">
      <c r="A65" s="3">
        <v>247983</v>
      </c>
      <c r="B65" t="s">
        <v>23</v>
      </c>
      <c r="D65" t="s">
        <v>24</v>
      </c>
      <c r="F65" t="s">
        <v>5</v>
      </c>
      <c r="G65" t="s">
        <v>25</v>
      </c>
      <c r="K65">
        <v>-95.671000000000006</v>
      </c>
      <c r="L65">
        <v>39.384500000000003</v>
      </c>
      <c r="M65" t="s">
        <v>26</v>
      </c>
      <c r="N65" s="3" t="s">
        <v>29</v>
      </c>
      <c r="O65" t="s">
        <v>42</v>
      </c>
      <c r="P65" s="1">
        <v>45257</v>
      </c>
      <c r="Q65">
        <v>0</v>
      </c>
      <c r="R65">
        <v>8</v>
      </c>
      <c r="S65">
        <v>6.8</v>
      </c>
      <c r="T65">
        <v>5.6</v>
      </c>
      <c r="U65" s="2">
        <v>2469</v>
      </c>
      <c r="V65">
        <v>184</v>
      </c>
      <c r="W65">
        <v>339.3</v>
      </c>
    </row>
    <row r="66" spans="1:23" x14ac:dyDescent="0.35">
      <c r="A66" s="3">
        <v>54183</v>
      </c>
      <c r="B66" t="s">
        <v>23</v>
      </c>
      <c r="D66" t="s">
        <v>24</v>
      </c>
      <c r="F66" t="s">
        <v>48</v>
      </c>
      <c r="G66" t="s">
        <v>49</v>
      </c>
      <c r="K66">
        <v>-95.756600000000006</v>
      </c>
      <c r="L66">
        <v>39.511000000000003</v>
      </c>
      <c r="M66" t="s">
        <v>86</v>
      </c>
      <c r="N66" s="3" t="s">
        <v>87</v>
      </c>
      <c r="O66" t="s">
        <v>28</v>
      </c>
      <c r="P66" s="1">
        <v>45394</v>
      </c>
      <c r="Q66">
        <v>0</v>
      </c>
      <c r="R66">
        <v>8</v>
      </c>
      <c r="S66">
        <v>5.7</v>
      </c>
      <c r="T66">
        <v>3.2</v>
      </c>
      <c r="U66" s="2">
        <v>2468</v>
      </c>
      <c r="V66">
        <v>231</v>
      </c>
      <c r="W66">
        <v>247.3</v>
      </c>
    </row>
    <row r="67" spans="1:23" x14ac:dyDescent="0.35">
      <c r="A67" s="3">
        <v>54199</v>
      </c>
      <c r="B67" t="s">
        <v>23</v>
      </c>
      <c r="D67" t="s">
        <v>24</v>
      </c>
      <c r="F67" t="s">
        <v>48</v>
      </c>
      <c r="G67" t="s">
        <v>49</v>
      </c>
      <c r="K67">
        <v>-95.754300000000001</v>
      </c>
      <c r="L67">
        <v>39.508699999999997</v>
      </c>
      <c r="M67" t="s">
        <v>53</v>
      </c>
      <c r="N67" s="3" t="s">
        <v>88</v>
      </c>
      <c r="O67" t="s">
        <v>28</v>
      </c>
      <c r="P67" s="1">
        <v>45394</v>
      </c>
      <c r="Q67">
        <v>0</v>
      </c>
      <c r="R67">
        <v>8</v>
      </c>
      <c r="S67">
        <v>5.5</v>
      </c>
      <c r="T67">
        <v>3.2</v>
      </c>
      <c r="U67" s="2">
        <v>2445</v>
      </c>
      <c r="V67">
        <v>224</v>
      </c>
      <c r="W67">
        <v>237.4</v>
      </c>
    </row>
    <row r="68" spans="1:23" x14ac:dyDescent="0.35">
      <c r="A68" s="3">
        <v>247950</v>
      </c>
      <c r="B68" t="s">
        <v>23</v>
      </c>
      <c r="D68" t="s">
        <v>24</v>
      </c>
      <c r="F68" t="s">
        <v>48</v>
      </c>
      <c r="G68" t="s">
        <v>49</v>
      </c>
      <c r="K68">
        <v>-95.756600000000006</v>
      </c>
      <c r="L68">
        <v>39.509799999999998</v>
      </c>
      <c r="M68" t="s">
        <v>53</v>
      </c>
      <c r="N68" s="3" t="s">
        <v>62</v>
      </c>
      <c r="O68" t="s">
        <v>42</v>
      </c>
      <c r="P68" s="1">
        <v>45257</v>
      </c>
      <c r="Q68">
        <v>0</v>
      </c>
      <c r="R68">
        <v>8</v>
      </c>
      <c r="S68">
        <v>5.7</v>
      </c>
      <c r="T68">
        <v>4.3</v>
      </c>
      <c r="U68" s="2">
        <v>2440</v>
      </c>
      <c r="V68">
        <v>168</v>
      </c>
      <c r="W68">
        <v>306.8</v>
      </c>
    </row>
    <row r="69" spans="1:23" x14ac:dyDescent="0.35">
      <c r="A69" s="3">
        <v>54184</v>
      </c>
      <c r="B69" t="s">
        <v>23</v>
      </c>
      <c r="D69" t="s">
        <v>24</v>
      </c>
      <c r="F69" t="s">
        <v>48</v>
      </c>
      <c r="G69" t="s">
        <v>49</v>
      </c>
      <c r="K69">
        <v>-95.755300000000005</v>
      </c>
      <c r="L69">
        <v>39.510899999999999</v>
      </c>
      <c r="M69" t="s">
        <v>86</v>
      </c>
      <c r="N69" s="3" t="s">
        <v>89</v>
      </c>
      <c r="O69" t="s">
        <v>28</v>
      </c>
      <c r="P69" s="1">
        <v>45394</v>
      </c>
      <c r="Q69">
        <v>0</v>
      </c>
      <c r="R69">
        <v>8</v>
      </c>
      <c r="S69">
        <v>5.5</v>
      </c>
      <c r="T69">
        <v>3.6</v>
      </c>
      <c r="U69" s="2">
        <v>2433</v>
      </c>
      <c r="V69">
        <v>242</v>
      </c>
      <c r="W69">
        <v>274.89999999999998</v>
      </c>
    </row>
    <row r="70" spans="1:23" x14ac:dyDescent="0.35">
      <c r="A70" s="3">
        <v>54240</v>
      </c>
      <c r="B70" t="s">
        <v>23</v>
      </c>
      <c r="D70" t="s">
        <v>24</v>
      </c>
      <c r="F70" t="s">
        <v>5</v>
      </c>
      <c r="G70" t="s">
        <v>25</v>
      </c>
      <c r="K70">
        <v>-95.665599999999998</v>
      </c>
      <c r="L70">
        <v>39.383800000000001</v>
      </c>
      <c r="M70" t="s">
        <v>45</v>
      </c>
      <c r="N70" s="3" t="s">
        <v>90</v>
      </c>
      <c r="O70" t="s">
        <v>28</v>
      </c>
      <c r="P70" s="1">
        <v>45394</v>
      </c>
      <c r="Q70">
        <v>0</v>
      </c>
      <c r="R70">
        <v>8</v>
      </c>
      <c r="S70">
        <v>6.4</v>
      </c>
      <c r="T70">
        <v>5</v>
      </c>
      <c r="U70" s="2">
        <v>2421</v>
      </c>
      <c r="V70">
        <v>184</v>
      </c>
      <c r="W70">
        <v>294.5</v>
      </c>
    </row>
    <row r="71" spans="1:23" x14ac:dyDescent="0.35">
      <c r="A71" s="3">
        <v>54189</v>
      </c>
      <c r="B71" t="s">
        <v>59</v>
      </c>
      <c r="D71" t="s">
        <v>24</v>
      </c>
      <c r="F71" t="s">
        <v>48</v>
      </c>
      <c r="G71" t="s">
        <v>49</v>
      </c>
      <c r="K71">
        <v>-95.752799999999993</v>
      </c>
      <c r="L71">
        <v>39.508699999999997</v>
      </c>
      <c r="M71" t="s">
        <v>79</v>
      </c>
      <c r="N71" s="3" t="s">
        <v>91</v>
      </c>
      <c r="O71" t="s">
        <v>28</v>
      </c>
      <c r="P71" s="1">
        <v>45394</v>
      </c>
      <c r="Q71">
        <v>0</v>
      </c>
      <c r="R71">
        <v>8</v>
      </c>
      <c r="S71">
        <v>5.4</v>
      </c>
      <c r="T71">
        <v>4</v>
      </c>
      <c r="U71" s="2">
        <v>2415</v>
      </c>
      <c r="V71">
        <v>189</v>
      </c>
      <c r="W71">
        <v>290.60000000000002</v>
      </c>
    </row>
    <row r="72" spans="1:23" x14ac:dyDescent="0.35">
      <c r="A72" s="3">
        <v>54230</v>
      </c>
      <c r="B72" t="s">
        <v>23</v>
      </c>
      <c r="D72" t="s">
        <v>24</v>
      </c>
      <c r="F72" t="s">
        <v>5</v>
      </c>
      <c r="G72" t="s">
        <v>25</v>
      </c>
      <c r="K72">
        <v>-95.665400000000005</v>
      </c>
      <c r="L72">
        <v>39.386499999999998</v>
      </c>
      <c r="M72" t="s">
        <v>45</v>
      </c>
      <c r="N72" s="3" t="s">
        <v>92</v>
      </c>
      <c r="O72" t="s">
        <v>28</v>
      </c>
      <c r="P72" s="1">
        <v>45394</v>
      </c>
      <c r="Q72">
        <v>0</v>
      </c>
      <c r="R72">
        <v>8</v>
      </c>
      <c r="S72">
        <v>6.1</v>
      </c>
      <c r="T72">
        <v>3.7</v>
      </c>
      <c r="U72" s="2">
        <v>2406</v>
      </c>
      <c r="V72">
        <v>256</v>
      </c>
      <c r="W72">
        <v>112</v>
      </c>
    </row>
    <row r="73" spans="1:23" x14ac:dyDescent="0.35">
      <c r="A73" s="3">
        <v>54237</v>
      </c>
      <c r="B73" t="s">
        <v>23</v>
      </c>
      <c r="D73" t="s">
        <v>24</v>
      </c>
      <c r="F73" t="s">
        <v>5</v>
      </c>
      <c r="G73" t="s">
        <v>25</v>
      </c>
      <c r="K73">
        <v>-95.665599999999998</v>
      </c>
      <c r="L73">
        <v>39.384599999999999</v>
      </c>
      <c r="M73" t="s">
        <v>45</v>
      </c>
      <c r="N73" s="3" t="s">
        <v>93</v>
      </c>
      <c r="O73" t="s">
        <v>28</v>
      </c>
      <c r="P73" s="1">
        <v>45394</v>
      </c>
      <c r="Q73">
        <v>0</v>
      </c>
      <c r="R73">
        <v>8</v>
      </c>
      <c r="S73">
        <v>6.6</v>
      </c>
      <c r="T73">
        <v>4.9000000000000004</v>
      </c>
      <c r="U73" s="2">
        <v>2378</v>
      </c>
      <c r="V73">
        <v>210</v>
      </c>
      <c r="W73">
        <v>111</v>
      </c>
    </row>
    <row r="74" spans="1:23" x14ac:dyDescent="0.35">
      <c r="A74" s="3">
        <v>54214</v>
      </c>
      <c r="B74" t="s">
        <v>59</v>
      </c>
      <c r="D74" t="s">
        <v>24</v>
      </c>
      <c r="F74" t="s">
        <v>5</v>
      </c>
      <c r="G74" t="s">
        <v>49</v>
      </c>
      <c r="K74">
        <v>-95.668700000000001</v>
      </c>
      <c r="L74">
        <v>39.389499999999998</v>
      </c>
      <c r="M74" t="s">
        <v>60</v>
      </c>
      <c r="N74" s="3" t="s">
        <v>94</v>
      </c>
      <c r="O74" t="s">
        <v>28</v>
      </c>
      <c r="P74" s="1">
        <v>45394</v>
      </c>
      <c r="Q74">
        <v>0</v>
      </c>
      <c r="R74">
        <v>8</v>
      </c>
      <c r="S74">
        <v>5.9</v>
      </c>
      <c r="T74">
        <v>4.7</v>
      </c>
      <c r="U74" s="2">
        <v>2376</v>
      </c>
      <c r="V74">
        <v>295</v>
      </c>
      <c r="W74">
        <v>91</v>
      </c>
    </row>
    <row r="75" spans="1:23" x14ac:dyDescent="0.35">
      <c r="A75" s="3">
        <v>247948</v>
      </c>
      <c r="B75" t="s">
        <v>59</v>
      </c>
      <c r="D75" t="s">
        <v>24</v>
      </c>
      <c r="F75" t="s">
        <v>48</v>
      </c>
      <c r="G75" t="s">
        <v>49</v>
      </c>
      <c r="K75">
        <v>-95.752799999999993</v>
      </c>
      <c r="L75">
        <v>39.507599999999996</v>
      </c>
      <c r="M75" t="s">
        <v>79</v>
      </c>
      <c r="N75" s="3" t="s">
        <v>80</v>
      </c>
      <c r="O75" t="s">
        <v>42</v>
      </c>
      <c r="P75" s="1">
        <v>45257</v>
      </c>
      <c r="Q75">
        <v>0</v>
      </c>
      <c r="R75">
        <v>8</v>
      </c>
      <c r="S75">
        <v>5.6</v>
      </c>
      <c r="T75">
        <v>4.2</v>
      </c>
      <c r="U75" s="2">
        <v>2373</v>
      </c>
      <c r="V75">
        <v>148</v>
      </c>
      <c r="W75">
        <v>77</v>
      </c>
    </row>
    <row r="76" spans="1:23" x14ac:dyDescent="0.35">
      <c r="A76" s="3">
        <v>247973</v>
      </c>
      <c r="B76" t="s">
        <v>59</v>
      </c>
      <c r="D76" t="s">
        <v>24</v>
      </c>
      <c r="F76" t="s">
        <v>5</v>
      </c>
      <c r="G76" t="s">
        <v>49</v>
      </c>
      <c r="K76">
        <v>-95.666700000000006</v>
      </c>
      <c r="L76">
        <v>39.389499999999998</v>
      </c>
      <c r="M76" t="s">
        <v>60</v>
      </c>
      <c r="N76" s="3" t="s">
        <v>70</v>
      </c>
      <c r="O76" t="s">
        <v>42</v>
      </c>
      <c r="P76" s="1">
        <v>45257</v>
      </c>
      <c r="Q76">
        <v>0</v>
      </c>
      <c r="R76">
        <v>8</v>
      </c>
      <c r="S76">
        <v>5.9</v>
      </c>
      <c r="T76">
        <v>4.2</v>
      </c>
      <c r="U76" s="2">
        <v>2359</v>
      </c>
      <c r="V76">
        <v>162</v>
      </c>
      <c r="W76">
        <v>105</v>
      </c>
    </row>
    <row r="77" spans="1:23" x14ac:dyDescent="0.35">
      <c r="A77" s="3">
        <v>247953</v>
      </c>
      <c r="B77" t="s">
        <v>23</v>
      </c>
      <c r="D77" t="s">
        <v>24</v>
      </c>
      <c r="F77" t="s">
        <v>48</v>
      </c>
      <c r="G77" t="s">
        <v>49</v>
      </c>
      <c r="K77">
        <v>-95.756600000000006</v>
      </c>
      <c r="L77">
        <v>39.508699999999997</v>
      </c>
      <c r="M77" t="s">
        <v>53</v>
      </c>
      <c r="N77" s="3" t="s">
        <v>77</v>
      </c>
      <c r="O77" t="s">
        <v>42</v>
      </c>
      <c r="P77" s="1">
        <v>45257</v>
      </c>
      <c r="Q77">
        <v>0</v>
      </c>
      <c r="R77">
        <v>8</v>
      </c>
      <c r="S77">
        <v>5.7</v>
      </c>
      <c r="T77">
        <v>4.5</v>
      </c>
      <c r="U77" s="2">
        <v>2351</v>
      </c>
      <c r="V77">
        <v>120</v>
      </c>
      <c r="W77">
        <v>105</v>
      </c>
    </row>
    <row r="78" spans="1:23" x14ac:dyDescent="0.35">
      <c r="A78" s="3">
        <v>54202</v>
      </c>
      <c r="B78" t="s">
        <v>23</v>
      </c>
      <c r="D78" t="s">
        <v>24</v>
      </c>
      <c r="F78" t="s">
        <v>48</v>
      </c>
      <c r="G78" t="s">
        <v>49</v>
      </c>
      <c r="K78">
        <v>-95.754300000000001</v>
      </c>
      <c r="L78">
        <v>39.507599999999996</v>
      </c>
      <c r="M78" t="s">
        <v>53</v>
      </c>
      <c r="N78" s="3" t="s">
        <v>95</v>
      </c>
      <c r="O78" t="s">
        <v>28</v>
      </c>
      <c r="P78" s="1">
        <v>45394</v>
      </c>
      <c r="Q78">
        <v>0</v>
      </c>
      <c r="R78">
        <v>8</v>
      </c>
      <c r="S78">
        <v>5.7</v>
      </c>
      <c r="T78">
        <v>3.5</v>
      </c>
      <c r="U78" s="2">
        <v>2343</v>
      </c>
      <c r="V78">
        <v>191</v>
      </c>
      <c r="W78">
        <v>89</v>
      </c>
    </row>
    <row r="79" spans="1:23" x14ac:dyDescent="0.35">
      <c r="A79" s="3">
        <v>247980</v>
      </c>
      <c r="B79" t="s">
        <v>59</v>
      </c>
      <c r="D79" t="s">
        <v>24</v>
      </c>
      <c r="F79" t="s">
        <v>5</v>
      </c>
      <c r="G79" t="s">
        <v>49</v>
      </c>
      <c r="K79">
        <v>-95.668099999999995</v>
      </c>
      <c r="L79">
        <v>39.386499999999998</v>
      </c>
      <c r="M79" t="s">
        <v>60</v>
      </c>
      <c r="N79" s="3" t="s">
        <v>61</v>
      </c>
      <c r="O79" t="s">
        <v>42</v>
      </c>
      <c r="P79" s="1">
        <v>45257</v>
      </c>
      <c r="Q79">
        <v>0</v>
      </c>
      <c r="R79">
        <v>8</v>
      </c>
      <c r="S79">
        <v>5.6</v>
      </c>
      <c r="T79">
        <v>5</v>
      </c>
      <c r="U79" s="2">
        <v>2335</v>
      </c>
      <c r="V79">
        <v>167</v>
      </c>
      <c r="W79">
        <v>106</v>
      </c>
    </row>
    <row r="80" spans="1:23" x14ac:dyDescent="0.35">
      <c r="A80" s="3">
        <v>247989</v>
      </c>
      <c r="B80" t="s">
        <v>23</v>
      </c>
      <c r="D80" t="s">
        <v>24</v>
      </c>
      <c r="F80" t="s">
        <v>5</v>
      </c>
      <c r="G80" t="s">
        <v>25</v>
      </c>
      <c r="K80">
        <v>-95.664299999999997</v>
      </c>
      <c r="L80">
        <v>39.386499999999998</v>
      </c>
      <c r="M80" t="s">
        <v>45</v>
      </c>
      <c r="N80" s="3" t="s">
        <v>63</v>
      </c>
      <c r="O80" t="s">
        <v>42</v>
      </c>
      <c r="P80" s="1">
        <v>45257</v>
      </c>
      <c r="Q80">
        <v>0</v>
      </c>
      <c r="R80">
        <v>8</v>
      </c>
      <c r="S80">
        <v>6.7</v>
      </c>
      <c r="T80">
        <v>4.4000000000000004</v>
      </c>
      <c r="U80" s="2">
        <v>2320</v>
      </c>
      <c r="V80">
        <v>171</v>
      </c>
      <c r="W80">
        <v>85</v>
      </c>
    </row>
    <row r="81" spans="1:23" x14ac:dyDescent="0.35">
      <c r="A81" s="3">
        <v>54238</v>
      </c>
      <c r="B81" t="s">
        <v>23</v>
      </c>
      <c r="D81" t="s">
        <v>24</v>
      </c>
      <c r="F81" t="s">
        <v>5</v>
      </c>
      <c r="G81" t="s">
        <v>25</v>
      </c>
      <c r="K81">
        <v>-95.664699999999996</v>
      </c>
      <c r="L81">
        <v>39.384500000000003</v>
      </c>
      <c r="M81" t="s">
        <v>45</v>
      </c>
      <c r="N81" s="3" t="s">
        <v>96</v>
      </c>
      <c r="O81" t="s">
        <v>28</v>
      </c>
      <c r="P81" s="1">
        <v>45394</v>
      </c>
      <c r="Q81">
        <v>0</v>
      </c>
      <c r="R81">
        <v>8</v>
      </c>
      <c r="S81">
        <v>6.3</v>
      </c>
      <c r="T81">
        <v>5</v>
      </c>
      <c r="U81" s="2">
        <v>2318</v>
      </c>
      <c r="V81">
        <v>250</v>
      </c>
      <c r="W81">
        <v>104</v>
      </c>
    </row>
    <row r="82" spans="1:23" x14ac:dyDescent="0.35">
      <c r="A82" s="3">
        <v>247960</v>
      </c>
      <c r="B82" t="s">
        <v>23</v>
      </c>
      <c r="D82" t="s">
        <v>47</v>
      </c>
      <c r="F82" t="s">
        <v>48</v>
      </c>
      <c r="G82" t="s">
        <v>49</v>
      </c>
      <c r="K82">
        <v>-95.666600000000003</v>
      </c>
      <c r="L82">
        <v>39.382599999999996</v>
      </c>
      <c r="M82" t="s">
        <v>50</v>
      </c>
      <c r="N82" s="3" t="s">
        <v>78</v>
      </c>
      <c r="O82" t="s">
        <v>42</v>
      </c>
      <c r="P82" s="1">
        <v>45257</v>
      </c>
      <c r="Q82">
        <v>0</v>
      </c>
      <c r="R82">
        <v>8</v>
      </c>
      <c r="S82">
        <v>5.5</v>
      </c>
      <c r="T82">
        <v>4.2</v>
      </c>
      <c r="U82" s="2">
        <v>2299</v>
      </c>
      <c r="V82">
        <v>107</v>
      </c>
      <c r="W82">
        <v>145</v>
      </c>
    </row>
    <row r="83" spans="1:23" x14ac:dyDescent="0.35">
      <c r="A83" s="3">
        <v>54217</v>
      </c>
      <c r="B83" t="s">
        <v>59</v>
      </c>
      <c r="D83" t="s">
        <v>24</v>
      </c>
      <c r="F83" t="s">
        <v>5</v>
      </c>
      <c r="G83" t="s">
        <v>49</v>
      </c>
      <c r="K83">
        <v>-95.668700000000001</v>
      </c>
      <c r="L83">
        <v>39.388500000000001</v>
      </c>
      <c r="M83" t="s">
        <v>60</v>
      </c>
      <c r="N83" s="3" t="s">
        <v>97</v>
      </c>
      <c r="O83" t="s">
        <v>28</v>
      </c>
      <c r="P83" s="1">
        <v>45394</v>
      </c>
      <c r="Q83">
        <v>0</v>
      </c>
      <c r="R83">
        <v>8</v>
      </c>
      <c r="S83">
        <v>6.1</v>
      </c>
      <c r="T83">
        <v>4.0999999999999996</v>
      </c>
      <c r="U83" s="2">
        <v>2280</v>
      </c>
      <c r="V83">
        <v>288</v>
      </c>
      <c r="W83">
        <v>112</v>
      </c>
    </row>
    <row r="84" spans="1:23" x14ac:dyDescent="0.35">
      <c r="A84" s="3">
        <v>248004</v>
      </c>
      <c r="B84" t="s">
        <v>32</v>
      </c>
      <c r="C84" t="s">
        <v>33</v>
      </c>
      <c r="D84" t="s">
        <v>24</v>
      </c>
      <c r="E84" t="s">
        <v>34</v>
      </c>
      <c r="F84" t="s">
        <v>5</v>
      </c>
      <c r="G84" t="s">
        <v>25</v>
      </c>
      <c r="H84" t="s">
        <v>7</v>
      </c>
      <c r="I84" t="s">
        <v>35</v>
      </c>
      <c r="K84">
        <v>-95.759100000000004</v>
      </c>
      <c r="L84">
        <v>39.507899999999999</v>
      </c>
      <c r="M84" t="s">
        <v>36</v>
      </c>
      <c r="N84" s="3" t="s">
        <v>40</v>
      </c>
      <c r="O84" t="s">
        <v>42</v>
      </c>
      <c r="P84" s="1">
        <v>45257</v>
      </c>
      <c r="Q84">
        <v>0</v>
      </c>
      <c r="R84">
        <v>8</v>
      </c>
      <c r="S84">
        <v>6.9</v>
      </c>
      <c r="T84">
        <v>5.3</v>
      </c>
      <c r="U84" s="2">
        <v>2274</v>
      </c>
      <c r="V84">
        <v>177</v>
      </c>
      <c r="W84">
        <v>127</v>
      </c>
    </row>
    <row r="85" spans="1:23" x14ac:dyDescent="0.35">
      <c r="A85" s="3">
        <v>54192</v>
      </c>
      <c r="B85" t="s">
        <v>59</v>
      </c>
      <c r="D85" t="s">
        <v>24</v>
      </c>
      <c r="F85" t="s">
        <v>48</v>
      </c>
      <c r="G85" t="s">
        <v>49</v>
      </c>
      <c r="K85">
        <v>-95.751599999999996</v>
      </c>
      <c r="L85">
        <v>39.507599999999996</v>
      </c>
      <c r="M85" t="s">
        <v>79</v>
      </c>
      <c r="N85" s="3" t="s">
        <v>98</v>
      </c>
      <c r="O85" t="s">
        <v>28</v>
      </c>
      <c r="P85" s="1">
        <v>45394</v>
      </c>
      <c r="Q85">
        <v>0</v>
      </c>
      <c r="R85">
        <v>8</v>
      </c>
      <c r="S85">
        <v>5.4</v>
      </c>
      <c r="T85">
        <v>3.8</v>
      </c>
      <c r="U85" s="2">
        <v>2257</v>
      </c>
      <c r="V85">
        <v>189</v>
      </c>
      <c r="W85">
        <v>78</v>
      </c>
    </row>
    <row r="86" spans="1:23" x14ac:dyDescent="0.35">
      <c r="A86" s="3">
        <v>247941</v>
      </c>
      <c r="B86" t="s">
        <v>23</v>
      </c>
      <c r="D86" t="s">
        <v>24</v>
      </c>
      <c r="F86" t="s">
        <v>48</v>
      </c>
      <c r="G86" t="s">
        <v>49</v>
      </c>
      <c r="K86">
        <v>-95.755300000000005</v>
      </c>
      <c r="L86">
        <v>39.510899999999999</v>
      </c>
      <c r="M86" t="s">
        <v>86</v>
      </c>
      <c r="N86" s="3" t="s">
        <v>89</v>
      </c>
      <c r="O86" t="s">
        <v>42</v>
      </c>
      <c r="P86" s="1">
        <v>45257</v>
      </c>
      <c r="Q86">
        <v>0</v>
      </c>
      <c r="R86">
        <v>8</v>
      </c>
      <c r="S86">
        <v>5.3</v>
      </c>
      <c r="T86">
        <v>4.0999999999999996</v>
      </c>
      <c r="U86" s="2">
        <v>2256</v>
      </c>
      <c r="V86">
        <v>152</v>
      </c>
      <c r="W86">
        <v>109</v>
      </c>
    </row>
    <row r="87" spans="1:23" x14ac:dyDescent="0.35">
      <c r="A87" s="3">
        <v>247993</v>
      </c>
      <c r="B87" t="s">
        <v>23</v>
      </c>
      <c r="D87" t="s">
        <v>24</v>
      </c>
      <c r="F87" t="s">
        <v>5</v>
      </c>
      <c r="G87" t="s">
        <v>25</v>
      </c>
      <c r="K87">
        <v>-95.666600000000003</v>
      </c>
      <c r="L87">
        <v>39.384500000000003</v>
      </c>
      <c r="M87" t="s">
        <v>45</v>
      </c>
      <c r="N87" s="3" t="s">
        <v>64</v>
      </c>
      <c r="O87" t="s">
        <v>42</v>
      </c>
      <c r="P87" s="1">
        <v>45257</v>
      </c>
      <c r="Q87">
        <v>0</v>
      </c>
      <c r="R87">
        <v>8</v>
      </c>
      <c r="S87">
        <v>6.5</v>
      </c>
      <c r="T87">
        <v>6.6</v>
      </c>
      <c r="U87" s="2">
        <v>2255</v>
      </c>
      <c r="V87">
        <v>188</v>
      </c>
      <c r="W87">
        <v>80</v>
      </c>
    </row>
    <row r="88" spans="1:23" x14ac:dyDescent="0.35">
      <c r="A88" s="3">
        <v>247964</v>
      </c>
      <c r="B88" t="s">
        <v>23</v>
      </c>
      <c r="D88" t="s">
        <v>47</v>
      </c>
      <c r="F88" t="s">
        <v>48</v>
      </c>
      <c r="G88" t="s">
        <v>49</v>
      </c>
      <c r="K88">
        <v>-95.664599999999993</v>
      </c>
      <c r="L88">
        <v>39.381999999999998</v>
      </c>
      <c r="M88" t="s">
        <v>50</v>
      </c>
      <c r="N88" s="3" t="s">
        <v>68</v>
      </c>
      <c r="O88" t="s">
        <v>42</v>
      </c>
      <c r="P88" s="1">
        <v>45257</v>
      </c>
      <c r="Q88">
        <v>0</v>
      </c>
      <c r="R88">
        <v>8</v>
      </c>
      <c r="S88">
        <v>6.2</v>
      </c>
      <c r="T88">
        <v>3.5</v>
      </c>
      <c r="U88" s="2">
        <v>2255</v>
      </c>
      <c r="V88">
        <v>113</v>
      </c>
      <c r="W88">
        <v>88</v>
      </c>
    </row>
    <row r="89" spans="1:23" x14ac:dyDescent="0.35">
      <c r="A89" s="3">
        <v>247976</v>
      </c>
      <c r="B89" t="s">
        <v>59</v>
      </c>
      <c r="D89" t="s">
        <v>24</v>
      </c>
      <c r="F89" t="s">
        <v>5</v>
      </c>
      <c r="G89" t="s">
        <v>49</v>
      </c>
      <c r="K89">
        <v>-95.666700000000006</v>
      </c>
      <c r="L89">
        <v>39.388500000000001</v>
      </c>
      <c r="M89" t="s">
        <v>60</v>
      </c>
      <c r="N89" s="3" t="s">
        <v>66</v>
      </c>
      <c r="O89" t="s">
        <v>42</v>
      </c>
      <c r="P89" s="1">
        <v>45257</v>
      </c>
      <c r="Q89">
        <v>0</v>
      </c>
      <c r="R89">
        <v>8</v>
      </c>
      <c r="S89">
        <v>6</v>
      </c>
      <c r="T89">
        <v>4.0999999999999996</v>
      </c>
      <c r="U89" s="2">
        <v>2238</v>
      </c>
      <c r="V89">
        <v>184</v>
      </c>
      <c r="W89">
        <v>145</v>
      </c>
    </row>
    <row r="90" spans="1:23" x14ac:dyDescent="0.35">
      <c r="A90" s="3">
        <v>54180</v>
      </c>
      <c r="B90" t="s">
        <v>23</v>
      </c>
      <c r="D90" t="s">
        <v>24</v>
      </c>
      <c r="F90" t="s">
        <v>48</v>
      </c>
      <c r="G90" t="s">
        <v>49</v>
      </c>
      <c r="K90">
        <v>-95.756600000000006</v>
      </c>
      <c r="L90">
        <v>39.512099999999997</v>
      </c>
      <c r="M90" t="s">
        <v>86</v>
      </c>
      <c r="N90" s="3" t="s">
        <v>99</v>
      </c>
      <c r="O90" t="s">
        <v>28</v>
      </c>
      <c r="P90" s="1">
        <v>45394</v>
      </c>
      <c r="Q90">
        <v>0</v>
      </c>
      <c r="R90">
        <v>8</v>
      </c>
      <c r="S90">
        <v>5.6</v>
      </c>
      <c r="T90">
        <v>3.2</v>
      </c>
      <c r="U90" s="2">
        <v>2232</v>
      </c>
      <c r="V90">
        <v>192</v>
      </c>
      <c r="W90">
        <v>97</v>
      </c>
    </row>
    <row r="91" spans="1:23" x14ac:dyDescent="0.35">
      <c r="A91" s="3">
        <v>54196</v>
      </c>
      <c r="B91" t="s">
        <v>23</v>
      </c>
      <c r="D91" t="s">
        <v>24</v>
      </c>
      <c r="F91" t="s">
        <v>48</v>
      </c>
      <c r="G91" t="s">
        <v>49</v>
      </c>
      <c r="K91">
        <v>-95.754300000000001</v>
      </c>
      <c r="L91">
        <v>39.509900000000002</v>
      </c>
      <c r="M91" t="s">
        <v>53</v>
      </c>
      <c r="N91" s="3" t="s">
        <v>100</v>
      </c>
      <c r="O91" t="s">
        <v>28</v>
      </c>
      <c r="P91" s="1">
        <v>45394</v>
      </c>
      <c r="Q91">
        <v>0</v>
      </c>
      <c r="R91">
        <v>8</v>
      </c>
      <c r="S91">
        <v>5.3</v>
      </c>
      <c r="T91">
        <v>3.7</v>
      </c>
      <c r="U91" s="2">
        <v>2212</v>
      </c>
      <c r="V91">
        <v>156</v>
      </c>
      <c r="W91">
        <v>144</v>
      </c>
    </row>
    <row r="92" spans="1:23" x14ac:dyDescent="0.35">
      <c r="A92" s="3">
        <v>247992</v>
      </c>
      <c r="B92" t="s">
        <v>23</v>
      </c>
      <c r="D92" t="s">
        <v>24</v>
      </c>
      <c r="F92" t="s">
        <v>5</v>
      </c>
      <c r="G92" t="s">
        <v>25</v>
      </c>
      <c r="K92">
        <v>-95.664500000000004</v>
      </c>
      <c r="L92">
        <v>39.385300000000001</v>
      </c>
      <c r="M92" t="s">
        <v>45</v>
      </c>
      <c r="N92" s="3" t="s">
        <v>75</v>
      </c>
      <c r="O92" t="s">
        <v>42</v>
      </c>
      <c r="P92" s="1">
        <v>45257</v>
      </c>
      <c r="Q92">
        <v>0</v>
      </c>
      <c r="R92">
        <v>8</v>
      </c>
      <c r="S92">
        <v>5.9</v>
      </c>
      <c r="T92">
        <v>5.0999999999999996</v>
      </c>
      <c r="U92" s="2">
        <v>2200</v>
      </c>
      <c r="V92">
        <v>182</v>
      </c>
      <c r="W92">
        <v>113</v>
      </c>
    </row>
    <row r="93" spans="1:23" x14ac:dyDescent="0.35">
      <c r="A93" s="3">
        <v>247971</v>
      </c>
      <c r="B93" t="s">
        <v>59</v>
      </c>
      <c r="D93" t="s">
        <v>24</v>
      </c>
      <c r="F93" t="s">
        <v>5</v>
      </c>
      <c r="G93" t="s">
        <v>49</v>
      </c>
      <c r="K93">
        <v>-95.667699999999996</v>
      </c>
      <c r="L93">
        <v>39.389499999999998</v>
      </c>
      <c r="M93" t="s">
        <v>60</v>
      </c>
      <c r="N93" s="3" t="s">
        <v>65</v>
      </c>
      <c r="O93" t="s">
        <v>42</v>
      </c>
      <c r="P93" s="1">
        <v>45257</v>
      </c>
      <c r="Q93">
        <v>0</v>
      </c>
      <c r="R93">
        <v>8</v>
      </c>
      <c r="S93">
        <v>6.3</v>
      </c>
      <c r="T93">
        <v>4</v>
      </c>
      <c r="U93" s="2">
        <v>2195</v>
      </c>
      <c r="V93">
        <v>172</v>
      </c>
      <c r="W93">
        <v>96</v>
      </c>
    </row>
    <row r="94" spans="1:23" x14ac:dyDescent="0.35">
      <c r="A94" s="3">
        <v>247977</v>
      </c>
      <c r="B94" t="s">
        <v>59</v>
      </c>
      <c r="D94" t="s">
        <v>24</v>
      </c>
      <c r="F94" t="s">
        <v>5</v>
      </c>
      <c r="G94" t="s">
        <v>49</v>
      </c>
      <c r="K94">
        <v>-95.668400000000005</v>
      </c>
      <c r="L94">
        <v>39.387500000000003</v>
      </c>
      <c r="M94" t="s">
        <v>60</v>
      </c>
      <c r="N94" s="3" t="s">
        <v>76</v>
      </c>
      <c r="O94" t="s">
        <v>42</v>
      </c>
      <c r="P94" s="1">
        <v>45257</v>
      </c>
      <c r="Q94">
        <v>0</v>
      </c>
      <c r="R94">
        <v>8</v>
      </c>
      <c r="S94">
        <v>5.5</v>
      </c>
      <c r="T94">
        <v>4.2</v>
      </c>
      <c r="U94" s="2">
        <v>2190</v>
      </c>
      <c r="V94">
        <v>162</v>
      </c>
      <c r="W94">
        <v>72</v>
      </c>
    </row>
    <row r="95" spans="1:23" x14ac:dyDescent="0.35">
      <c r="A95" s="3">
        <v>247979</v>
      </c>
      <c r="B95" t="s">
        <v>59</v>
      </c>
      <c r="D95" t="s">
        <v>24</v>
      </c>
      <c r="F95" t="s">
        <v>5</v>
      </c>
      <c r="G95" t="s">
        <v>49</v>
      </c>
      <c r="K95">
        <v>-95.666399999999996</v>
      </c>
      <c r="L95">
        <v>39.387500000000003</v>
      </c>
      <c r="M95" t="s">
        <v>60</v>
      </c>
      <c r="N95" s="3" t="s">
        <v>67</v>
      </c>
      <c r="O95" t="s">
        <v>42</v>
      </c>
      <c r="P95" s="1">
        <v>45257</v>
      </c>
      <c r="Q95">
        <v>0</v>
      </c>
      <c r="R95">
        <v>8</v>
      </c>
      <c r="S95">
        <v>5.9</v>
      </c>
      <c r="T95">
        <v>3.7</v>
      </c>
      <c r="U95" s="2">
        <v>2183</v>
      </c>
      <c r="V95">
        <v>163</v>
      </c>
      <c r="W95">
        <v>92</v>
      </c>
    </row>
    <row r="96" spans="1:23" x14ac:dyDescent="0.35">
      <c r="A96" s="3">
        <v>54185</v>
      </c>
      <c r="B96" t="s">
        <v>23</v>
      </c>
      <c r="D96" t="s">
        <v>24</v>
      </c>
      <c r="F96" t="s">
        <v>48</v>
      </c>
      <c r="G96" t="s">
        <v>49</v>
      </c>
      <c r="K96">
        <v>-95.754300000000001</v>
      </c>
      <c r="L96">
        <v>39.511000000000003</v>
      </c>
      <c r="M96" t="s">
        <v>86</v>
      </c>
      <c r="N96" s="3" t="s">
        <v>101</v>
      </c>
      <c r="O96" t="s">
        <v>28</v>
      </c>
      <c r="P96" s="1">
        <v>45394</v>
      </c>
      <c r="Q96">
        <v>0</v>
      </c>
      <c r="R96">
        <v>8</v>
      </c>
      <c r="S96">
        <v>5.2</v>
      </c>
      <c r="T96">
        <v>3.5</v>
      </c>
      <c r="U96" s="2">
        <v>2183</v>
      </c>
      <c r="V96">
        <v>210</v>
      </c>
      <c r="W96">
        <v>59</v>
      </c>
    </row>
    <row r="97" spans="1:23" x14ac:dyDescent="0.35">
      <c r="A97" s="3">
        <v>54182</v>
      </c>
      <c r="B97" t="s">
        <v>23</v>
      </c>
      <c r="D97" t="s">
        <v>24</v>
      </c>
      <c r="F97" t="s">
        <v>48</v>
      </c>
      <c r="G97" t="s">
        <v>49</v>
      </c>
      <c r="K97">
        <v>-95.754300000000001</v>
      </c>
      <c r="L97">
        <v>39.512099999999997</v>
      </c>
      <c r="M97" t="s">
        <v>86</v>
      </c>
      <c r="N97" s="3" t="s">
        <v>102</v>
      </c>
      <c r="O97" t="s">
        <v>28</v>
      </c>
      <c r="P97" s="1">
        <v>45394</v>
      </c>
      <c r="Q97">
        <v>0</v>
      </c>
      <c r="R97">
        <v>8</v>
      </c>
      <c r="S97">
        <v>5.3</v>
      </c>
      <c r="T97">
        <v>3.9</v>
      </c>
      <c r="U97" s="2">
        <v>2169</v>
      </c>
      <c r="V97">
        <v>187</v>
      </c>
      <c r="W97">
        <v>243</v>
      </c>
    </row>
    <row r="98" spans="1:23" x14ac:dyDescent="0.35">
      <c r="A98" s="3">
        <v>54181</v>
      </c>
      <c r="B98" t="s">
        <v>23</v>
      </c>
      <c r="D98" t="s">
        <v>24</v>
      </c>
      <c r="F98" t="s">
        <v>48</v>
      </c>
      <c r="G98" t="s">
        <v>49</v>
      </c>
      <c r="K98">
        <v>-95.755300000000005</v>
      </c>
      <c r="L98">
        <v>39.512099999999997</v>
      </c>
      <c r="M98" t="s">
        <v>86</v>
      </c>
      <c r="N98" s="3" t="s">
        <v>103</v>
      </c>
      <c r="O98" t="s">
        <v>28</v>
      </c>
      <c r="P98" s="1">
        <v>45394</v>
      </c>
      <c r="Q98">
        <v>0</v>
      </c>
      <c r="R98">
        <v>8</v>
      </c>
      <c r="S98">
        <v>5.3</v>
      </c>
      <c r="T98">
        <v>3.5</v>
      </c>
      <c r="U98" s="2">
        <v>2152</v>
      </c>
      <c r="V98">
        <v>177</v>
      </c>
      <c r="W98">
        <v>99</v>
      </c>
    </row>
    <row r="99" spans="1:23" x14ac:dyDescent="0.35">
      <c r="A99" s="3">
        <v>247947</v>
      </c>
      <c r="B99" t="s">
        <v>59</v>
      </c>
      <c r="D99" t="s">
        <v>24</v>
      </c>
      <c r="F99" t="s">
        <v>48</v>
      </c>
      <c r="G99" t="s">
        <v>49</v>
      </c>
      <c r="K99">
        <v>-95.7517</v>
      </c>
      <c r="L99">
        <v>39.508699999999997</v>
      </c>
      <c r="M99" t="s">
        <v>79</v>
      </c>
      <c r="N99" s="3" t="s">
        <v>104</v>
      </c>
      <c r="O99" t="s">
        <v>42</v>
      </c>
      <c r="P99" s="1">
        <v>45257</v>
      </c>
      <c r="Q99">
        <v>0</v>
      </c>
      <c r="R99">
        <v>8</v>
      </c>
      <c r="S99">
        <v>5.2</v>
      </c>
      <c r="T99">
        <v>4.3</v>
      </c>
      <c r="U99" s="2">
        <v>2129</v>
      </c>
      <c r="V99">
        <v>138</v>
      </c>
      <c r="W99">
        <v>171</v>
      </c>
    </row>
    <row r="100" spans="1:23" x14ac:dyDescent="0.35">
      <c r="A100" s="3">
        <v>247968</v>
      </c>
      <c r="B100" t="s">
        <v>23</v>
      </c>
      <c r="D100" t="s">
        <v>47</v>
      </c>
      <c r="F100" t="s">
        <v>48</v>
      </c>
      <c r="G100" t="s">
        <v>49</v>
      </c>
      <c r="K100">
        <v>-95.665899999999993</v>
      </c>
      <c r="L100">
        <v>39.3795</v>
      </c>
      <c r="M100" t="s">
        <v>50</v>
      </c>
      <c r="N100" s="3" t="s">
        <v>71</v>
      </c>
      <c r="O100" t="s">
        <v>42</v>
      </c>
      <c r="P100" s="1">
        <v>45257</v>
      </c>
      <c r="Q100">
        <v>0</v>
      </c>
      <c r="R100">
        <v>8</v>
      </c>
      <c r="S100">
        <v>6</v>
      </c>
      <c r="T100">
        <v>3.2</v>
      </c>
      <c r="U100" s="2">
        <v>2123</v>
      </c>
      <c r="V100">
        <v>121</v>
      </c>
      <c r="W100">
        <v>101</v>
      </c>
    </row>
    <row r="101" spans="1:23" x14ac:dyDescent="0.35">
      <c r="A101" s="3">
        <v>247998</v>
      </c>
      <c r="B101" t="s">
        <v>23</v>
      </c>
      <c r="D101" t="s">
        <v>24</v>
      </c>
      <c r="F101" t="s">
        <v>5</v>
      </c>
      <c r="G101" t="s">
        <v>25</v>
      </c>
      <c r="K101">
        <v>-95.665599999999998</v>
      </c>
      <c r="L101">
        <v>39.383800000000001</v>
      </c>
      <c r="M101" t="s">
        <v>45</v>
      </c>
      <c r="N101" s="3" t="s">
        <v>90</v>
      </c>
      <c r="O101" t="s">
        <v>42</v>
      </c>
      <c r="P101" s="1">
        <v>45257</v>
      </c>
      <c r="Q101">
        <v>0</v>
      </c>
      <c r="R101">
        <v>8</v>
      </c>
      <c r="S101">
        <v>6.1</v>
      </c>
      <c r="T101">
        <v>4.8</v>
      </c>
      <c r="U101" s="2">
        <v>2119</v>
      </c>
      <c r="V101">
        <v>133</v>
      </c>
      <c r="W101">
        <v>165</v>
      </c>
    </row>
    <row r="102" spans="1:23" x14ac:dyDescent="0.35">
      <c r="A102" s="3">
        <v>247995</v>
      </c>
      <c r="B102" t="s">
        <v>23</v>
      </c>
      <c r="D102" t="s">
        <v>24</v>
      </c>
      <c r="F102" t="s">
        <v>5</v>
      </c>
      <c r="G102" t="s">
        <v>25</v>
      </c>
      <c r="K102">
        <v>-95.665599999999998</v>
      </c>
      <c r="L102">
        <v>39.384599999999999</v>
      </c>
      <c r="M102" t="s">
        <v>45</v>
      </c>
      <c r="N102" s="3" t="s">
        <v>93</v>
      </c>
      <c r="O102" t="s">
        <v>42</v>
      </c>
      <c r="P102" s="1">
        <v>45257</v>
      </c>
      <c r="Q102">
        <v>0</v>
      </c>
      <c r="R102">
        <v>8</v>
      </c>
      <c r="S102">
        <v>6.3</v>
      </c>
      <c r="T102">
        <v>5.9</v>
      </c>
      <c r="U102" s="2">
        <v>2099</v>
      </c>
      <c r="V102">
        <v>219</v>
      </c>
      <c r="W102">
        <v>109</v>
      </c>
    </row>
    <row r="103" spans="1:23" x14ac:dyDescent="0.35">
      <c r="A103" s="3">
        <v>247954</v>
      </c>
      <c r="B103" t="s">
        <v>23</v>
      </c>
      <c r="D103" t="s">
        <v>24</v>
      </c>
      <c r="F103" t="s">
        <v>48</v>
      </c>
      <c r="G103" t="s">
        <v>49</v>
      </c>
      <c r="K103">
        <v>-95.755399999999995</v>
      </c>
      <c r="L103">
        <v>39.508699999999997</v>
      </c>
      <c r="M103" t="s">
        <v>53</v>
      </c>
      <c r="N103" s="3" t="s">
        <v>81</v>
      </c>
      <c r="O103" t="s">
        <v>42</v>
      </c>
      <c r="P103" s="1">
        <v>45257</v>
      </c>
      <c r="Q103">
        <v>0</v>
      </c>
      <c r="R103">
        <v>8</v>
      </c>
      <c r="S103">
        <v>5.4</v>
      </c>
      <c r="T103">
        <v>4.8</v>
      </c>
      <c r="U103" s="2">
        <v>2093</v>
      </c>
      <c r="V103">
        <v>127</v>
      </c>
      <c r="W103">
        <v>181</v>
      </c>
    </row>
    <row r="104" spans="1:23" x14ac:dyDescent="0.35">
      <c r="A104" s="3">
        <v>54188</v>
      </c>
      <c r="B104" t="s">
        <v>59</v>
      </c>
      <c r="D104" t="s">
        <v>24</v>
      </c>
      <c r="F104" t="s">
        <v>48</v>
      </c>
      <c r="G104" t="s">
        <v>49</v>
      </c>
      <c r="K104">
        <v>-95.7517</v>
      </c>
      <c r="L104">
        <v>39.509900000000002</v>
      </c>
      <c r="M104" t="s">
        <v>79</v>
      </c>
      <c r="N104" s="3" t="s">
        <v>105</v>
      </c>
      <c r="O104" t="s">
        <v>28</v>
      </c>
      <c r="P104" s="1">
        <v>45394</v>
      </c>
      <c r="Q104">
        <v>0</v>
      </c>
      <c r="R104">
        <v>8</v>
      </c>
      <c r="S104">
        <v>4.9000000000000004</v>
      </c>
      <c r="T104">
        <v>3.9</v>
      </c>
      <c r="U104" s="2">
        <v>2093</v>
      </c>
      <c r="V104">
        <v>177</v>
      </c>
      <c r="W104">
        <v>149</v>
      </c>
    </row>
    <row r="105" spans="1:23" x14ac:dyDescent="0.35">
      <c r="A105" s="3">
        <v>247997</v>
      </c>
      <c r="B105" t="s">
        <v>23</v>
      </c>
      <c r="D105" t="s">
        <v>24</v>
      </c>
      <c r="F105" t="s">
        <v>5</v>
      </c>
      <c r="G105" t="s">
        <v>25</v>
      </c>
      <c r="K105">
        <v>-95.665599999999998</v>
      </c>
      <c r="L105">
        <v>39.383800000000001</v>
      </c>
      <c r="M105" t="s">
        <v>45</v>
      </c>
      <c r="N105" s="3" t="s">
        <v>82</v>
      </c>
      <c r="O105" t="s">
        <v>42</v>
      </c>
      <c r="P105" s="1">
        <v>45257</v>
      </c>
      <c r="Q105">
        <v>0</v>
      </c>
      <c r="R105">
        <v>8</v>
      </c>
      <c r="S105">
        <v>6.1</v>
      </c>
      <c r="T105">
        <v>5.3</v>
      </c>
      <c r="U105" s="2">
        <v>2087</v>
      </c>
      <c r="V105">
        <v>135</v>
      </c>
      <c r="W105">
        <v>87</v>
      </c>
    </row>
    <row r="106" spans="1:23" x14ac:dyDescent="0.35">
      <c r="A106" s="3">
        <v>247940</v>
      </c>
      <c r="B106" t="s">
        <v>23</v>
      </c>
      <c r="D106" t="s">
        <v>24</v>
      </c>
      <c r="F106" t="s">
        <v>48</v>
      </c>
      <c r="G106" t="s">
        <v>49</v>
      </c>
      <c r="K106">
        <v>-95.756600000000006</v>
      </c>
      <c r="L106">
        <v>39.511000000000003</v>
      </c>
      <c r="M106" t="s">
        <v>86</v>
      </c>
      <c r="N106" s="3" t="s">
        <v>87</v>
      </c>
      <c r="O106" t="s">
        <v>42</v>
      </c>
      <c r="P106" s="1">
        <v>45257</v>
      </c>
      <c r="Q106">
        <v>0</v>
      </c>
      <c r="R106">
        <v>8</v>
      </c>
      <c r="S106">
        <v>5.6</v>
      </c>
      <c r="T106">
        <v>4</v>
      </c>
      <c r="U106" s="2">
        <v>2071</v>
      </c>
      <c r="V106">
        <v>126</v>
      </c>
      <c r="W106">
        <v>168</v>
      </c>
    </row>
    <row r="107" spans="1:23" x14ac:dyDescent="0.35">
      <c r="A107" s="3">
        <v>247949</v>
      </c>
      <c r="B107" t="s">
        <v>59</v>
      </c>
      <c r="D107" t="s">
        <v>24</v>
      </c>
      <c r="F107" t="s">
        <v>48</v>
      </c>
      <c r="G107" t="s">
        <v>49</v>
      </c>
      <c r="K107">
        <v>-95.751599999999996</v>
      </c>
      <c r="L107">
        <v>39.507599999999996</v>
      </c>
      <c r="M107" t="s">
        <v>79</v>
      </c>
      <c r="N107" s="3" t="s">
        <v>98</v>
      </c>
      <c r="O107" t="s">
        <v>42</v>
      </c>
      <c r="P107" s="1">
        <v>45257</v>
      </c>
      <c r="Q107">
        <v>0</v>
      </c>
      <c r="R107">
        <v>8</v>
      </c>
      <c r="S107">
        <v>5.3</v>
      </c>
      <c r="T107">
        <v>4.4000000000000004</v>
      </c>
      <c r="U107" s="2">
        <v>2067</v>
      </c>
      <c r="V107">
        <v>140</v>
      </c>
      <c r="W107">
        <v>223</v>
      </c>
    </row>
    <row r="108" spans="1:23" x14ac:dyDescent="0.35">
      <c r="A108" s="3">
        <v>247996</v>
      </c>
      <c r="B108" t="s">
        <v>23</v>
      </c>
      <c r="D108" t="s">
        <v>24</v>
      </c>
      <c r="F108" t="s">
        <v>5</v>
      </c>
      <c r="G108" t="s">
        <v>25</v>
      </c>
      <c r="K108">
        <v>-95.664699999999996</v>
      </c>
      <c r="L108">
        <v>39.384500000000003</v>
      </c>
      <c r="M108" t="s">
        <v>45</v>
      </c>
      <c r="N108" s="3" t="s">
        <v>96</v>
      </c>
      <c r="O108" t="s">
        <v>42</v>
      </c>
      <c r="P108" s="1">
        <v>45257</v>
      </c>
      <c r="Q108">
        <v>0</v>
      </c>
      <c r="R108">
        <v>8</v>
      </c>
      <c r="S108">
        <v>6.2</v>
      </c>
      <c r="T108">
        <v>5.9</v>
      </c>
      <c r="U108" s="2">
        <v>2067</v>
      </c>
      <c r="V108">
        <v>161</v>
      </c>
      <c r="W108">
        <v>168</v>
      </c>
    </row>
    <row r="109" spans="1:23" x14ac:dyDescent="0.35">
      <c r="A109" s="3">
        <v>247943</v>
      </c>
      <c r="B109" t="s">
        <v>59</v>
      </c>
      <c r="D109" t="s">
        <v>24</v>
      </c>
      <c r="F109" t="s">
        <v>48</v>
      </c>
      <c r="G109" t="s">
        <v>49</v>
      </c>
      <c r="K109">
        <v>-95.753200000000007</v>
      </c>
      <c r="L109">
        <v>39.512099999999997</v>
      </c>
      <c r="M109" t="s">
        <v>79</v>
      </c>
      <c r="N109" s="3" t="s">
        <v>106</v>
      </c>
      <c r="O109" t="s">
        <v>42</v>
      </c>
      <c r="P109" s="1">
        <v>45257</v>
      </c>
      <c r="Q109">
        <v>0</v>
      </c>
      <c r="R109">
        <v>8</v>
      </c>
      <c r="S109">
        <v>4.8</v>
      </c>
      <c r="T109">
        <v>3.9</v>
      </c>
      <c r="U109" s="2">
        <v>2059</v>
      </c>
      <c r="V109">
        <v>125</v>
      </c>
      <c r="W109">
        <v>248</v>
      </c>
    </row>
    <row r="110" spans="1:23" x14ac:dyDescent="0.35">
      <c r="A110" s="3">
        <v>54190</v>
      </c>
      <c r="B110" t="s">
        <v>59</v>
      </c>
      <c r="D110" t="s">
        <v>24</v>
      </c>
      <c r="F110" t="s">
        <v>48</v>
      </c>
      <c r="G110" t="s">
        <v>49</v>
      </c>
      <c r="K110">
        <v>-95.7517</v>
      </c>
      <c r="L110">
        <v>39.508699999999997</v>
      </c>
      <c r="M110" t="s">
        <v>79</v>
      </c>
      <c r="N110" s="3" t="s">
        <v>104</v>
      </c>
      <c r="O110" t="s">
        <v>28</v>
      </c>
      <c r="P110" s="1">
        <v>45394</v>
      </c>
      <c r="Q110">
        <v>0</v>
      </c>
      <c r="R110">
        <v>8</v>
      </c>
      <c r="S110">
        <v>5</v>
      </c>
      <c r="T110">
        <v>3.9</v>
      </c>
      <c r="U110" s="2">
        <v>2056</v>
      </c>
      <c r="V110">
        <v>149</v>
      </c>
      <c r="W110">
        <v>363</v>
      </c>
    </row>
    <row r="111" spans="1:23" x14ac:dyDescent="0.35">
      <c r="A111" s="3">
        <v>247975</v>
      </c>
      <c r="B111" t="s">
        <v>59</v>
      </c>
      <c r="D111" t="s">
        <v>24</v>
      </c>
      <c r="F111" t="s">
        <v>5</v>
      </c>
      <c r="G111" t="s">
        <v>49</v>
      </c>
      <c r="K111">
        <v>-95.667699999999996</v>
      </c>
      <c r="L111">
        <v>39.388500000000001</v>
      </c>
      <c r="M111" t="s">
        <v>60</v>
      </c>
      <c r="N111" s="3" t="s">
        <v>83</v>
      </c>
      <c r="O111" t="s">
        <v>42</v>
      </c>
      <c r="P111" s="1">
        <v>45257</v>
      </c>
      <c r="Q111">
        <v>0</v>
      </c>
      <c r="R111">
        <v>8</v>
      </c>
      <c r="S111">
        <v>6</v>
      </c>
      <c r="T111">
        <v>3.5</v>
      </c>
      <c r="U111" s="2">
        <v>2051</v>
      </c>
      <c r="V111">
        <v>152</v>
      </c>
      <c r="W111">
        <v>231</v>
      </c>
    </row>
    <row r="112" spans="1:23" x14ac:dyDescent="0.35">
      <c r="A112" s="3">
        <v>54210</v>
      </c>
      <c r="B112" t="s">
        <v>23</v>
      </c>
      <c r="D112" t="s">
        <v>47</v>
      </c>
      <c r="F112" t="s">
        <v>48</v>
      </c>
      <c r="G112" t="s">
        <v>49</v>
      </c>
      <c r="K112">
        <v>-95.665899999999993</v>
      </c>
      <c r="L112">
        <v>39.380499999999998</v>
      </c>
      <c r="M112" t="s">
        <v>50</v>
      </c>
      <c r="N112" s="3" t="s">
        <v>107</v>
      </c>
      <c r="O112" t="s">
        <v>28</v>
      </c>
      <c r="P112" s="1">
        <v>45394</v>
      </c>
      <c r="Q112">
        <v>0</v>
      </c>
      <c r="R112">
        <v>8</v>
      </c>
      <c r="S112">
        <v>6.3</v>
      </c>
      <c r="T112">
        <v>2.6</v>
      </c>
      <c r="U112" s="2">
        <v>2013</v>
      </c>
      <c r="V112">
        <v>197</v>
      </c>
      <c r="W112">
        <v>280</v>
      </c>
    </row>
    <row r="113" spans="1:23" x14ac:dyDescent="0.35">
      <c r="A113" s="3">
        <v>54179</v>
      </c>
      <c r="B113" t="s">
        <v>23</v>
      </c>
      <c r="D113" t="s">
        <v>24</v>
      </c>
      <c r="F113" t="s">
        <v>48</v>
      </c>
      <c r="G113" t="s">
        <v>49</v>
      </c>
      <c r="K113">
        <v>-95.754300000000001</v>
      </c>
      <c r="L113">
        <v>39.513199999999998</v>
      </c>
      <c r="M113" t="s">
        <v>86</v>
      </c>
      <c r="N113" s="3" t="s">
        <v>108</v>
      </c>
      <c r="O113" t="s">
        <v>28</v>
      </c>
      <c r="P113" s="1">
        <v>45394</v>
      </c>
      <c r="Q113">
        <v>0</v>
      </c>
      <c r="R113">
        <v>8</v>
      </c>
      <c r="S113">
        <v>5.3</v>
      </c>
      <c r="T113">
        <v>3.9</v>
      </c>
      <c r="U113" s="2">
        <v>2009</v>
      </c>
      <c r="V113">
        <v>132</v>
      </c>
      <c r="W113">
        <v>103</v>
      </c>
    </row>
    <row r="114" spans="1:23" x14ac:dyDescent="0.35">
      <c r="A114" s="3">
        <v>247945</v>
      </c>
      <c r="B114" t="s">
        <v>59</v>
      </c>
      <c r="D114" t="s">
        <v>24</v>
      </c>
      <c r="F114" t="s">
        <v>48</v>
      </c>
      <c r="G114" t="s">
        <v>49</v>
      </c>
      <c r="K114">
        <v>-95.7517</v>
      </c>
      <c r="L114">
        <v>39.509900000000002</v>
      </c>
      <c r="M114" t="s">
        <v>79</v>
      </c>
      <c r="N114" s="3" t="s">
        <v>105</v>
      </c>
      <c r="O114" t="s">
        <v>42</v>
      </c>
      <c r="P114" s="1">
        <v>45257</v>
      </c>
      <c r="Q114">
        <v>0</v>
      </c>
      <c r="R114">
        <v>8</v>
      </c>
      <c r="S114">
        <v>5.0999999999999996</v>
      </c>
      <c r="T114">
        <v>4.2</v>
      </c>
      <c r="U114" s="2">
        <v>2007</v>
      </c>
      <c r="V114">
        <v>127</v>
      </c>
      <c r="W114">
        <v>85</v>
      </c>
    </row>
    <row r="115" spans="1:23" x14ac:dyDescent="0.35">
      <c r="A115" s="3">
        <v>247946</v>
      </c>
      <c r="B115" t="s">
        <v>59</v>
      </c>
      <c r="D115" t="s">
        <v>24</v>
      </c>
      <c r="F115" t="s">
        <v>48</v>
      </c>
      <c r="G115" t="s">
        <v>49</v>
      </c>
      <c r="K115">
        <v>-95.752799999999993</v>
      </c>
      <c r="L115">
        <v>39.508699999999997</v>
      </c>
      <c r="M115" t="s">
        <v>79</v>
      </c>
      <c r="N115" s="3" t="s">
        <v>91</v>
      </c>
      <c r="O115" t="s">
        <v>42</v>
      </c>
      <c r="P115" s="1">
        <v>45257</v>
      </c>
      <c r="Q115">
        <v>0</v>
      </c>
      <c r="R115">
        <v>8</v>
      </c>
      <c r="S115">
        <v>5.3</v>
      </c>
      <c r="T115">
        <v>4.5999999999999996</v>
      </c>
      <c r="U115" s="2">
        <v>1996</v>
      </c>
      <c r="V115">
        <v>135</v>
      </c>
      <c r="W115">
        <v>124</v>
      </c>
    </row>
    <row r="116" spans="1:23" x14ac:dyDescent="0.35">
      <c r="A116" s="3">
        <v>247962</v>
      </c>
      <c r="B116" t="s">
        <v>23</v>
      </c>
      <c r="D116" t="s">
        <v>47</v>
      </c>
      <c r="F116" t="s">
        <v>48</v>
      </c>
      <c r="G116" t="s">
        <v>49</v>
      </c>
      <c r="K116">
        <v>-95.667599999999993</v>
      </c>
      <c r="L116">
        <v>39.381500000000003</v>
      </c>
      <c r="M116" t="s">
        <v>50</v>
      </c>
      <c r="N116" s="3" t="s">
        <v>85</v>
      </c>
      <c r="O116" t="s">
        <v>42</v>
      </c>
      <c r="P116" s="1">
        <v>45257</v>
      </c>
      <c r="Q116">
        <v>0</v>
      </c>
      <c r="R116">
        <v>8</v>
      </c>
      <c r="S116">
        <v>6</v>
      </c>
      <c r="T116">
        <v>2.9</v>
      </c>
      <c r="U116" s="2">
        <v>1995</v>
      </c>
      <c r="V116">
        <v>107</v>
      </c>
      <c r="W116">
        <v>88</v>
      </c>
    </row>
    <row r="117" spans="1:23" x14ac:dyDescent="0.35">
      <c r="A117" s="3">
        <v>54203</v>
      </c>
      <c r="B117" t="s">
        <v>23</v>
      </c>
      <c r="D117" t="s">
        <v>47</v>
      </c>
      <c r="F117" t="s">
        <v>48</v>
      </c>
      <c r="G117" t="s">
        <v>49</v>
      </c>
      <c r="K117">
        <v>-95.667699999999996</v>
      </c>
      <c r="L117">
        <v>39.382599999999996</v>
      </c>
      <c r="M117" t="s">
        <v>50</v>
      </c>
      <c r="N117" s="3" t="s">
        <v>109</v>
      </c>
      <c r="O117" t="s">
        <v>28</v>
      </c>
      <c r="P117" s="1">
        <v>45394</v>
      </c>
      <c r="Q117">
        <v>0</v>
      </c>
      <c r="R117">
        <v>8</v>
      </c>
      <c r="S117">
        <v>5.7</v>
      </c>
      <c r="T117">
        <v>2.7</v>
      </c>
      <c r="U117" s="2">
        <v>1985</v>
      </c>
      <c r="V117">
        <v>168</v>
      </c>
      <c r="W117">
        <v>383</v>
      </c>
    </row>
    <row r="118" spans="1:23" x14ac:dyDescent="0.35">
      <c r="A118" s="3">
        <v>54187</v>
      </c>
      <c r="B118" t="s">
        <v>59</v>
      </c>
      <c r="D118" t="s">
        <v>24</v>
      </c>
      <c r="F118" t="s">
        <v>48</v>
      </c>
      <c r="G118" t="s">
        <v>49</v>
      </c>
      <c r="K118">
        <v>-95.753200000000007</v>
      </c>
      <c r="L118">
        <v>39.509900000000002</v>
      </c>
      <c r="M118" t="s">
        <v>79</v>
      </c>
      <c r="N118" s="3" t="s">
        <v>110</v>
      </c>
      <c r="O118" t="s">
        <v>28</v>
      </c>
      <c r="P118" s="1">
        <v>45394</v>
      </c>
      <c r="Q118">
        <v>0</v>
      </c>
      <c r="R118">
        <v>8</v>
      </c>
      <c r="S118">
        <v>5.0999999999999996</v>
      </c>
      <c r="T118">
        <v>3.8</v>
      </c>
      <c r="U118" s="2">
        <v>1950</v>
      </c>
      <c r="V118">
        <v>189</v>
      </c>
      <c r="W118">
        <v>353</v>
      </c>
    </row>
    <row r="119" spans="1:23" x14ac:dyDescent="0.35">
      <c r="A119" s="3">
        <v>247951</v>
      </c>
      <c r="B119" t="s">
        <v>23</v>
      </c>
      <c r="D119" t="s">
        <v>24</v>
      </c>
      <c r="F119" t="s">
        <v>48</v>
      </c>
      <c r="G119" t="s">
        <v>49</v>
      </c>
      <c r="K119">
        <v>-95.755399999999995</v>
      </c>
      <c r="L119">
        <v>39.509900000000002</v>
      </c>
      <c r="M119" t="s">
        <v>53</v>
      </c>
      <c r="N119" s="3" t="s">
        <v>69</v>
      </c>
      <c r="O119" t="s">
        <v>42</v>
      </c>
      <c r="P119" s="1">
        <v>45257</v>
      </c>
      <c r="Q119">
        <v>0</v>
      </c>
      <c r="R119">
        <v>8</v>
      </c>
      <c r="S119">
        <v>5.3</v>
      </c>
      <c r="T119">
        <v>4.0999999999999996</v>
      </c>
      <c r="U119" s="2">
        <v>1949</v>
      </c>
      <c r="V119">
        <v>139</v>
      </c>
      <c r="W119">
        <v>308</v>
      </c>
    </row>
    <row r="120" spans="1:23" x14ac:dyDescent="0.35">
      <c r="A120" s="3">
        <v>247970</v>
      </c>
      <c r="B120" t="s">
        <v>59</v>
      </c>
      <c r="D120" t="s">
        <v>24</v>
      </c>
      <c r="F120" t="s">
        <v>5</v>
      </c>
      <c r="G120" t="s">
        <v>49</v>
      </c>
      <c r="K120">
        <v>-95.668700000000001</v>
      </c>
      <c r="L120">
        <v>39.389499999999998</v>
      </c>
      <c r="M120" t="s">
        <v>60</v>
      </c>
      <c r="N120" s="3" t="s">
        <v>94</v>
      </c>
      <c r="O120" t="s">
        <v>42</v>
      </c>
      <c r="P120" s="1">
        <v>45257</v>
      </c>
      <c r="Q120">
        <v>0</v>
      </c>
      <c r="R120">
        <v>8</v>
      </c>
      <c r="S120">
        <v>6.1</v>
      </c>
      <c r="T120">
        <v>4.8</v>
      </c>
      <c r="U120" s="2">
        <v>1930</v>
      </c>
      <c r="V120">
        <v>160</v>
      </c>
      <c r="W120">
        <v>312</v>
      </c>
    </row>
    <row r="121" spans="1:23" x14ac:dyDescent="0.35">
      <c r="A121" s="3">
        <v>247935</v>
      </c>
      <c r="B121" t="s">
        <v>23</v>
      </c>
      <c r="D121" t="s">
        <v>24</v>
      </c>
      <c r="F121" t="s">
        <v>48</v>
      </c>
      <c r="G121" t="s">
        <v>49</v>
      </c>
      <c r="K121">
        <v>-95.755399999999995</v>
      </c>
      <c r="L121">
        <v>39.513199999999998</v>
      </c>
      <c r="M121" t="s">
        <v>86</v>
      </c>
      <c r="N121" s="3" t="s">
        <v>111</v>
      </c>
      <c r="O121" t="s">
        <v>42</v>
      </c>
      <c r="P121" s="1">
        <v>45257</v>
      </c>
      <c r="Q121">
        <v>0</v>
      </c>
      <c r="R121">
        <v>8</v>
      </c>
      <c r="S121">
        <v>5.0999999999999996</v>
      </c>
      <c r="T121">
        <v>4.4000000000000004</v>
      </c>
      <c r="U121" s="2">
        <v>1921</v>
      </c>
      <c r="V121">
        <v>158</v>
      </c>
      <c r="W121">
        <v>198</v>
      </c>
    </row>
    <row r="122" spans="1:23" x14ac:dyDescent="0.35">
      <c r="A122" s="3">
        <v>247991</v>
      </c>
      <c r="B122" t="s">
        <v>23</v>
      </c>
      <c r="D122" t="s">
        <v>24</v>
      </c>
      <c r="F122" t="s">
        <v>5</v>
      </c>
      <c r="G122" t="s">
        <v>25</v>
      </c>
      <c r="K122">
        <v>-95.665599999999998</v>
      </c>
      <c r="L122">
        <v>39.3855</v>
      </c>
      <c r="M122" t="s">
        <v>45</v>
      </c>
      <c r="N122" s="3" t="s">
        <v>84</v>
      </c>
      <c r="O122" t="s">
        <v>42</v>
      </c>
      <c r="P122" s="1">
        <v>45257</v>
      </c>
      <c r="Q122">
        <v>0</v>
      </c>
      <c r="R122">
        <v>8</v>
      </c>
      <c r="S122">
        <v>6</v>
      </c>
      <c r="T122">
        <v>5.0999999999999996</v>
      </c>
      <c r="U122" s="2">
        <v>1895</v>
      </c>
      <c r="V122">
        <v>153</v>
      </c>
      <c r="W122">
        <v>259</v>
      </c>
    </row>
    <row r="123" spans="1:23" x14ac:dyDescent="0.35">
      <c r="A123" s="3">
        <v>54186</v>
      </c>
      <c r="B123" t="s">
        <v>59</v>
      </c>
      <c r="D123" t="s">
        <v>24</v>
      </c>
      <c r="F123" t="s">
        <v>48</v>
      </c>
      <c r="G123" t="s">
        <v>49</v>
      </c>
      <c r="K123">
        <v>-95.753200000000007</v>
      </c>
      <c r="L123">
        <v>39.512099999999997</v>
      </c>
      <c r="M123" t="s">
        <v>79</v>
      </c>
      <c r="N123" s="3" t="s">
        <v>106</v>
      </c>
      <c r="O123" t="s">
        <v>28</v>
      </c>
      <c r="P123" s="1">
        <v>45394</v>
      </c>
      <c r="Q123">
        <v>0</v>
      </c>
      <c r="R123">
        <v>8</v>
      </c>
      <c r="S123">
        <v>5</v>
      </c>
      <c r="T123">
        <v>3.6</v>
      </c>
      <c r="U123" s="2">
        <v>1879</v>
      </c>
      <c r="V123">
        <v>158</v>
      </c>
      <c r="W123">
        <v>64</v>
      </c>
    </row>
    <row r="124" spans="1:23" x14ac:dyDescent="0.35">
      <c r="A124" s="3">
        <v>54209</v>
      </c>
      <c r="B124" t="s">
        <v>23</v>
      </c>
      <c r="D124" t="s">
        <v>47</v>
      </c>
      <c r="F124" t="s">
        <v>48</v>
      </c>
      <c r="G124" t="s">
        <v>49</v>
      </c>
      <c r="K124">
        <v>-95.667299999999997</v>
      </c>
      <c r="L124">
        <v>39.380499999999998</v>
      </c>
      <c r="M124" t="s">
        <v>50</v>
      </c>
      <c r="N124" s="3" t="s">
        <v>112</v>
      </c>
      <c r="O124" t="s">
        <v>28</v>
      </c>
      <c r="P124" s="1">
        <v>45394</v>
      </c>
      <c r="Q124">
        <v>0</v>
      </c>
      <c r="R124">
        <v>8</v>
      </c>
      <c r="S124">
        <v>5.9</v>
      </c>
      <c r="T124">
        <v>2.5</v>
      </c>
      <c r="U124" s="2">
        <v>1876</v>
      </c>
      <c r="V124">
        <v>174</v>
      </c>
      <c r="W124">
        <v>118</v>
      </c>
    </row>
    <row r="125" spans="1:23" x14ac:dyDescent="0.35">
      <c r="A125" s="3">
        <v>247974</v>
      </c>
      <c r="B125" t="s">
        <v>59</v>
      </c>
      <c r="D125" t="s">
        <v>24</v>
      </c>
      <c r="F125" t="s">
        <v>5</v>
      </c>
      <c r="G125" t="s">
        <v>49</v>
      </c>
      <c r="K125">
        <v>-95.668700000000001</v>
      </c>
      <c r="L125">
        <v>39.388500000000001</v>
      </c>
      <c r="M125" t="s">
        <v>60</v>
      </c>
      <c r="N125" s="3" t="s">
        <v>97</v>
      </c>
      <c r="O125" t="s">
        <v>42</v>
      </c>
      <c r="P125" s="1">
        <v>45257</v>
      </c>
      <c r="Q125">
        <v>0</v>
      </c>
      <c r="R125">
        <v>8</v>
      </c>
      <c r="S125">
        <v>5.9</v>
      </c>
      <c r="T125">
        <v>4.3</v>
      </c>
      <c r="U125" s="2">
        <v>1834</v>
      </c>
      <c r="V125">
        <v>172</v>
      </c>
      <c r="W125">
        <v>89</v>
      </c>
    </row>
    <row r="126" spans="1:23" x14ac:dyDescent="0.35">
      <c r="A126" s="3">
        <v>54178</v>
      </c>
      <c r="B126" t="s">
        <v>23</v>
      </c>
      <c r="D126" t="s">
        <v>24</v>
      </c>
      <c r="F126" t="s">
        <v>48</v>
      </c>
      <c r="G126" t="s">
        <v>49</v>
      </c>
      <c r="K126">
        <v>-95.755399999999995</v>
      </c>
      <c r="L126">
        <v>39.513199999999998</v>
      </c>
      <c r="M126" t="s">
        <v>86</v>
      </c>
      <c r="N126" s="3" t="s">
        <v>111</v>
      </c>
      <c r="O126" t="s">
        <v>28</v>
      </c>
      <c r="P126" s="1">
        <v>45394</v>
      </c>
      <c r="Q126">
        <v>0</v>
      </c>
      <c r="R126">
        <v>8</v>
      </c>
      <c r="S126">
        <v>5.4</v>
      </c>
      <c r="T126">
        <v>4</v>
      </c>
      <c r="U126" s="2">
        <v>1833</v>
      </c>
      <c r="V126">
        <v>127</v>
      </c>
      <c r="W126">
        <v>47</v>
      </c>
    </row>
    <row r="127" spans="1:23" x14ac:dyDescent="0.35">
      <c r="A127" s="3">
        <v>247944</v>
      </c>
      <c r="B127" t="s">
        <v>59</v>
      </c>
      <c r="D127" t="s">
        <v>24</v>
      </c>
      <c r="F127" t="s">
        <v>48</v>
      </c>
      <c r="G127" t="s">
        <v>49</v>
      </c>
      <c r="K127">
        <v>-95.753200000000007</v>
      </c>
      <c r="L127">
        <v>39.509900000000002</v>
      </c>
      <c r="M127" t="s">
        <v>79</v>
      </c>
      <c r="N127" s="3" t="s">
        <v>110</v>
      </c>
      <c r="O127" t="s">
        <v>42</v>
      </c>
      <c r="P127" s="1">
        <v>45257</v>
      </c>
      <c r="Q127">
        <v>0</v>
      </c>
      <c r="R127">
        <v>8</v>
      </c>
      <c r="S127">
        <v>5.2</v>
      </c>
      <c r="T127">
        <v>4.5</v>
      </c>
      <c r="U127" s="2">
        <v>1811</v>
      </c>
      <c r="V127">
        <v>121</v>
      </c>
      <c r="W127">
        <v>73</v>
      </c>
    </row>
    <row r="128" spans="1:23" x14ac:dyDescent="0.35">
      <c r="A128" s="3">
        <v>247988</v>
      </c>
      <c r="B128" t="s">
        <v>23</v>
      </c>
      <c r="D128" t="s">
        <v>24</v>
      </c>
      <c r="F128" t="s">
        <v>5</v>
      </c>
      <c r="G128" t="s">
        <v>25</v>
      </c>
      <c r="K128">
        <v>-95.665400000000005</v>
      </c>
      <c r="L128">
        <v>39.386499999999998</v>
      </c>
      <c r="M128" t="s">
        <v>45</v>
      </c>
      <c r="N128" s="3" t="s">
        <v>92</v>
      </c>
      <c r="O128" t="s">
        <v>42</v>
      </c>
      <c r="P128" s="1">
        <v>45257</v>
      </c>
      <c r="Q128">
        <v>0</v>
      </c>
      <c r="R128">
        <v>8</v>
      </c>
      <c r="S128">
        <v>5.9</v>
      </c>
      <c r="T128">
        <v>4.5999999999999996</v>
      </c>
      <c r="U128" s="2">
        <v>1803</v>
      </c>
      <c r="V128">
        <v>199</v>
      </c>
      <c r="W128">
        <v>44</v>
      </c>
    </row>
    <row r="129" spans="1:23" x14ac:dyDescent="0.35">
      <c r="A129" s="3">
        <v>247955</v>
      </c>
      <c r="B129" t="s">
        <v>23</v>
      </c>
      <c r="D129" t="s">
        <v>24</v>
      </c>
      <c r="F129" t="s">
        <v>48</v>
      </c>
      <c r="G129" t="s">
        <v>49</v>
      </c>
      <c r="K129">
        <v>-95.754300000000001</v>
      </c>
      <c r="L129">
        <v>39.508699999999997</v>
      </c>
      <c r="M129" t="s">
        <v>53</v>
      </c>
      <c r="N129" s="3" t="s">
        <v>88</v>
      </c>
      <c r="O129" t="s">
        <v>42</v>
      </c>
      <c r="P129" s="1">
        <v>45257</v>
      </c>
      <c r="Q129">
        <v>0</v>
      </c>
      <c r="R129">
        <v>8</v>
      </c>
      <c r="S129">
        <v>5.4</v>
      </c>
      <c r="T129">
        <v>4</v>
      </c>
      <c r="U129" s="2">
        <v>1792</v>
      </c>
      <c r="V129">
        <v>124</v>
      </c>
      <c r="W129">
        <v>48</v>
      </c>
    </row>
    <row r="130" spans="1:23" x14ac:dyDescent="0.35">
      <c r="A130" s="3">
        <v>247966</v>
      </c>
      <c r="B130" t="s">
        <v>23</v>
      </c>
      <c r="D130" t="s">
        <v>47</v>
      </c>
      <c r="F130" t="s">
        <v>48</v>
      </c>
      <c r="G130" t="s">
        <v>49</v>
      </c>
      <c r="K130">
        <v>-95.665899999999993</v>
      </c>
      <c r="L130">
        <v>39.380499999999998</v>
      </c>
      <c r="M130" t="s">
        <v>50</v>
      </c>
      <c r="N130" s="3" t="s">
        <v>107</v>
      </c>
      <c r="O130" t="s">
        <v>42</v>
      </c>
      <c r="P130" s="1">
        <v>45257</v>
      </c>
      <c r="Q130">
        <v>0</v>
      </c>
      <c r="R130">
        <v>8</v>
      </c>
      <c r="S130">
        <v>5.8</v>
      </c>
      <c r="T130">
        <v>2.7</v>
      </c>
      <c r="U130" s="2">
        <v>1778</v>
      </c>
      <c r="V130">
        <v>108</v>
      </c>
      <c r="W130">
        <v>56</v>
      </c>
    </row>
    <row r="131" spans="1:23" x14ac:dyDescent="0.35">
      <c r="A131" s="3">
        <v>247937</v>
      </c>
      <c r="B131" t="s">
        <v>23</v>
      </c>
      <c r="D131" t="s">
        <v>24</v>
      </c>
      <c r="F131" t="s">
        <v>48</v>
      </c>
      <c r="G131" t="s">
        <v>49</v>
      </c>
      <c r="K131">
        <v>-95.756600000000006</v>
      </c>
      <c r="L131">
        <v>39.512099999999997</v>
      </c>
      <c r="M131" t="s">
        <v>86</v>
      </c>
      <c r="N131" s="3" t="s">
        <v>99</v>
      </c>
      <c r="O131" t="s">
        <v>42</v>
      </c>
      <c r="P131" s="1">
        <v>45257</v>
      </c>
      <c r="Q131">
        <v>0</v>
      </c>
      <c r="R131">
        <v>8</v>
      </c>
      <c r="S131">
        <v>5.6</v>
      </c>
      <c r="T131">
        <v>4</v>
      </c>
      <c r="U131" s="2">
        <v>1732</v>
      </c>
      <c r="V131">
        <v>118</v>
      </c>
      <c r="W131">
        <v>109</v>
      </c>
    </row>
    <row r="132" spans="1:23" x14ac:dyDescent="0.35">
      <c r="A132" s="3">
        <v>247936</v>
      </c>
      <c r="B132" t="s">
        <v>23</v>
      </c>
      <c r="D132" t="s">
        <v>24</v>
      </c>
      <c r="F132" t="s">
        <v>48</v>
      </c>
      <c r="G132" t="s">
        <v>49</v>
      </c>
      <c r="K132">
        <v>-95.754300000000001</v>
      </c>
      <c r="L132">
        <v>39.513199999999998</v>
      </c>
      <c r="M132" t="s">
        <v>86</v>
      </c>
      <c r="N132" s="3" t="s">
        <v>108</v>
      </c>
      <c r="O132" t="s">
        <v>42</v>
      </c>
      <c r="P132" s="1">
        <v>45257</v>
      </c>
      <c r="Q132">
        <v>0</v>
      </c>
      <c r="R132">
        <v>8</v>
      </c>
      <c r="S132">
        <v>5.2</v>
      </c>
      <c r="T132">
        <v>4.8</v>
      </c>
      <c r="U132" s="2">
        <v>1717</v>
      </c>
      <c r="V132">
        <v>117</v>
      </c>
      <c r="W132">
        <v>59</v>
      </c>
    </row>
    <row r="133" spans="1:23" x14ac:dyDescent="0.35">
      <c r="A133" s="3">
        <v>247965</v>
      </c>
      <c r="B133" t="s">
        <v>23</v>
      </c>
      <c r="D133" t="s">
        <v>47</v>
      </c>
      <c r="F133" t="s">
        <v>48</v>
      </c>
      <c r="G133" t="s">
        <v>49</v>
      </c>
      <c r="K133">
        <v>-95.667299999999997</v>
      </c>
      <c r="L133">
        <v>39.380499999999998</v>
      </c>
      <c r="M133" t="s">
        <v>50</v>
      </c>
      <c r="N133" s="3" t="s">
        <v>112</v>
      </c>
      <c r="O133" t="s">
        <v>42</v>
      </c>
      <c r="P133" s="1">
        <v>45257</v>
      </c>
      <c r="Q133">
        <v>0</v>
      </c>
      <c r="R133">
        <v>8</v>
      </c>
      <c r="S133">
        <v>5.5</v>
      </c>
      <c r="T133">
        <v>2.8</v>
      </c>
      <c r="U133" s="2">
        <v>1716</v>
      </c>
      <c r="V133">
        <v>117</v>
      </c>
      <c r="W133">
        <v>95</v>
      </c>
    </row>
    <row r="134" spans="1:23" x14ac:dyDescent="0.35">
      <c r="A134" s="3">
        <v>247958</v>
      </c>
      <c r="B134" t="s">
        <v>23</v>
      </c>
      <c r="D134" t="s">
        <v>24</v>
      </c>
      <c r="F134" t="s">
        <v>48</v>
      </c>
      <c r="G134" t="s">
        <v>49</v>
      </c>
      <c r="K134">
        <v>-95.754300000000001</v>
      </c>
      <c r="L134">
        <v>39.507599999999996</v>
      </c>
      <c r="M134" t="s">
        <v>53</v>
      </c>
      <c r="N134" s="3" t="s">
        <v>95</v>
      </c>
      <c r="O134" t="s">
        <v>42</v>
      </c>
      <c r="P134" s="1">
        <v>45257</v>
      </c>
      <c r="Q134">
        <v>0</v>
      </c>
      <c r="R134">
        <v>8</v>
      </c>
      <c r="S134">
        <v>5.5</v>
      </c>
      <c r="T134">
        <v>3.4</v>
      </c>
      <c r="U134" s="2">
        <v>1686</v>
      </c>
      <c r="V134">
        <v>151</v>
      </c>
      <c r="W134">
        <v>204</v>
      </c>
    </row>
    <row r="135" spans="1:23" x14ac:dyDescent="0.35">
      <c r="A135" s="3">
        <v>247959</v>
      </c>
      <c r="B135" t="s">
        <v>23</v>
      </c>
      <c r="D135" t="s">
        <v>47</v>
      </c>
      <c r="F135" t="s">
        <v>48</v>
      </c>
      <c r="G135" t="s">
        <v>49</v>
      </c>
      <c r="K135">
        <v>-95.667699999999996</v>
      </c>
      <c r="L135">
        <v>39.382599999999996</v>
      </c>
      <c r="M135" t="s">
        <v>50</v>
      </c>
      <c r="N135" s="3" t="s">
        <v>109</v>
      </c>
      <c r="O135" t="s">
        <v>42</v>
      </c>
      <c r="P135" s="1">
        <v>45257</v>
      </c>
      <c r="Q135">
        <v>0</v>
      </c>
      <c r="R135">
        <v>8</v>
      </c>
      <c r="S135">
        <v>5.0999999999999996</v>
      </c>
      <c r="T135">
        <v>3</v>
      </c>
      <c r="U135" s="2">
        <v>1676</v>
      </c>
      <c r="V135">
        <v>105</v>
      </c>
      <c r="W135">
        <v>292</v>
      </c>
    </row>
    <row r="136" spans="1:23" x14ac:dyDescent="0.35">
      <c r="A136" s="3">
        <v>54177</v>
      </c>
      <c r="B136" t="s">
        <v>23</v>
      </c>
      <c r="D136" t="s">
        <v>24</v>
      </c>
      <c r="F136" t="s">
        <v>48</v>
      </c>
      <c r="G136" t="s">
        <v>49</v>
      </c>
      <c r="K136">
        <v>-95.756600000000006</v>
      </c>
      <c r="L136">
        <v>39.513199999999998</v>
      </c>
      <c r="M136" t="s">
        <v>86</v>
      </c>
      <c r="N136" s="3" t="s">
        <v>113</v>
      </c>
      <c r="O136" t="s">
        <v>28</v>
      </c>
      <c r="P136" s="1">
        <v>45394</v>
      </c>
      <c r="Q136">
        <v>0</v>
      </c>
      <c r="R136">
        <v>8</v>
      </c>
      <c r="S136">
        <v>5.8</v>
      </c>
      <c r="T136">
        <v>2.9</v>
      </c>
      <c r="U136" s="2">
        <v>1647</v>
      </c>
      <c r="V136">
        <v>133</v>
      </c>
      <c r="W136">
        <v>234</v>
      </c>
    </row>
    <row r="137" spans="1:23" x14ac:dyDescent="0.35">
      <c r="A137" s="3">
        <v>247939</v>
      </c>
      <c r="B137" t="s">
        <v>23</v>
      </c>
      <c r="D137" t="s">
        <v>24</v>
      </c>
      <c r="F137" t="s">
        <v>48</v>
      </c>
      <c r="G137" t="s">
        <v>49</v>
      </c>
      <c r="K137">
        <v>-95.754300000000001</v>
      </c>
      <c r="L137">
        <v>39.512099999999997</v>
      </c>
      <c r="M137" t="s">
        <v>86</v>
      </c>
      <c r="N137" s="3" t="s">
        <v>102</v>
      </c>
      <c r="O137" t="s">
        <v>42</v>
      </c>
      <c r="P137" s="1">
        <v>45257</v>
      </c>
      <c r="Q137">
        <v>0</v>
      </c>
      <c r="R137">
        <v>8</v>
      </c>
      <c r="S137">
        <v>5</v>
      </c>
      <c r="T137">
        <v>4.7</v>
      </c>
      <c r="U137" s="2">
        <v>1635</v>
      </c>
      <c r="V137">
        <v>127</v>
      </c>
      <c r="W137">
        <v>251</v>
      </c>
    </row>
    <row r="138" spans="1:23" x14ac:dyDescent="0.35">
      <c r="A138" s="3">
        <v>247952</v>
      </c>
      <c r="B138" t="s">
        <v>23</v>
      </c>
      <c r="D138" t="s">
        <v>24</v>
      </c>
      <c r="F138" t="s">
        <v>48</v>
      </c>
      <c r="G138" t="s">
        <v>49</v>
      </c>
      <c r="K138">
        <v>-95.754300000000001</v>
      </c>
      <c r="L138">
        <v>39.509900000000002</v>
      </c>
      <c r="M138" t="s">
        <v>53</v>
      </c>
      <c r="N138" s="3" t="s">
        <v>100</v>
      </c>
      <c r="O138" t="s">
        <v>42</v>
      </c>
      <c r="P138" s="1">
        <v>45257</v>
      </c>
      <c r="Q138">
        <v>0</v>
      </c>
      <c r="R138">
        <v>8</v>
      </c>
      <c r="S138">
        <v>5.4</v>
      </c>
      <c r="T138">
        <v>5</v>
      </c>
      <c r="U138" s="2">
        <v>1599</v>
      </c>
      <c r="V138">
        <v>148</v>
      </c>
      <c r="W138">
        <v>352</v>
      </c>
    </row>
    <row r="139" spans="1:23" x14ac:dyDescent="0.35">
      <c r="A139" s="3">
        <v>247938</v>
      </c>
      <c r="B139" t="s">
        <v>23</v>
      </c>
      <c r="D139" t="s">
        <v>24</v>
      </c>
      <c r="F139" t="s">
        <v>48</v>
      </c>
      <c r="G139" t="s">
        <v>49</v>
      </c>
      <c r="K139">
        <v>-95.755300000000005</v>
      </c>
      <c r="L139">
        <v>39.512099999999997</v>
      </c>
      <c r="M139" t="s">
        <v>86</v>
      </c>
      <c r="N139" s="3" t="s">
        <v>103</v>
      </c>
      <c r="O139" t="s">
        <v>42</v>
      </c>
      <c r="P139" s="1">
        <v>45257</v>
      </c>
      <c r="Q139">
        <v>0</v>
      </c>
      <c r="R139">
        <v>8</v>
      </c>
      <c r="S139">
        <v>5.3</v>
      </c>
      <c r="T139">
        <v>3.8</v>
      </c>
      <c r="U139" s="2">
        <v>1566</v>
      </c>
      <c r="V139">
        <v>100</v>
      </c>
      <c r="W139">
        <v>284</v>
      </c>
    </row>
    <row r="140" spans="1:23" x14ac:dyDescent="0.35">
      <c r="A140" s="3">
        <v>247942</v>
      </c>
      <c r="B140" t="s">
        <v>23</v>
      </c>
      <c r="D140" t="s">
        <v>24</v>
      </c>
      <c r="F140" t="s">
        <v>48</v>
      </c>
      <c r="G140" t="s">
        <v>49</v>
      </c>
      <c r="K140">
        <v>-95.754300000000001</v>
      </c>
      <c r="L140">
        <v>39.511000000000003</v>
      </c>
      <c r="M140" t="s">
        <v>86</v>
      </c>
      <c r="N140" s="3" t="s">
        <v>101</v>
      </c>
      <c r="O140" t="s">
        <v>42</v>
      </c>
      <c r="P140" s="1">
        <v>45257</v>
      </c>
      <c r="Q140">
        <v>0</v>
      </c>
      <c r="R140">
        <v>8</v>
      </c>
      <c r="S140">
        <v>5.2</v>
      </c>
      <c r="T140">
        <v>4.0999999999999996</v>
      </c>
      <c r="U140" s="2">
        <v>1529</v>
      </c>
      <c r="V140">
        <v>102</v>
      </c>
      <c r="W140">
        <v>122</v>
      </c>
    </row>
    <row r="141" spans="1:23" x14ac:dyDescent="0.35">
      <c r="A141" s="3">
        <v>247934</v>
      </c>
      <c r="B141" t="s">
        <v>23</v>
      </c>
      <c r="D141" t="s">
        <v>24</v>
      </c>
      <c r="F141" t="s">
        <v>48</v>
      </c>
      <c r="G141" t="s">
        <v>49</v>
      </c>
      <c r="K141">
        <v>-95.756600000000006</v>
      </c>
      <c r="L141">
        <v>39.513199999999998</v>
      </c>
      <c r="M141" t="s">
        <v>86</v>
      </c>
      <c r="N141" s="3" t="s">
        <v>113</v>
      </c>
      <c r="O141" t="s">
        <v>42</v>
      </c>
      <c r="P141" s="1">
        <v>45257</v>
      </c>
      <c r="Q141">
        <v>0</v>
      </c>
      <c r="R141">
        <v>8</v>
      </c>
      <c r="S141">
        <v>5.4</v>
      </c>
      <c r="T141">
        <v>3.4</v>
      </c>
      <c r="U141" s="2">
        <v>1523</v>
      </c>
      <c r="V141">
        <v>116</v>
      </c>
      <c r="W141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40"/>
  <sheetViews>
    <sheetView tabSelected="1" workbookViewId="0">
      <selection activeCell="G2" sqref="G2"/>
    </sheetView>
  </sheetViews>
  <sheetFormatPr defaultRowHeight="14.5" x14ac:dyDescent="0.35"/>
  <cols>
    <col min="1" max="1" width="10.453125" style="3" bestFit="1" customWidth="1"/>
    <col min="2" max="2" width="16.81640625" customWidth="1"/>
    <col min="3" max="3" width="8.1796875" style="2" bestFit="1" customWidth="1"/>
    <col min="4" max="4" width="36.81640625" bestFit="1" customWidth="1"/>
    <col min="5" max="5" width="12.54296875" bestFit="1" customWidth="1"/>
    <col min="6" max="6" width="17.453125" bestFit="1" customWidth="1"/>
    <col min="7" max="7" width="20" style="9" bestFit="1" customWidth="1"/>
    <col min="8" max="8" width="19.54296875" style="9" bestFit="1" customWidth="1"/>
  </cols>
  <sheetData>
    <row r="1" spans="1:8" x14ac:dyDescent="0.35">
      <c r="A1" s="3" t="s">
        <v>13</v>
      </c>
      <c r="B1" t="s">
        <v>15</v>
      </c>
      <c r="C1" s="6" t="s">
        <v>20</v>
      </c>
      <c r="D1" s="3" t="s">
        <v>114</v>
      </c>
      <c r="E1" s="3" t="s">
        <v>115</v>
      </c>
      <c r="F1" s="3" t="s">
        <v>116</v>
      </c>
      <c r="G1" s="7" t="s">
        <v>117</v>
      </c>
      <c r="H1" s="7" t="s">
        <v>118</v>
      </c>
    </row>
    <row r="2" spans="1:8" s="16" customFormat="1" x14ac:dyDescent="0.35">
      <c r="A2" s="14" t="s">
        <v>27</v>
      </c>
      <c r="B2" s="15">
        <v>45394</v>
      </c>
      <c r="C2" s="16">
        <v>4498</v>
      </c>
      <c r="D2" s="17">
        <f>((C2*2.5*2.5)/1000)/1000</f>
        <v>2.8112500000000002E-2</v>
      </c>
      <c r="E2" s="17">
        <f>D2/100.0869</f>
        <v>2.808809144853123E-4</v>
      </c>
      <c r="F2" s="17">
        <f>E2*2</f>
        <v>5.617618289706246E-4</v>
      </c>
      <c r="G2" s="18">
        <f t="shared" ref="G2:H66" si="0">F2*1000</f>
        <v>0.56176182897062454</v>
      </c>
      <c r="H2" s="19">
        <f>G2*1000</f>
        <v>561.76182897062449</v>
      </c>
    </row>
    <row r="3" spans="1:8" s="16" customFormat="1" x14ac:dyDescent="0.35">
      <c r="A3" s="14" t="s">
        <v>29</v>
      </c>
      <c r="B3" s="15">
        <v>45394</v>
      </c>
      <c r="C3" s="16">
        <v>4353</v>
      </c>
      <c r="D3" s="17">
        <f t="shared" ref="D3:D66" si="1">((C3*2.5*2.5)/1000)/1000</f>
        <v>2.7206250000000001E-2</v>
      </c>
      <c r="E3" s="17">
        <f t="shared" ref="E3:E66" si="2">D3/100.0869</f>
        <v>2.7182628296010768E-4</v>
      </c>
      <c r="F3" s="17">
        <f t="shared" ref="F3:F66" si="3">E3*2</f>
        <v>5.4365256592021536E-4</v>
      </c>
      <c r="G3" s="18">
        <f t="shared" si="0"/>
        <v>0.54365256592021538</v>
      </c>
      <c r="H3" s="19">
        <f t="shared" si="0"/>
        <v>543.65256592021535</v>
      </c>
    </row>
    <row r="4" spans="1:8" x14ac:dyDescent="0.35">
      <c r="A4" s="3" t="s">
        <v>30</v>
      </c>
      <c r="B4" s="1">
        <v>45394</v>
      </c>
      <c r="C4" s="2">
        <v>4329</v>
      </c>
      <c r="D4" s="4">
        <f t="shared" si="1"/>
        <v>2.7056249999999997E-2</v>
      </c>
      <c r="E4" s="4">
        <f t="shared" si="2"/>
        <v>2.7032758532834965E-4</v>
      </c>
      <c r="F4" s="4">
        <f t="shared" si="3"/>
        <v>5.406551706566993E-4</v>
      </c>
      <c r="G4" s="8">
        <f t="shared" si="0"/>
        <v>0.54065517065669932</v>
      </c>
      <c r="H4" s="11">
        <f t="shared" si="0"/>
        <v>540.65517065669928</v>
      </c>
    </row>
    <row r="5" spans="1:8" x14ac:dyDescent="0.35">
      <c r="A5" s="3" t="s">
        <v>31</v>
      </c>
      <c r="B5" s="1">
        <v>45394</v>
      </c>
      <c r="C5" s="2">
        <v>4235</v>
      </c>
      <c r="D5" s="4">
        <f t="shared" si="1"/>
        <v>2.6468749999999999E-2</v>
      </c>
      <c r="E5" s="4">
        <f t="shared" si="2"/>
        <v>2.6445768627063082E-4</v>
      </c>
      <c r="F5" s="4">
        <f t="shared" si="3"/>
        <v>5.2891537254126165E-4</v>
      </c>
      <c r="G5" s="8">
        <f t="shared" si="0"/>
        <v>0.52891537254126164</v>
      </c>
      <c r="H5" s="11">
        <f t="shared" si="0"/>
        <v>528.9153725412616</v>
      </c>
    </row>
    <row r="6" spans="1:8" x14ac:dyDescent="0.35">
      <c r="A6" s="3" t="s">
        <v>37</v>
      </c>
      <c r="B6" s="1">
        <v>45394</v>
      </c>
      <c r="C6" s="2">
        <v>4198</v>
      </c>
      <c r="D6" s="4">
        <f t="shared" si="1"/>
        <v>2.62375E-2</v>
      </c>
      <c r="E6" s="4">
        <f t="shared" si="2"/>
        <v>2.6214719408833726E-4</v>
      </c>
      <c r="F6" s="4">
        <f t="shared" si="3"/>
        <v>5.2429438817667452E-4</v>
      </c>
      <c r="G6" s="8">
        <f t="shared" si="0"/>
        <v>0.52429438817667451</v>
      </c>
      <c r="H6" s="11">
        <f t="shared" si="0"/>
        <v>524.29438817667449</v>
      </c>
    </row>
    <row r="7" spans="1:8" x14ac:dyDescent="0.35">
      <c r="A7" s="3" t="s">
        <v>38</v>
      </c>
      <c r="B7" s="1">
        <v>45394</v>
      </c>
      <c r="C7" s="2">
        <v>3930</v>
      </c>
      <c r="D7" s="4">
        <f t="shared" si="1"/>
        <v>2.4562500000000001E-2</v>
      </c>
      <c r="E7" s="4">
        <f t="shared" si="2"/>
        <v>2.4541173720037286E-4</v>
      </c>
      <c r="F7" s="4">
        <f t="shared" si="3"/>
        <v>4.9082347440074572E-4</v>
      </c>
      <c r="G7" s="8">
        <f t="shared" si="0"/>
        <v>0.4908234744007457</v>
      </c>
      <c r="H7" s="11">
        <f t="shared" si="0"/>
        <v>490.82347440074568</v>
      </c>
    </row>
    <row r="8" spans="1:8" x14ac:dyDescent="0.35">
      <c r="A8" s="3" t="s">
        <v>39</v>
      </c>
      <c r="B8" s="1">
        <v>45394</v>
      </c>
      <c r="C8" s="2">
        <v>3783</v>
      </c>
      <c r="D8" s="4">
        <f t="shared" si="1"/>
        <v>2.3643750000000002E-2</v>
      </c>
      <c r="E8" s="4">
        <f t="shared" si="2"/>
        <v>2.3623221420585513E-4</v>
      </c>
      <c r="F8" s="4">
        <f t="shared" si="3"/>
        <v>4.7246442841171026E-4</v>
      </c>
      <c r="G8" s="8">
        <f t="shared" si="0"/>
        <v>0.47246442841171027</v>
      </c>
      <c r="H8" s="11">
        <f t="shared" si="0"/>
        <v>472.46442841171029</v>
      </c>
    </row>
    <row r="9" spans="1:8" x14ac:dyDescent="0.35">
      <c r="A9" s="3" t="s">
        <v>40</v>
      </c>
      <c r="B9" s="1">
        <v>45394</v>
      </c>
      <c r="C9" s="2">
        <v>3735</v>
      </c>
      <c r="D9" s="4">
        <f t="shared" si="1"/>
        <v>2.334375E-2</v>
      </c>
      <c r="E9" s="4">
        <f t="shared" si="2"/>
        <v>2.332348189423391E-4</v>
      </c>
      <c r="F9" s="4">
        <f t="shared" si="3"/>
        <v>4.6646963788467819E-4</v>
      </c>
      <c r="G9" s="8">
        <f t="shared" si="0"/>
        <v>0.46646963788467821</v>
      </c>
      <c r="H9" s="11">
        <f t="shared" si="0"/>
        <v>466.46963788467821</v>
      </c>
    </row>
    <row r="10" spans="1:8" x14ac:dyDescent="0.35">
      <c r="A10" s="3" t="s">
        <v>41</v>
      </c>
      <c r="B10" s="1">
        <v>45394</v>
      </c>
      <c r="C10" s="2">
        <v>3731</v>
      </c>
      <c r="D10" s="4">
        <f t="shared" si="1"/>
        <v>2.3318750000000003E-2</v>
      </c>
      <c r="E10" s="4">
        <f t="shared" si="2"/>
        <v>2.3298503600371279E-4</v>
      </c>
      <c r="F10" s="4">
        <f t="shared" si="3"/>
        <v>4.6597007200742559E-4</v>
      </c>
      <c r="G10" s="8">
        <f t="shared" si="0"/>
        <v>0.46597007200742557</v>
      </c>
      <c r="H10" s="11">
        <f t="shared" si="0"/>
        <v>465.97007200742559</v>
      </c>
    </row>
    <row r="11" spans="1:8" x14ac:dyDescent="0.35">
      <c r="A11" s="3" t="s">
        <v>30</v>
      </c>
      <c r="B11" s="1">
        <v>45257</v>
      </c>
      <c r="C11" s="2">
        <v>3658</v>
      </c>
      <c r="D11" s="4">
        <f t="shared" si="1"/>
        <v>2.2862500000000001E-2</v>
      </c>
      <c r="E11" s="4">
        <f t="shared" si="2"/>
        <v>2.2842649737378219E-4</v>
      </c>
      <c r="F11" s="4">
        <f t="shared" si="3"/>
        <v>4.5685299474756437E-4</v>
      </c>
      <c r="G11" s="8">
        <f t="shared" si="0"/>
        <v>0.45685299474756436</v>
      </c>
      <c r="H11" s="11">
        <f t="shared" si="0"/>
        <v>456.85299474756437</v>
      </c>
    </row>
    <row r="12" spans="1:8" x14ac:dyDescent="0.35">
      <c r="A12" s="3" t="s">
        <v>43</v>
      </c>
      <c r="B12" s="1">
        <v>45394</v>
      </c>
      <c r="C12" s="2">
        <v>3534</v>
      </c>
      <c r="D12" s="4">
        <f t="shared" si="1"/>
        <v>2.2087499999999999E-2</v>
      </c>
      <c r="E12" s="4">
        <f t="shared" si="2"/>
        <v>2.2068322627636584E-4</v>
      </c>
      <c r="F12" s="4">
        <f t="shared" si="3"/>
        <v>4.4136645255273167E-4</v>
      </c>
      <c r="G12" s="8">
        <f t="shared" si="0"/>
        <v>0.44136645255273166</v>
      </c>
      <c r="H12" s="11">
        <f t="shared" si="0"/>
        <v>441.36645255273163</v>
      </c>
    </row>
    <row r="13" spans="1:8" x14ac:dyDescent="0.35">
      <c r="A13" s="3" t="s">
        <v>44</v>
      </c>
      <c r="B13" s="1">
        <v>45394</v>
      </c>
      <c r="C13" s="2">
        <v>3527</v>
      </c>
      <c r="D13" s="4">
        <f t="shared" si="1"/>
        <v>2.2043750000000001E-2</v>
      </c>
      <c r="E13" s="4">
        <f t="shared" si="2"/>
        <v>2.2024610613376977E-4</v>
      </c>
      <c r="F13" s="4">
        <f t="shared" si="3"/>
        <v>4.4049221226753955E-4</v>
      </c>
      <c r="G13" s="8">
        <f t="shared" si="0"/>
        <v>0.44049221226753954</v>
      </c>
      <c r="H13" s="11">
        <f t="shared" si="0"/>
        <v>440.49221226753951</v>
      </c>
    </row>
    <row r="14" spans="1:8" x14ac:dyDescent="0.35">
      <c r="A14" s="3" t="s">
        <v>46</v>
      </c>
      <c r="B14" s="1">
        <v>45394</v>
      </c>
      <c r="C14" s="2">
        <v>3364</v>
      </c>
      <c r="D14" s="4">
        <f t="shared" si="1"/>
        <v>2.1024999999999999E-2</v>
      </c>
      <c r="E14" s="4">
        <f t="shared" si="2"/>
        <v>2.1006745138474664E-4</v>
      </c>
      <c r="F14" s="4">
        <f t="shared" si="3"/>
        <v>4.2013490276949329E-4</v>
      </c>
      <c r="G14" s="8">
        <f t="shared" si="0"/>
        <v>0.42013490276949328</v>
      </c>
      <c r="H14" s="11">
        <f t="shared" si="0"/>
        <v>420.13490276949329</v>
      </c>
    </row>
    <row r="15" spans="1:8" x14ac:dyDescent="0.35">
      <c r="A15" s="3" t="s">
        <v>39</v>
      </c>
      <c r="B15" s="1">
        <v>45257</v>
      </c>
      <c r="C15" s="2">
        <v>3351</v>
      </c>
      <c r="D15" s="4">
        <f t="shared" si="1"/>
        <v>2.0943750000000001E-2</v>
      </c>
      <c r="E15" s="4">
        <f t="shared" si="2"/>
        <v>2.0925565683421109E-4</v>
      </c>
      <c r="F15" s="4">
        <f t="shared" si="3"/>
        <v>4.1851131366842217E-4</v>
      </c>
      <c r="G15" s="8">
        <f t="shared" si="0"/>
        <v>0.41851131366842215</v>
      </c>
      <c r="H15" s="11">
        <f t="shared" si="0"/>
        <v>418.51131366842213</v>
      </c>
    </row>
    <row r="16" spans="1:8" x14ac:dyDescent="0.35">
      <c r="A16" s="3" t="s">
        <v>51</v>
      </c>
      <c r="B16" s="1">
        <v>45394</v>
      </c>
      <c r="C16" s="2">
        <v>3318</v>
      </c>
      <c r="D16" s="4">
        <f t="shared" si="1"/>
        <v>2.0737499999999999E-2</v>
      </c>
      <c r="E16" s="4">
        <f t="shared" si="2"/>
        <v>2.071949475905438E-4</v>
      </c>
      <c r="F16" s="4">
        <f t="shared" si="3"/>
        <v>4.143898951810876E-4</v>
      </c>
      <c r="G16" s="8">
        <f t="shared" si="0"/>
        <v>0.4143898951810876</v>
      </c>
      <c r="H16" s="11">
        <f t="shared" si="0"/>
        <v>414.38989518108758</v>
      </c>
    </row>
    <row r="17" spans="1:11" x14ac:dyDescent="0.35">
      <c r="A17" s="3" t="s">
        <v>52</v>
      </c>
      <c r="B17" s="1">
        <v>45394</v>
      </c>
      <c r="C17" s="2">
        <v>3248</v>
      </c>
      <c r="D17" s="4">
        <f t="shared" si="1"/>
        <v>2.0300000000000002E-2</v>
      </c>
      <c r="E17" s="4">
        <f t="shared" si="2"/>
        <v>2.0282374616458301E-4</v>
      </c>
      <c r="F17" s="4">
        <f t="shared" si="3"/>
        <v>4.0564749232916602E-4</v>
      </c>
      <c r="G17" s="8">
        <f t="shared" si="0"/>
        <v>0.40564749232916603</v>
      </c>
      <c r="H17" s="11">
        <f t="shared" si="0"/>
        <v>405.64749232916603</v>
      </c>
    </row>
    <row r="18" spans="1:11" x14ac:dyDescent="0.35">
      <c r="A18" s="3" t="s">
        <v>54</v>
      </c>
      <c r="B18" s="1">
        <v>45394</v>
      </c>
      <c r="C18" s="2">
        <v>3227</v>
      </c>
      <c r="D18" s="4">
        <f t="shared" si="1"/>
        <v>2.0168749999999999E-2</v>
      </c>
      <c r="E18" s="4">
        <f t="shared" si="2"/>
        <v>2.0151238573679471E-4</v>
      </c>
      <c r="F18" s="4">
        <f t="shared" si="3"/>
        <v>4.0302477147358942E-4</v>
      </c>
      <c r="G18" s="8">
        <f t="shared" si="0"/>
        <v>0.40302477147358939</v>
      </c>
      <c r="H18" s="11">
        <f t="shared" si="0"/>
        <v>403.0247714735894</v>
      </c>
    </row>
    <row r="19" spans="1:11" x14ac:dyDescent="0.35">
      <c r="A19" s="3" t="s">
        <v>55</v>
      </c>
      <c r="B19" s="1">
        <v>45394</v>
      </c>
      <c r="C19" s="2">
        <v>3211</v>
      </c>
      <c r="D19" s="4">
        <f t="shared" si="1"/>
        <v>2.006875E-2</v>
      </c>
      <c r="E19" s="4">
        <f t="shared" si="2"/>
        <v>2.0051325398228939E-4</v>
      </c>
      <c r="F19" s="4">
        <f t="shared" si="3"/>
        <v>4.0102650796457878E-4</v>
      </c>
      <c r="G19" s="8">
        <f t="shared" si="0"/>
        <v>0.40102650796457878</v>
      </c>
      <c r="H19" s="11">
        <f t="shared" si="0"/>
        <v>401.0265079645788</v>
      </c>
    </row>
    <row r="20" spans="1:11" x14ac:dyDescent="0.35">
      <c r="A20" s="3" t="s">
        <v>56</v>
      </c>
      <c r="B20" s="1">
        <v>45394</v>
      </c>
      <c r="C20" s="2">
        <v>3198</v>
      </c>
      <c r="D20" s="4">
        <f t="shared" si="1"/>
        <v>1.9987500000000002E-2</v>
      </c>
      <c r="E20" s="4">
        <f t="shared" si="2"/>
        <v>1.9970145943175384E-4</v>
      </c>
      <c r="F20" s="4">
        <f t="shared" si="3"/>
        <v>3.9940291886350767E-4</v>
      </c>
      <c r="G20" s="8">
        <f t="shared" si="0"/>
        <v>0.39940291886350765</v>
      </c>
      <c r="H20" s="11">
        <f t="shared" si="0"/>
        <v>399.40291886350764</v>
      </c>
    </row>
    <row r="21" spans="1:11" x14ac:dyDescent="0.35">
      <c r="A21" s="3" t="s">
        <v>43</v>
      </c>
      <c r="B21" s="1">
        <v>45257</v>
      </c>
      <c r="C21" s="2">
        <v>3191</v>
      </c>
      <c r="D21" s="4">
        <f t="shared" si="1"/>
        <v>1.9943750000000003E-2</v>
      </c>
      <c r="E21" s="4">
        <f t="shared" si="2"/>
        <v>1.9926433928915775E-4</v>
      </c>
      <c r="F21" s="4">
        <f t="shared" si="3"/>
        <v>3.9852867857831549E-4</v>
      </c>
      <c r="G21" s="8">
        <f t="shared" si="0"/>
        <v>0.39852867857831548</v>
      </c>
      <c r="H21" s="11">
        <f t="shared" si="0"/>
        <v>398.52867857831546</v>
      </c>
    </row>
    <row r="22" spans="1:11" x14ac:dyDescent="0.35">
      <c r="A22" s="3" t="s">
        <v>57</v>
      </c>
      <c r="B22" s="1">
        <v>45394</v>
      </c>
      <c r="C22" s="2">
        <v>3179</v>
      </c>
      <c r="D22" s="4">
        <f t="shared" si="1"/>
        <v>1.9868749999999998E-2</v>
      </c>
      <c r="E22" s="4">
        <f t="shared" si="2"/>
        <v>1.985149904732787E-4</v>
      </c>
      <c r="F22" s="4">
        <f t="shared" si="3"/>
        <v>3.970299809465574E-4</v>
      </c>
      <c r="G22" s="8">
        <f t="shared" si="0"/>
        <v>0.39702998094655739</v>
      </c>
      <c r="H22" s="11">
        <f t="shared" si="0"/>
        <v>397.02998094655737</v>
      </c>
      <c r="J22" s="5"/>
    </row>
    <row r="23" spans="1:11" x14ac:dyDescent="0.35">
      <c r="A23" s="3" t="s">
        <v>44</v>
      </c>
      <c r="B23" s="1">
        <v>45257</v>
      </c>
      <c r="C23" s="2">
        <v>3151</v>
      </c>
      <c r="D23" s="4">
        <f t="shared" si="1"/>
        <v>1.9693750000000003E-2</v>
      </c>
      <c r="E23" s="4">
        <f t="shared" si="2"/>
        <v>1.9676650990289442E-4</v>
      </c>
      <c r="F23" s="4">
        <f t="shared" si="3"/>
        <v>3.9353301980578885E-4</v>
      </c>
      <c r="G23" s="8">
        <f t="shared" si="0"/>
        <v>0.39353301980578886</v>
      </c>
      <c r="H23" s="11">
        <f t="shared" si="0"/>
        <v>393.53301980578885</v>
      </c>
    </row>
    <row r="24" spans="1:11" x14ac:dyDescent="0.35">
      <c r="A24" s="3" t="s">
        <v>57</v>
      </c>
      <c r="B24" s="1">
        <v>45257</v>
      </c>
      <c r="C24" s="2">
        <v>3150</v>
      </c>
      <c r="D24" s="4">
        <f t="shared" si="1"/>
        <v>1.96875E-2</v>
      </c>
      <c r="E24" s="4">
        <f t="shared" si="2"/>
        <v>1.967040641682378E-4</v>
      </c>
      <c r="F24" s="4">
        <f t="shared" si="3"/>
        <v>3.934081283364756E-4</v>
      </c>
      <c r="G24" s="8">
        <f t="shared" si="0"/>
        <v>0.39340812833647559</v>
      </c>
      <c r="H24" s="11">
        <f t="shared" si="0"/>
        <v>393.40812833647561</v>
      </c>
    </row>
    <row r="25" spans="1:11" x14ac:dyDescent="0.35">
      <c r="A25" s="3" t="s">
        <v>58</v>
      </c>
      <c r="B25" s="1">
        <v>45394</v>
      </c>
      <c r="C25" s="2">
        <v>3140</v>
      </c>
      <c r="D25" s="4">
        <f t="shared" si="1"/>
        <v>1.9625E-2</v>
      </c>
      <c r="E25" s="4">
        <f t="shared" si="2"/>
        <v>1.9607960682167198E-4</v>
      </c>
      <c r="F25" s="4">
        <f t="shared" si="3"/>
        <v>3.9215921364334395E-4</v>
      </c>
      <c r="G25" s="8">
        <f t="shared" si="0"/>
        <v>0.39215921364334394</v>
      </c>
      <c r="H25" s="11">
        <f t="shared" si="0"/>
        <v>392.15921364334395</v>
      </c>
    </row>
    <row r="26" spans="1:11" x14ac:dyDescent="0.35">
      <c r="A26" s="3" t="s">
        <v>51</v>
      </c>
      <c r="B26" s="1">
        <v>45257</v>
      </c>
      <c r="C26" s="2">
        <v>3132</v>
      </c>
      <c r="D26" s="4">
        <f t="shared" si="1"/>
        <v>1.9574999999999999E-2</v>
      </c>
      <c r="E26" s="4">
        <f t="shared" si="2"/>
        <v>1.9558004094441929E-4</v>
      </c>
      <c r="F26" s="4">
        <f t="shared" si="3"/>
        <v>3.9116008188883858E-4</v>
      </c>
      <c r="G26" s="8">
        <f t="shared" si="0"/>
        <v>0.39116008188883861</v>
      </c>
      <c r="H26" s="11">
        <f t="shared" si="0"/>
        <v>391.16008188883859</v>
      </c>
    </row>
    <row r="27" spans="1:11" x14ac:dyDescent="0.35">
      <c r="A27" s="3" t="s">
        <v>31</v>
      </c>
      <c r="B27" s="1">
        <v>45257</v>
      </c>
      <c r="C27" s="2">
        <v>3092</v>
      </c>
      <c r="D27" s="4">
        <f t="shared" si="1"/>
        <v>1.9324999999999998E-2</v>
      </c>
      <c r="E27" s="4">
        <f t="shared" si="2"/>
        <v>1.9308221155815594E-4</v>
      </c>
      <c r="F27" s="4">
        <f t="shared" si="3"/>
        <v>3.8616442311631188E-4</v>
      </c>
      <c r="G27" s="8">
        <f t="shared" si="0"/>
        <v>0.38616442311631188</v>
      </c>
      <c r="H27" s="11">
        <f t="shared" si="0"/>
        <v>386.16442311631187</v>
      </c>
    </row>
    <row r="28" spans="1:11" x14ac:dyDescent="0.35">
      <c r="A28" s="3" t="s">
        <v>58</v>
      </c>
      <c r="B28" s="1">
        <v>45257</v>
      </c>
      <c r="C28" s="2">
        <v>3058</v>
      </c>
      <c r="D28" s="4">
        <f t="shared" si="1"/>
        <v>1.9112500000000001E-2</v>
      </c>
      <c r="E28" s="4">
        <f t="shared" si="2"/>
        <v>1.9095905657983214E-4</v>
      </c>
      <c r="F28" s="4">
        <f t="shared" si="3"/>
        <v>3.8191811315966428E-4</v>
      </c>
      <c r="G28" s="8">
        <f t="shared" si="0"/>
        <v>0.38191811315966429</v>
      </c>
      <c r="H28" s="11">
        <f t="shared" si="0"/>
        <v>381.9181131596643</v>
      </c>
    </row>
    <row r="29" spans="1:11" x14ac:dyDescent="0.35">
      <c r="A29" s="3" t="s">
        <v>61</v>
      </c>
      <c r="B29" s="1">
        <v>45394</v>
      </c>
      <c r="C29" s="2">
        <v>3022</v>
      </c>
      <c r="D29" s="4">
        <f t="shared" si="1"/>
        <v>1.8887499999999998E-2</v>
      </c>
      <c r="E29" s="4">
        <f t="shared" si="2"/>
        <v>1.8871101013219509E-4</v>
      </c>
      <c r="F29" s="4">
        <f t="shared" si="3"/>
        <v>3.7742202026439019E-4</v>
      </c>
      <c r="G29" s="8">
        <f t="shared" si="0"/>
        <v>0.3774220202643902</v>
      </c>
      <c r="H29" s="11">
        <f t="shared" si="0"/>
        <v>377.4220202643902</v>
      </c>
      <c r="K29" s="10"/>
    </row>
    <row r="30" spans="1:11" x14ac:dyDescent="0.35">
      <c r="A30" s="3" t="s">
        <v>62</v>
      </c>
      <c r="B30" s="1">
        <v>45394</v>
      </c>
      <c r="C30" s="2">
        <v>2972</v>
      </c>
      <c r="D30" s="4">
        <f t="shared" si="1"/>
        <v>1.8574999999999998E-2</v>
      </c>
      <c r="E30" s="4">
        <f t="shared" si="2"/>
        <v>1.8558872339936592E-4</v>
      </c>
      <c r="F30" s="4">
        <f t="shared" si="3"/>
        <v>3.7117744679873184E-4</v>
      </c>
      <c r="G30" s="8">
        <f t="shared" si="0"/>
        <v>0.37117744679873182</v>
      </c>
      <c r="H30" s="11">
        <f t="shared" si="0"/>
        <v>371.17744679873181</v>
      </c>
    </row>
    <row r="31" spans="1:11" x14ac:dyDescent="0.35">
      <c r="A31" s="3" t="s">
        <v>63</v>
      </c>
      <c r="B31" s="1">
        <v>45394</v>
      </c>
      <c r="C31" s="2">
        <v>2972</v>
      </c>
      <c r="D31" s="4">
        <f t="shared" si="1"/>
        <v>1.8574999999999998E-2</v>
      </c>
      <c r="E31" s="4">
        <f t="shared" si="2"/>
        <v>1.8558872339936592E-4</v>
      </c>
      <c r="F31" s="4">
        <f t="shared" si="3"/>
        <v>3.7117744679873184E-4</v>
      </c>
      <c r="G31" s="8">
        <f t="shared" si="0"/>
        <v>0.37117744679873182</v>
      </c>
      <c r="H31" s="11">
        <f t="shared" si="0"/>
        <v>371.17744679873181</v>
      </c>
    </row>
    <row r="32" spans="1:11" x14ac:dyDescent="0.35">
      <c r="A32" s="3" t="s">
        <v>64</v>
      </c>
      <c r="B32" s="1">
        <v>45394</v>
      </c>
      <c r="C32" s="2">
        <v>2946</v>
      </c>
      <c r="D32" s="4">
        <f t="shared" si="1"/>
        <v>1.8412500000000002E-2</v>
      </c>
      <c r="E32" s="4">
        <f t="shared" si="2"/>
        <v>1.8396513429829481E-4</v>
      </c>
      <c r="F32" s="4">
        <f t="shared" si="3"/>
        <v>3.6793026859658961E-4</v>
      </c>
      <c r="G32" s="8">
        <f t="shared" si="0"/>
        <v>0.36793026859658962</v>
      </c>
      <c r="H32" s="11">
        <f t="shared" si="0"/>
        <v>367.9302685965896</v>
      </c>
    </row>
    <row r="33" spans="1:8" x14ac:dyDescent="0.35">
      <c r="A33" s="3" t="s">
        <v>38</v>
      </c>
      <c r="B33" s="1">
        <v>45257</v>
      </c>
      <c r="C33" s="2">
        <v>2925</v>
      </c>
      <c r="D33" s="4">
        <f t="shared" si="1"/>
        <v>1.8281249999999999E-2</v>
      </c>
      <c r="E33" s="4">
        <f t="shared" si="2"/>
        <v>1.8265377387050651E-4</v>
      </c>
      <c r="F33" s="4">
        <f t="shared" si="3"/>
        <v>3.6530754774101302E-4</v>
      </c>
      <c r="G33" s="8">
        <f t="shared" si="0"/>
        <v>0.36530754774101304</v>
      </c>
      <c r="H33" s="11">
        <f t="shared" si="0"/>
        <v>365.30754774101302</v>
      </c>
    </row>
    <row r="34" spans="1:8" x14ac:dyDescent="0.35">
      <c r="A34" s="3" t="s">
        <v>65</v>
      </c>
      <c r="B34" s="1">
        <v>45394</v>
      </c>
      <c r="C34" s="2">
        <v>2917</v>
      </c>
      <c r="D34" s="4">
        <f t="shared" si="1"/>
        <v>1.8231250000000001E-2</v>
      </c>
      <c r="E34" s="4">
        <f t="shared" si="2"/>
        <v>1.8215420799325388E-4</v>
      </c>
      <c r="F34" s="4">
        <f t="shared" si="3"/>
        <v>3.6430841598650775E-4</v>
      </c>
      <c r="G34" s="8">
        <f t="shared" si="0"/>
        <v>0.36430841598650776</v>
      </c>
      <c r="H34" s="11">
        <f t="shared" si="0"/>
        <v>364.30841598650778</v>
      </c>
    </row>
    <row r="35" spans="1:8" x14ac:dyDescent="0.35">
      <c r="A35" s="3" t="s">
        <v>37</v>
      </c>
      <c r="B35" s="1">
        <v>45257</v>
      </c>
      <c r="C35" s="2">
        <v>2906</v>
      </c>
      <c r="D35" s="4">
        <f t="shared" si="1"/>
        <v>1.8162500000000002E-2</v>
      </c>
      <c r="E35" s="4">
        <f t="shared" si="2"/>
        <v>1.8146730491203146E-4</v>
      </c>
      <c r="F35" s="4">
        <f t="shared" si="3"/>
        <v>3.6293460982406292E-4</v>
      </c>
      <c r="G35" s="8">
        <f t="shared" si="0"/>
        <v>0.36293460982406289</v>
      </c>
      <c r="H35" s="11">
        <f t="shared" si="0"/>
        <v>362.93460982406287</v>
      </c>
    </row>
    <row r="36" spans="1:8" x14ac:dyDescent="0.35">
      <c r="A36" s="3" t="s">
        <v>66</v>
      </c>
      <c r="B36" s="1">
        <v>45394</v>
      </c>
      <c r="C36" s="2">
        <v>2903</v>
      </c>
      <c r="D36" s="4">
        <f t="shared" si="1"/>
        <v>1.814375E-2</v>
      </c>
      <c r="E36" s="4">
        <f t="shared" si="2"/>
        <v>1.812799677080617E-4</v>
      </c>
      <c r="F36" s="4">
        <f t="shared" si="3"/>
        <v>3.6255993541612339E-4</v>
      </c>
      <c r="G36" s="8">
        <f t="shared" si="0"/>
        <v>0.36255993541612341</v>
      </c>
      <c r="H36" s="11">
        <f t="shared" si="0"/>
        <v>362.55993541612344</v>
      </c>
    </row>
    <row r="37" spans="1:8" x14ac:dyDescent="0.35">
      <c r="A37" s="3" t="s">
        <v>27</v>
      </c>
      <c r="B37" s="1">
        <v>45257</v>
      </c>
      <c r="C37" s="2">
        <v>2900</v>
      </c>
      <c r="D37" s="4">
        <f t="shared" si="1"/>
        <v>1.8124999999999999E-2</v>
      </c>
      <c r="E37" s="4">
        <f t="shared" si="2"/>
        <v>1.8109263050409194E-4</v>
      </c>
      <c r="F37" s="4">
        <f t="shared" si="3"/>
        <v>3.6218526100818387E-4</v>
      </c>
      <c r="G37" s="8">
        <f t="shared" si="0"/>
        <v>0.36218526100818388</v>
      </c>
      <c r="H37" s="11">
        <f t="shared" si="0"/>
        <v>362.18526100818389</v>
      </c>
    </row>
    <row r="38" spans="1:8" x14ac:dyDescent="0.35">
      <c r="A38" s="3" t="s">
        <v>41</v>
      </c>
      <c r="B38" s="1">
        <v>45257</v>
      </c>
      <c r="C38" s="2">
        <v>2886</v>
      </c>
      <c r="D38" s="4">
        <f t="shared" si="1"/>
        <v>1.8037500000000001E-2</v>
      </c>
      <c r="E38" s="4">
        <f t="shared" si="2"/>
        <v>1.8021839021889978E-4</v>
      </c>
      <c r="F38" s="4">
        <f t="shared" si="3"/>
        <v>3.6043678043779957E-4</v>
      </c>
      <c r="G38" s="8">
        <f t="shared" si="0"/>
        <v>0.36043678043779959</v>
      </c>
      <c r="H38" s="11">
        <f t="shared" si="0"/>
        <v>360.4367804377996</v>
      </c>
    </row>
    <row r="39" spans="1:8" x14ac:dyDescent="0.35">
      <c r="A39" s="3" t="s">
        <v>55</v>
      </c>
      <c r="B39" s="1">
        <v>45257</v>
      </c>
      <c r="C39" s="2">
        <v>2864</v>
      </c>
      <c r="D39" s="4">
        <f t="shared" si="1"/>
        <v>1.7899999999999999E-2</v>
      </c>
      <c r="E39" s="4">
        <f t="shared" si="2"/>
        <v>1.7884458405645494E-4</v>
      </c>
      <c r="F39" s="4">
        <f t="shared" si="3"/>
        <v>3.5768916811290989E-4</v>
      </c>
      <c r="G39" s="8">
        <f t="shared" si="0"/>
        <v>0.35768916811290991</v>
      </c>
      <c r="H39" s="11">
        <f t="shared" si="0"/>
        <v>357.6891681129099</v>
      </c>
    </row>
    <row r="40" spans="1:8" x14ac:dyDescent="0.35">
      <c r="A40" s="3" t="s">
        <v>67</v>
      </c>
      <c r="B40" s="1">
        <v>45394</v>
      </c>
      <c r="C40" s="2">
        <v>2854</v>
      </c>
      <c r="D40" s="4">
        <f t="shared" si="1"/>
        <v>1.7837499999999999E-2</v>
      </c>
      <c r="E40" s="4">
        <f t="shared" si="2"/>
        <v>1.7822012670988909E-4</v>
      </c>
      <c r="F40" s="4">
        <f t="shared" si="3"/>
        <v>3.5644025341977819E-4</v>
      </c>
      <c r="G40" s="8">
        <f t="shared" si="0"/>
        <v>0.3564402534197782</v>
      </c>
      <c r="H40" s="11">
        <f t="shared" si="0"/>
        <v>356.44025341977817</v>
      </c>
    </row>
    <row r="41" spans="1:8" x14ac:dyDescent="0.35">
      <c r="A41" s="3" t="s">
        <v>68</v>
      </c>
      <c r="B41" s="1">
        <v>45394</v>
      </c>
      <c r="C41" s="2">
        <v>2847</v>
      </c>
      <c r="D41" s="4">
        <f t="shared" si="1"/>
        <v>1.7793750000000001E-2</v>
      </c>
      <c r="E41" s="4">
        <f t="shared" si="2"/>
        <v>1.7778300656729303E-4</v>
      </c>
      <c r="F41" s="4">
        <f t="shared" si="3"/>
        <v>3.5556601313458606E-4</v>
      </c>
      <c r="G41" s="8">
        <f t="shared" si="0"/>
        <v>0.35556601313458608</v>
      </c>
      <c r="H41" s="11">
        <f t="shared" si="0"/>
        <v>355.56601313458606</v>
      </c>
    </row>
    <row r="42" spans="1:8" x14ac:dyDescent="0.35">
      <c r="A42" s="3" t="s">
        <v>69</v>
      </c>
      <c r="B42" s="1">
        <v>45394</v>
      </c>
      <c r="C42" s="2">
        <v>2826</v>
      </c>
      <c r="D42" s="4">
        <f t="shared" si="1"/>
        <v>1.7662500000000001E-2</v>
      </c>
      <c r="E42" s="4">
        <f t="shared" si="2"/>
        <v>1.7647164613950479E-4</v>
      </c>
      <c r="F42" s="4">
        <f t="shared" si="3"/>
        <v>3.5294329227900957E-4</v>
      </c>
      <c r="G42" s="8">
        <f t="shared" si="0"/>
        <v>0.35294329227900956</v>
      </c>
      <c r="H42" s="11">
        <f t="shared" si="0"/>
        <v>352.94329227900954</v>
      </c>
    </row>
    <row r="43" spans="1:8" x14ac:dyDescent="0.35">
      <c r="A43" s="3" t="s">
        <v>70</v>
      </c>
      <c r="B43" s="1">
        <v>45394</v>
      </c>
      <c r="C43" s="2">
        <v>2767</v>
      </c>
      <c r="D43" s="4">
        <f t="shared" si="1"/>
        <v>1.729375E-2</v>
      </c>
      <c r="E43" s="4">
        <f t="shared" si="2"/>
        <v>1.7278734779476636E-4</v>
      </c>
      <c r="F43" s="4">
        <f t="shared" si="3"/>
        <v>3.4557469558953272E-4</v>
      </c>
      <c r="G43" s="8">
        <f t="shared" si="0"/>
        <v>0.34557469558953274</v>
      </c>
      <c r="H43" s="11">
        <f t="shared" si="0"/>
        <v>345.57469558953272</v>
      </c>
    </row>
    <row r="44" spans="1:8" x14ac:dyDescent="0.35">
      <c r="A44" s="3" t="s">
        <v>71</v>
      </c>
      <c r="B44" s="1">
        <v>45394</v>
      </c>
      <c r="C44" s="2">
        <v>2762</v>
      </c>
      <c r="D44" s="4">
        <f t="shared" si="1"/>
        <v>1.72625E-2</v>
      </c>
      <c r="E44" s="4">
        <f t="shared" si="2"/>
        <v>1.7247511912148343E-4</v>
      </c>
      <c r="F44" s="4">
        <f t="shared" si="3"/>
        <v>3.4495023824296687E-4</v>
      </c>
      <c r="G44" s="8">
        <f t="shared" si="0"/>
        <v>0.34495023824296689</v>
      </c>
      <c r="H44" s="11">
        <f t="shared" si="0"/>
        <v>344.95023824296686</v>
      </c>
    </row>
    <row r="45" spans="1:8" x14ac:dyDescent="0.35">
      <c r="A45" s="3" t="s">
        <v>72</v>
      </c>
      <c r="B45" s="1">
        <v>45394</v>
      </c>
      <c r="C45" s="2">
        <v>2729</v>
      </c>
      <c r="D45" s="4">
        <f t="shared" si="1"/>
        <v>1.7056249999999998E-2</v>
      </c>
      <c r="E45" s="4">
        <f t="shared" si="2"/>
        <v>1.7041440987781617E-4</v>
      </c>
      <c r="F45" s="4">
        <f t="shared" si="3"/>
        <v>3.4082881975563235E-4</v>
      </c>
      <c r="G45" s="8">
        <f t="shared" si="0"/>
        <v>0.34082881975563234</v>
      </c>
      <c r="H45" s="11">
        <f t="shared" si="0"/>
        <v>340.82881975563237</v>
      </c>
    </row>
    <row r="46" spans="1:8" x14ac:dyDescent="0.35">
      <c r="A46" s="3" t="s">
        <v>52</v>
      </c>
      <c r="B46" s="1">
        <v>45257</v>
      </c>
      <c r="C46" s="2">
        <v>2723</v>
      </c>
      <c r="D46" s="4">
        <f t="shared" si="1"/>
        <v>1.7018749999999999E-2</v>
      </c>
      <c r="E46" s="4">
        <f t="shared" si="2"/>
        <v>1.7003973546987668E-4</v>
      </c>
      <c r="F46" s="4">
        <f t="shared" si="3"/>
        <v>3.4007947093975336E-4</v>
      </c>
      <c r="G46" s="8">
        <f t="shared" si="0"/>
        <v>0.34007947093975338</v>
      </c>
      <c r="H46" s="11">
        <f t="shared" si="0"/>
        <v>340.07947093975338</v>
      </c>
    </row>
    <row r="47" spans="1:8" x14ac:dyDescent="0.35">
      <c r="A47" s="3" t="s">
        <v>73</v>
      </c>
      <c r="B47" s="1">
        <v>45394</v>
      </c>
      <c r="C47" s="2">
        <v>2718</v>
      </c>
      <c r="D47" s="4">
        <f t="shared" si="1"/>
        <v>1.6987499999999999E-2</v>
      </c>
      <c r="E47" s="4">
        <f t="shared" si="2"/>
        <v>1.6972750679659376E-4</v>
      </c>
      <c r="F47" s="4">
        <f t="shared" si="3"/>
        <v>3.3945501359318751E-4</v>
      </c>
      <c r="G47" s="8">
        <f t="shared" si="0"/>
        <v>0.33945501359318753</v>
      </c>
      <c r="H47" s="11">
        <f t="shared" si="0"/>
        <v>339.45501359318752</v>
      </c>
    </row>
    <row r="48" spans="1:8" x14ac:dyDescent="0.35">
      <c r="A48" s="3" t="s">
        <v>73</v>
      </c>
      <c r="B48" s="1">
        <v>45257</v>
      </c>
      <c r="C48" s="2">
        <v>2681</v>
      </c>
      <c r="D48" s="4">
        <f t="shared" si="1"/>
        <v>1.675625E-2</v>
      </c>
      <c r="E48" s="4">
        <f t="shared" si="2"/>
        <v>1.6741701461430017E-4</v>
      </c>
      <c r="F48" s="4">
        <f t="shared" si="3"/>
        <v>3.3483402922860033E-4</v>
      </c>
      <c r="G48" s="8">
        <f t="shared" si="0"/>
        <v>0.33483402922860034</v>
      </c>
      <c r="H48" s="11">
        <f t="shared" si="0"/>
        <v>334.83402922860034</v>
      </c>
    </row>
    <row r="49" spans="1:8" x14ac:dyDescent="0.35">
      <c r="A49" s="3" t="s">
        <v>74</v>
      </c>
      <c r="B49" s="1">
        <v>45394</v>
      </c>
      <c r="C49" s="2">
        <v>2681</v>
      </c>
      <c r="D49" s="4">
        <f t="shared" si="1"/>
        <v>1.675625E-2</v>
      </c>
      <c r="E49" s="4">
        <f t="shared" si="2"/>
        <v>1.6741701461430017E-4</v>
      </c>
      <c r="F49" s="4">
        <f t="shared" si="3"/>
        <v>3.3483402922860033E-4</v>
      </c>
      <c r="G49" s="8">
        <f t="shared" si="0"/>
        <v>0.33483402922860034</v>
      </c>
      <c r="H49" s="11">
        <f t="shared" si="0"/>
        <v>334.83402922860034</v>
      </c>
    </row>
    <row r="50" spans="1:8" x14ac:dyDescent="0.35">
      <c r="A50" s="3" t="s">
        <v>75</v>
      </c>
      <c r="B50" s="1">
        <v>45394</v>
      </c>
      <c r="C50" s="2">
        <v>2627</v>
      </c>
      <c r="D50" s="4">
        <f t="shared" si="1"/>
        <v>1.6418749999999999E-2</v>
      </c>
      <c r="E50" s="4">
        <f t="shared" si="2"/>
        <v>1.6404494494284466E-4</v>
      </c>
      <c r="F50" s="4">
        <f t="shared" si="3"/>
        <v>3.2808988988568933E-4</v>
      </c>
      <c r="G50" s="8">
        <f t="shared" si="0"/>
        <v>0.32808988988568932</v>
      </c>
      <c r="H50" s="11">
        <f t="shared" si="0"/>
        <v>328.08988988568933</v>
      </c>
    </row>
    <row r="51" spans="1:8" x14ac:dyDescent="0.35">
      <c r="A51" s="3" t="s">
        <v>46</v>
      </c>
      <c r="B51" s="1">
        <v>45257</v>
      </c>
      <c r="C51" s="2">
        <v>2614</v>
      </c>
      <c r="D51" s="4">
        <f t="shared" si="1"/>
        <v>1.6337499999999998E-2</v>
      </c>
      <c r="E51" s="4">
        <f t="shared" si="2"/>
        <v>1.6323315039230905E-4</v>
      </c>
      <c r="F51" s="4">
        <f t="shared" si="3"/>
        <v>3.2646630078461811E-4</v>
      </c>
      <c r="G51" s="8">
        <f t="shared" si="0"/>
        <v>0.32646630078461808</v>
      </c>
      <c r="H51" s="11">
        <f t="shared" si="0"/>
        <v>326.46630078461806</v>
      </c>
    </row>
    <row r="52" spans="1:8" x14ac:dyDescent="0.35">
      <c r="A52" s="3" t="s">
        <v>76</v>
      </c>
      <c r="B52" s="1">
        <v>45394</v>
      </c>
      <c r="C52" s="2">
        <v>2597</v>
      </c>
      <c r="D52" s="4">
        <f t="shared" si="1"/>
        <v>1.6231249999999999E-2</v>
      </c>
      <c r="E52" s="4">
        <f t="shared" si="2"/>
        <v>1.6217157290314717E-4</v>
      </c>
      <c r="F52" s="4">
        <f t="shared" si="3"/>
        <v>3.2434314580629433E-4</v>
      </c>
      <c r="G52" s="8">
        <f t="shared" si="0"/>
        <v>0.32434314580629431</v>
      </c>
      <c r="H52" s="11">
        <f t="shared" si="0"/>
        <v>324.34314580629433</v>
      </c>
    </row>
    <row r="53" spans="1:8" x14ac:dyDescent="0.35">
      <c r="A53" s="3" t="s">
        <v>77</v>
      </c>
      <c r="B53" s="1">
        <v>45394</v>
      </c>
      <c r="C53" s="2">
        <v>2595</v>
      </c>
      <c r="D53" s="4">
        <f t="shared" si="1"/>
        <v>1.6218750000000001E-2</v>
      </c>
      <c r="E53" s="4">
        <f t="shared" si="2"/>
        <v>1.62046681433834E-4</v>
      </c>
      <c r="F53" s="4">
        <f t="shared" si="3"/>
        <v>3.24093362867668E-4</v>
      </c>
      <c r="G53" s="8">
        <f t="shared" si="0"/>
        <v>0.32409336286766799</v>
      </c>
      <c r="H53" s="11">
        <f t="shared" si="0"/>
        <v>324.09336286766796</v>
      </c>
    </row>
    <row r="54" spans="1:8" x14ac:dyDescent="0.35">
      <c r="A54" s="3" t="s">
        <v>78</v>
      </c>
      <c r="B54" s="1">
        <v>45394</v>
      </c>
      <c r="C54" s="2">
        <v>2594</v>
      </c>
      <c r="D54" s="4">
        <f t="shared" si="1"/>
        <v>1.6212499999999998E-2</v>
      </c>
      <c r="E54" s="4">
        <f t="shared" si="2"/>
        <v>1.6198423569917738E-4</v>
      </c>
      <c r="F54" s="4">
        <f t="shared" si="3"/>
        <v>3.2396847139835476E-4</v>
      </c>
      <c r="G54" s="8">
        <f t="shared" si="0"/>
        <v>0.32396847139835477</v>
      </c>
      <c r="H54" s="11">
        <f t="shared" si="0"/>
        <v>323.96847139835478</v>
      </c>
    </row>
    <row r="55" spans="1:8" x14ac:dyDescent="0.35">
      <c r="A55" s="3" t="s">
        <v>80</v>
      </c>
      <c r="B55" s="1">
        <v>45394</v>
      </c>
      <c r="C55" s="2">
        <v>2573</v>
      </c>
      <c r="D55" s="4">
        <f t="shared" si="1"/>
        <v>1.6081250000000002E-2</v>
      </c>
      <c r="E55" s="4">
        <f t="shared" si="2"/>
        <v>1.6067287527138919E-4</v>
      </c>
      <c r="F55" s="4">
        <f t="shared" si="3"/>
        <v>3.2134575054277838E-4</v>
      </c>
      <c r="G55" s="8">
        <f t="shared" si="0"/>
        <v>0.32134575054277836</v>
      </c>
      <c r="H55" s="11">
        <f t="shared" si="0"/>
        <v>321.34575054277838</v>
      </c>
    </row>
    <row r="56" spans="1:8" x14ac:dyDescent="0.35">
      <c r="A56" s="3" t="s">
        <v>81</v>
      </c>
      <c r="B56" s="1">
        <v>45394</v>
      </c>
      <c r="C56" s="2">
        <v>2565</v>
      </c>
      <c r="D56" s="4">
        <f t="shared" si="1"/>
        <v>1.603125E-2</v>
      </c>
      <c r="E56" s="4">
        <f t="shared" si="2"/>
        <v>1.601733093941365E-4</v>
      </c>
      <c r="F56" s="4">
        <f t="shared" si="3"/>
        <v>3.2034661878827301E-4</v>
      </c>
      <c r="G56" s="8">
        <f t="shared" si="0"/>
        <v>0.32034661878827303</v>
      </c>
      <c r="H56" s="11">
        <f t="shared" si="0"/>
        <v>320.34661878827302</v>
      </c>
    </row>
    <row r="57" spans="1:8" x14ac:dyDescent="0.35">
      <c r="A57" s="3" t="s">
        <v>72</v>
      </c>
      <c r="B57" s="1">
        <v>45257</v>
      </c>
      <c r="C57" s="2">
        <v>2557</v>
      </c>
      <c r="D57" s="4">
        <f t="shared" si="1"/>
        <v>1.5981249999999999E-2</v>
      </c>
      <c r="E57" s="4">
        <f t="shared" si="2"/>
        <v>1.5967374351688382E-4</v>
      </c>
      <c r="F57" s="4">
        <f t="shared" si="3"/>
        <v>3.1934748703376764E-4</v>
      </c>
      <c r="G57" s="8">
        <f t="shared" si="0"/>
        <v>0.31934748703376764</v>
      </c>
      <c r="H57" s="11">
        <f t="shared" si="0"/>
        <v>319.34748703376766</v>
      </c>
    </row>
    <row r="58" spans="1:8" x14ac:dyDescent="0.35">
      <c r="A58" s="3" t="s">
        <v>82</v>
      </c>
      <c r="B58" s="1">
        <v>45394</v>
      </c>
      <c r="C58" s="2">
        <v>2545</v>
      </c>
      <c r="D58" s="4">
        <f t="shared" si="1"/>
        <v>1.590625E-2</v>
      </c>
      <c r="E58" s="4">
        <f t="shared" si="2"/>
        <v>1.5892439470100483E-4</v>
      </c>
      <c r="F58" s="4">
        <f t="shared" si="3"/>
        <v>3.1784878940200966E-4</v>
      </c>
      <c r="G58" s="8">
        <f t="shared" si="0"/>
        <v>0.31784878940200967</v>
      </c>
      <c r="H58" s="11">
        <f t="shared" si="0"/>
        <v>317.84878940200969</v>
      </c>
    </row>
    <row r="59" spans="1:8" x14ac:dyDescent="0.35">
      <c r="A59" s="3" t="s">
        <v>54</v>
      </c>
      <c r="B59" s="1">
        <v>45257</v>
      </c>
      <c r="C59" s="2">
        <v>2518</v>
      </c>
      <c r="D59" s="4">
        <f t="shared" si="1"/>
        <v>1.5737500000000001E-2</v>
      </c>
      <c r="E59" s="4">
        <f t="shared" si="2"/>
        <v>1.5723835986527709E-4</v>
      </c>
      <c r="F59" s="4">
        <f t="shared" si="3"/>
        <v>3.1447671973055418E-4</v>
      </c>
      <c r="G59" s="8">
        <f t="shared" si="0"/>
        <v>0.31447671973055419</v>
      </c>
      <c r="H59" s="11">
        <f t="shared" si="0"/>
        <v>314.47671973055418</v>
      </c>
    </row>
    <row r="60" spans="1:8" x14ac:dyDescent="0.35">
      <c r="A60" s="3" t="s">
        <v>83</v>
      </c>
      <c r="B60" s="1">
        <v>45394</v>
      </c>
      <c r="C60" s="2">
        <v>2507</v>
      </c>
      <c r="D60" s="4">
        <f t="shared" si="1"/>
        <v>1.5668749999999999E-2</v>
      </c>
      <c r="E60" s="4">
        <f t="shared" si="2"/>
        <v>1.5655145678405464E-4</v>
      </c>
      <c r="F60" s="4">
        <f t="shared" si="3"/>
        <v>3.1310291356810929E-4</v>
      </c>
      <c r="G60" s="8">
        <f t="shared" si="0"/>
        <v>0.31310291356810926</v>
      </c>
      <c r="H60" s="11">
        <f t="shared" si="0"/>
        <v>313.10291356810927</v>
      </c>
    </row>
    <row r="61" spans="1:8" x14ac:dyDescent="0.35">
      <c r="A61" s="3" t="s">
        <v>84</v>
      </c>
      <c r="B61" s="1">
        <v>45394</v>
      </c>
      <c r="C61" s="2">
        <v>2504</v>
      </c>
      <c r="D61" s="4">
        <f t="shared" si="1"/>
        <v>1.5650000000000001E-2</v>
      </c>
      <c r="E61" s="4">
        <f t="shared" si="2"/>
        <v>1.5636411958008491E-4</v>
      </c>
      <c r="F61" s="4">
        <f t="shared" si="3"/>
        <v>3.1272823916016982E-4</v>
      </c>
      <c r="G61" s="8">
        <f t="shared" si="0"/>
        <v>0.31272823916016984</v>
      </c>
      <c r="H61" s="11">
        <f t="shared" si="0"/>
        <v>312.72823916016984</v>
      </c>
    </row>
    <row r="62" spans="1:8" x14ac:dyDescent="0.35">
      <c r="A62" s="3" t="s">
        <v>56</v>
      </c>
      <c r="B62" s="1">
        <v>45257</v>
      </c>
      <c r="C62" s="2">
        <v>2500</v>
      </c>
      <c r="D62" s="4">
        <f t="shared" si="1"/>
        <v>1.5625E-2</v>
      </c>
      <c r="E62" s="4">
        <f t="shared" si="2"/>
        <v>1.5611433664145858E-4</v>
      </c>
      <c r="F62" s="4">
        <f t="shared" si="3"/>
        <v>3.1222867328291716E-4</v>
      </c>
      <c r="G62" s="8">
        <f t="shared" si="0"/>
        <v>0.31222867328291715</v>
      </c>
      <c r="H62" s="11">
        <f t="shared" si="0"/>
        <v>312.22867328291716</v>
      </c>
    </row>
    <row r="63" spans="1:8" x14ac:dyDescent="0.35">
      <c r="A63" s="3" t="s">
        <v>74</v>
      </c>
      <c r="B63" s="1">
        <v>45257</v>
      </c>
      <c r="C63" s="2">
        <v>2498</v>
      </c>
      <c r="D63" s="4">
        <f t="shared" si="1"/>
        <v>1.5612500000000001E-2</v>
      </c>
      <c r="E63" s="4">
        <f t="shared" si="2"/>
        <v>1.5598944517214542E-4</v>
      </c>
      <c r="F63" s="4">
        <f t="shared" si="3"/>
        <v>3.1197889034429083E-4</v>
      </c>
      <c r="G63" s="8">
        <f t="shared" si="0"/>
        <v>0.31197889034429083</v>
      </c>
      <c r="H63" s="11">
        <f t="shared" si="0"/>
        <v>311.97889034429085</v>
      </c>
    </row>
    <row r="64" spans="1:8" x14ac:dyDescent="0.35">
      <c r="A64" s="3" t="s">
        <v>85</v>
      </c>
      <c r="B64" s="1">
        <v>45394</v>
      </c>
      <c r="C64" s="2">
        <v>2493</v>
      </c>
      <c r="D64" s="4">
        <f t="shared" si="1"/>
        <v>1.5581250000000001E-2</v>
      </c>
      <c r="E64" s="4">
        <f t="shared" si="2"/>
        <v>1.5567721649886249E-4</v>
      </c>
      <c r="F64" s="4">
        <f t="shared" si="3"/>
        <v>3.1135443299772498E-4</v>
      </c>
      <c r="G64" s="8">
        <f t="shared" si="0"/>
        <v>0.31135443299772497</v>
      </c>
      <c r="H64" s="11">
        <f t="shared" si="0"/>
        <v>311.35443299772498</v>
      </c>
    </row>
    <row r="65" spans="1:8" x14ac:dyDescent="0.35">
      <c r="A65" s="3" t="s">
        <v>29</v>
      </c>
      <c r="B65" s="1">
        <v>45257</v>
      </c>
      <c r="C65" s="2">
        <v>2469</v>
      </c>
      <c r="D65" s="4">
        <f t="shared" si="1"/>
        <v>1.5431250000000001E-2</v>
      </c>
      <c r="E65" s="4">
        <f t="shared" si="2"/>
        <v>1.5417851886710449E-4</v>
      </c>
      <c r="F65" s="4">
        <f t="shared" si="3"/>
        <v>3.0835703773420898E-4</v>
      </c>
      <c r="G65" s="8">
        <f t="shared" si="0"/>
        <v>0.30835703773420897</v>
      </c>
      <c r="H65" s="11">
        <f t="shared" si="0"/>
        <v>308.35703773420897</v>
      </c>
    </row>
    <row r="66" spans="1:8" x14ac:dyDescent="0.35">
      <c r="A66" s="3" t="s">
        <v>87</v>
      </c>
      <c r="B66" s="1">
        <v>45394</v>
      </c>
      <c r="C66" s="2">
        <v>2468</v>
      </c>
      <c r="D66" s="4">
        <f t="shared" si="1"/>
        <v>1.5425000000000001E-2</v>
      </c>
      <c r="E66" s="4">
        <f t="shared" si="2"/>
        <v>1.5411607313244792E-4</v>
      </c>
      <c r="F66" s="4">
        <f t="shared" si="3"/>
        <v>3.0823214626489584E-4</v>
      </c>
      <c r="G66" s="8">
        <f t="shared" si="0"/>
        <v>0.30823214626489581</v>
      </c>
      <c r="H66" s="11">
        <f t="shared" si="0"/>
        <v>308.23214626489579</v>
      </c>
    </row>
    <row r="67" spans="1:8" x14ac:dyDescent="0.35">
      <c r="A67" s="3" t="s">
        <v>88</v>
      </c>
      <c r="B67" s="1">
        <v>45394</v>
      </c>
      <c r="C67" s="2">
        <v>2445</v>
      </c>
      <c r="D67" s="4">
        <f t="shared" ref="D67:D130" si="4">((C67*2.5*2.5)/1000)/1000</f>
        <v>1.528125E-2</v>
      </c>
      <c r="E67" s="4">
        <f t="shared" ref="E67:E130" si="5">D67/100.0869</f>
        <v>1.5267982123534648E-4</v>
      </c>
      <c r="F67" s="4">
        <f t="shared" ref="F67:F130" si="6">E67*2</f>
        <v>3.0535964247069297E-4</v>
      </c>
      <c r="G67" s="8">
        <f t="shared" ref="G67:H130" si="7">F67*1000</f>
        <v>0.30535964247069297</v>
      </c>
      <c r="H67" s="11">
        <f t="shared" si="7"/>
        <v>305.35964247069296</v>
      </c>
    </row>
    <row r="68" spans="1:8" x14ac:dyDescent="0.35">
      <c r="A68" s="3" t="s">
        <v>62</v>
      </c>
      <c r="B68" s="1">
        <v>45257</v>
      </c>
      <c r="C68" s="2">
        <v>2440</v>
      </c>
      <c r="D68" s="4">
        <f t="shared" si="4"/>
        <v>1.525E-2</v>
      </c>
      <c r="E68" s="4">
        <f t="shared" si="5"/>
        <v>1.5236759256206356E-4</v>
      </c>
      <c r="F68" s="4">
        <f t="shared" si="6"/>
        <v>3.0473518512412712E-4</v>
      </c>
      <c r="G68" s="8">
        <f t="shared" si="7"/>
        <v>0.30473518512412712</v>
      </c>
      <c r="H68" s="11">
        <f t="shared" si="7"/>
        <v>304.7351851241271</v>
      </c>
    </row>
    <row r="69" spans="1:8" x14ac:dyDescent="0.35">
      <c r="A69" s="3" t="s">
        <v>89</v>
      </c>
      <c r="B69" s="1">
        <v>45394</v>
      </c>
      <c r="C69" s="2">
        <v>2433</v>
      </c>
      <c r="D69" s="4">
        <f t="shared" si="4"/>
        <v>1.5206250000000001E-2</v>
      </c>
      <c r="E69" s="4">
        <f t="shared" si="5"/>
        <v>1.519304724194675E-4</v>
      </c>
      <c r="F69" s="4">
        <f t="shared" si="6"/>
        <v>3.0386094483893499E-4</v>
      </c>
      <c r="G69" s="8">
        <f t="shared" si="7"/>
        <v>0.303860944838935</v>
      </c>
      <c r="H69" s="11">
        <f t="shared" si="7"/>
        <v>303.86094483893498</v>
      </c>
    </row>
    <row r="70" spans="1:8" x14ac:dyDescent="0.35">
      <c r="A70" s="3" t="s">
        <v>90</v>
      </c>
      <c r="B70" s="1">
        <v>45394</v>
      </c>
      <c r="C70" s="2">
        <v>2421</v>
      </c>
      <c r="D70" s="4">
        <f t="shared" si="4"/>
        <v>1.5131249999999999E-2</v>
      </c>
      <c r="E70" s="4">
        <f t="shared" si="5"/>
        <v>1.5118112360358848E-4</v>
      </c>
      <c r="F70" s="4">
        <f t="shared" si="6"/>
        <v>3.0236224720717696E-4</v>
      </c>
      <c r="G70" s="8">
        <f t="shared" si="7"/>
        <v>0.30236224720717697</v>
      </c>
      <c r="H70" s="11">
        <f t="shared" si="7"/>
        <v>302.36224720717695</v>
      </c>
    </row>
    <row r="71" spans="1:8" x14ac:dyDescent="0.35">
      <c r="A71" s="3" t="s">
        <v>91</v>
      </c>
      <c r="B71" s="1">
        <v>45394</v>
      </c>
      <c r="C71" s="2">
        <v>2415</v>
      </c>
      <c r="D71" s="4">
        <f t="shared" si="4"/>
        <v>1.509375E-2</v>
      </c>
      <c r="E71" s="4">
        <f t="shared" si="5"/>
        <v>1.5080644919564899E-4</v>
      </c>
      <c r="F71" s="4">
        <f t="shared" si="6"/>
        <v>3.0161289839129797E-4</v>
      </c>
      <c r="G71" s="8">
        <f t="shared" si="7"/>
        <v>0.30161289839129796</v>
      </c>
      <c r="H71" s="11">
        <f t="shared" si="7"/>
        <v>301.61289839129796</v>
      </c>
    </row>
    <row r="72" spans="1:8" x14ac:dyDescent="0.35">
      <c r="A72" s="3" t="s">
        <v>92</v>
      </c>
      <c r="B72" s="1">
        <v>45394</v>
      </c>
      <c r="C72" s="2">
        <v>2406</v>
      </c>
      <c r="D72" s="4">
        <f t="shared" si="4"/>
        <v>1.5037499999999999E-2</v>
      </c>
      <c r="E72" s="4">
        <f t="shared" si="5"/>
        <v>1.5024443758373973E-4</v>
      </c>
      <c r="F72" s="4">
        <f t="shared" si="6"/>
        <v>3.0048887516747946E-4</v>
      </c>
      <c r="G72" s="8">
        <f t="shared" si="7"/>
        <v>0.30048887516747946</v>
      </c>
      <c r="H72" s="11">
        <f t="shared" si="7"/>
        <v>300.48887516747948</v>
      </c>
    </row>
    <row r="73" spans="1:8" x14ac:dyDescent="0.35">
      <c r="A73" s="3" t="s">
        <v>93</v>
      </c>
      <c r="B73" s="1">
        <v>45394</v>
      </c>
      <c r="C73" s="2">
        <v>2378</v>
      </c>
      <c r="D73" s="4">
        <f t="shared" si="4"/>
        <v>1.4862500000000001E-2</v>
      </c>
      <c r="E73" s="4">
        <f t="shared" si="5"/>
        <v>1.484959570133554E-4</v>
      </c>
      <c r="F73" s="4">
        <f t="shared" si="6"/>
        <v>2.9699191402671079E-4</v>
      </c>
      <c r="G73" s="8">
        <f t="shared" si="7"/>
        <v>0.29699191402671077</v>
      </c>
      <c r="H73" s="11">
        <f t="shared" si="7"/>
        <v>296.99191402671079</v>
      </c>
    </row>
    <row r="74" spans="1:8" x14ac:dyDescent="0.35">
      <c r="A74" s="3" t="s">
        <v>94</v>
      </c>
      <c r="B74" s="1">
        <v>45394</v>
      </c>
      <c r="C74" s="2">
        <v>2376</v>
      </c>
      <c r="D74" s="4">
        <f t="shared" si="4"/>
        <v>1.485E-2</v>
      </c>
      <c r="E74" s="4">
        <f t="shared" si="5"/>
        <v>1.4837106554404223E-4</v>
      </c>
      <c r="F74" s="4">
        <f t="shared" si="6"/>
        <v>2.9674213108808446E-4</v>
      </c>
      <c r="G74" s="8">
        <f t="shared" si="7"/>
        <v>0.29674213108808445</v>
      </c>
      <c r="H74" s="11">
        <f t="shared" si="7"/>
        <v>296.74213108808442</v>
      </c>
    </row>
    <row r="75" spans="1:8" x14ac:dyDescent="0.35">
      <c r="A75" s="3" t="s">
        <v>80</v>
      </c>
      <c r="B75" s="1">
        <v>45257</v>
      </c>
      <c r="C75" s="2">
        <v>2373</v>
      </c>
      <c r="D75" s="4">
        <f t="shared" si="4"/>
        <v>1.4831250000000001E-2</v>
      </c>
      <c r="E75" s="4">
        <f t="shared" si="5"/>
        <v>1.4818372834007247E-4</v>
      </c>
      <c r="F75" s="4">
        <f t="shared" si="6"/>
        <v>2.9636745668014494E-4</v>
      </c>
      <c r="G75" s="8">
        <f t="shared" si="7"/>
        <v>0.29636745668014497</v>
      </c>
      <c r="H75" s="11">
        <f t="shared" si="7"/>
        <v>296.36745668014498</v>
      </c>
    </row>
    <row r="76" spans="1:8" x14ac:dyDescent="0.35">
      <c r="A76" s="3" t="s">
        <v>70</v>
      </c>
      <c r="B76" s="1">
        <v>45257</v>
      </c>
      <c r="C76" s="2">
        <v>2359</v>
      </c>
      <c r="D76" s="4">
        <f t="shared" si="4"/>
        <v>1.474375E-2</v>
      </c>
      <c r="E76" s="4">
        <f t="shared" si="5"/>
        <v>1.4730948805488032E-4</v>
      </c>
      <c r="F76" s="4">
        <f t="shared" si="6"/>
        <v>2.9461897610976064E-4</v>
      </c>
      <c r="G76" s="8">
        <f t="shared" si="7"/>
        <v>0.29461897610976062</v>
      </c>
      <c r="H76" s="11">
        <f t="shared" si="7"/>
        <v>294.61897610976064</v>
      </c>
    </row>
    <row r="77" spans="1:8" x14ac:dyDescent="0.35">
      <c r="A77" s="3" t="s">
        <v>77</v>
      </c>
      <c r="B77" s="1">
        <v>45257</v>
      </c>
      <c r="C77" s="2">
        <v>2351</v>
      </c>
      <c r="D77" s="4">
        <f t="shared" si="4"/>
        <v>1.469375E-2</v>
      </c>
      <c r="E77" s="4">
        <f t="shared" si="5"/>
        <v>1.4680992217762763E-4</v>
      </c>
      <c r="F77" s="4">
        <f t="shared" si="6"/>
        <v>2.9361984435525526E-4</v>
      </c>
      <c r="G77" s="8">
        <f t="shared" si="7"/>
        <v>0.29361984435525529</v>
      </c>
      <c r="H77" s="11">
        <f t="shared" si="7"/>
        <v>293.61984435525528</v>
      </c>
    </row>
    <row r="78" spans="1:8" s="16" customFormat="1" x14ac:dyDescent="0.35">
      <c r="A78" s="14" t="s">
        <v>95</v>
      </c>
      <c r="B78" s="15">
        <v>45394</v>
      </c>
      <c r="C78" s="16">
        <v>2343</v>
      </c>
      <c r="D78" s="17">
        <f t="shared" si="4"/>
        <v>1.4643750000000001E-2</v>
      </c>
      <c r="E78" s="17">
        <f t="shared" si="5"/>
        <v>1.4631035630037497E-4</v>
      </c>
      <c r="F78" s="17">
        <f t="shared" si="6"/>
        <v>2.9262071260074995E-4</v>
      </c>
      <c r="G78" s="18">
        <f t="shared" si="7"/>
        <v>0.29262071260074995</v>
      </c>
      <c r="H78" s="19">
        <f t="shared" si="7"/>
        <v>292.62071260074998</v>
      </c>
    </row>
    <row r="79" spans="1:8" x14ac:dyDescent="0.35">
      <c r="A79" s="3" t="s">
        <v>61</v>
      </c>
      <c r="B79" s="1">
        <v>45257</v>
      </c>
      <c r="C79" s="2">
        <v>2335</v>
      </c>
      <c r="D79" s="4">
        <f t="shared" si="4"/>
        <v>1.4593750000000001E-2</v>
      </c>
      <c r="E79" s="4">
        <f t="shared" si="5"/>
        <v>1.4581079042312231E-4</v>
      </c>
      <c r="F79" s="4">
        <f t="shared" si="6"/>
        <v>2.9162158084624463E-4</v>
      </c>
      <c r="G79" s="8">
        <f t="shared" si="7"/>
        <v>0.29162158084624462</v>
      </c>
      <c r="H79" s="11">
        <f t="shared" si="7"/>
        <v>291.62158084624463</v>
      </c>
    </row>
    <row r="80" spans="1:8" x14ac:dyDescent="0.35">
      <c r="A80" s="3" t="s">
        <v>63</v>
      </c>
      <c r="B80" s="1">
        <v>45257</v>
      </c>
      <c r="C80" s="2">
        <v>2320</v>
      </c>
      <c r="D80" s="4">
        <f t="shared" si="4"/>
        <v>1.4500000000000001E-2</v>
      </c>
      <c r="E80" s="4">
        <f t="shared" si="5"/>
        <v>1.4487410440327357E-4</v>
      </c>
      <c r="F80" s="4">
        <f t="shared" si="6"/>
        <v>2.8974820880654713E-4</v>
      </c>
      <c r="G80" s="8">
        <f t="shared" si="7"/>
        <v>0.28974820880654711</v>
      </c>
      <c r="H80" s="11">
        <f t="shared" si="7"/>
        <v>289.7482088065471</v>
      </c>
    </row>
    <row r="81" spans="1:8" x14ac:dyDescent="0.35">
      <c r="A81" s="3" t="s">
        <v>96</v>
      </c>
      <c r="B81" s="1">
        <v>45394</v>
      </c>
      <c r="C81" s="2">
        <v>2318</v>
      </c>
      <c r="D81" s="4">
        <f t="shared" si="4"/>
        <v>1.44875E-2</v>
      </c>
      <c r="E81" s="4">
        <f t="shared" si="5"/>
        <v>1.447492129339604E-4</v>
      </c>
      <c r="F81" s="4">
        <f t="shared" si="6"/>
        <v>2.894984258679208E-4</v>
      </c>
      <c r="G81" s="8">
        <f t="shared" si="7"/>
        <v>0.28949842586792079</v>
      </c>
      <c r="H81" s="11">
        <f t="shared" si="7"/>
        <v>289.49842586792079</v>
      </c>
    </row>
    <row r="82" spans="1:8" x14ac:dyDescent="0.35">
      <c r="A82" s="3" t="s">
        <v>78</v>
      </c>
      <c r="B82" s="1">
        <v>45257</v>
      </c>
      <c r="C82" s="2">
        <v>2299</v>
      </c>
      <c r="D82" s="4">
        <f t="shared" si="4"/>
        <v>1.436875E-2</v>
      </c>
      <c r="E82" s="4">
        <f t="shared" si="5"/>
        <v>1.435627439754853E-4</v>
      </c>
      <c r="F82" s="4">
        <f t="shared" si="6"/>
        <v>2.8712548795097059E-4</v>
      </c>
      <c r="G82" s="8">
        <f t="shared" si="7"/>
        <v>0.28712548795097059</v>
      </c>
      <c r="H82" s="11">
        <f t="shared" si="7"/>
        <v>287.12548795097058</v>
      </c>
    </row>
    <row r="83" spans="1:8" x14ac:dyDescent="0.35">
      <c r="A83" s="3" t="s">
        <v>97</v>
      </c>
      <c r="B83" s="1">
        <v>45394</v>
      </c>
      <c r="C83" s="2">
        <v>2280</v>
      </c>
      <c r="D83" s="4">
        <f t="shared" si="4"/>
        <v>1.4250000000000001E-2</v>
      </c>
      <c r="E83" s="4">
        <f t="shared" si="5"/>
        <v>1.4237627501701022E-4</v>
      </c>
      <c r="F83" s="4">
        <f t="shared" si="6"/>
        <v>2.8475255003402043E-4</v>
      </c>
      <c r="G83" s="8">
        <f t="shared" si="7"/>
        <v>0.28475255003402045</v>
      </c>
      <c r="H83" s="11">
        <f t="shared" si="7"/>
        <v>284.75255003402043</v>
      </c>
    </row>
    <row r="84" spans="1:8" x14ac:dyDescent="0.35">
      <c r="A84" s="3" t="s">
        <v>40</v>
      </c>
      <c r="B84" s="1">
        <v>45257</v>
      </c>
      <c r="C84" s="2">
        <v>2274</v>
      </c>
      <c r="D84" s="4">
        <f t="shared" si="4"/>
        <v>1.4212500000000001E-2</v>
      </c>
      <c r="E84" s="4">
        <f t="shared" si="5"/>
        <v>1.4200160060907072E-4</v>
      </c>
      <c r="F84" s="4">
        <f t="shared" si="6"/>
        <v>2.8400320121814144E-4</v>
      </c>
      <c r="G84" s="8">
        <f t="shared" si="7"/>
        <v>0.28400320121814143</v>
      </c>
      <c r="H84" s="11">
        <f t="shared" si="7"/>
        <v>284.00320121814144</v>
      </c>
    </row>
    <row r="85" spans="1:8" x14ac:dyDescent="0.35">
      <c r="A85" s="3" t="s">
        <v>98</v>
      </c>
      <c r="B85" s="1">
        <v>45394</v>
      </c>
      <c r="C85" s="2">
        <v>2257</v>
      </c>
      <c r="D85" s="4">
        <f t="shared" si="4"/>
        <v>1.4106249999999999E-2</v>
      </c>
      <c r="E85" s="4">
        <f t="shared" si="5"/>
        <v>1.4094002311990878E-4</v>
      </c>
      <c r="F85" s="4">
        <f t="shared" si="6"/>
        <v>2.8188004623981756E-4</v>
      </c>
      <c r="G85" s="8">
        <f t="shared" si="7"/>
        <v>0.28188004623981755</v>
      </c>
      <c r="H85" s="11">
        <f t="shared" si="7"/>
        <v>281.88004623981755</v>
      </c>
    </row>
    <row r="86" spans="1:8" x14ac:dyDescent="0.35">
      <c r="A86" s="3" t="s">
        <v>89</v>
      </c>
      <c r="B86" s="1">
        <v>45257</v>
      </c>
      <c r="C86" s="2">
        <v>2256</v>
      </c>
      <c r="D86" s="4">
        <f t="shared" si="4"/>
        <v>1.41E-2</v>
      </c>
      <c r="E86" s="4">
        <f t="shared" si="5"/>
        <v>1.4087757738525221E-4</v>
      </c>
      <c r="F86" s="4">
        <f t="shared" si="6"/>
        <v>2.8175515477050442E-4</v>
      </c>
      <c r="G86" s="8">
        <f t="shared" si="7"/>
        <v>0.28175515477050445</v>
      </c>
      <c r="H86" s="11">
        <f t="shared" si="7"/>
        <v>281.75515477050442</v>
      </c>
    </row>
    <row r="87" spans="1:8" x14ac:dyDescent="0.35">
      <c r="A87" s="3" t="s">
        <v>64</v>
      </c>
      <c r="B87" s="1">
        <v>45257</v>
      </c>
      <c r="C87" s="2">
        <v>2255</v>
      </c>
      <c r="D87" s="4">
        <f t="shared" si="4"/>
        <v>1.409375E-2</v>
      </c>
      <c r="E87" s="4">
        <f t="shared" si="5"/>
        <v>1.4081513165059564E-4</v>
      </c>
      <c r="F87" s="4">
        <f t="shared" si="6"/>
        <v>2.8163026330119129E-4</v>
      </c>
      <c r="G87" s="8">
        <f t="shared" si="7"/>
        <v>0.28163026330119129</v>
      </c>
      <c r="H87" s="11">
        <f t="shared" si="7"/>
        <v>281.63026330119129</v>
      </c>
    </row>
    <row r="88" spans="1:8" x14ac:dyDescent="0.35">
      <c r="A88" s="3" t="s">
        <v>68</v>
      </c>
      <c r="B88" s="1">
        <v>45257</v>
      </c>
      <c r="C88" s="2">
        <v>2255</v>
      </c>
      <c r="D88" s="4">
        <f t="shared" si="4"/>
        <v>1.409375E-2</v>
      </c>
      <c r="E88" s="4">
        <f t="shared" si="5"/>
        <v>1.4081513165059564E-4</v>
      </c>
      <c r="F88" s="4">
        <f t="shared" si="6"/>
        <v>2.8163026330119129E-4</v>
      </c>
      <c r="G88" s="8">
        <f t="shared" si="7"/>
        <v>0.28163026330119129</v>
      </c>
      <c r="H88" s="11">
        <f t="shared" si="7"/>
        <v>281.63026330119129</v>
      </c>
    </row>
    <row r="89" spans="1:8" x14ac:dyDescent="0.35">
      <c r="A89" s="3" t="s">
        <v>66</v>
      </c>
      <c r="B89" s="1">
        <v>45257</v>
      </c>
      <c r="C89" s="2">
        <v>2238</v>
      </c>
      <c r="D89" s="4">
        <f t="shared" si="4"/>
        <v>1.39875E-2</v>
      </c>
      <c r="E89" s="4">
        <f t="shared" si="5"/>
        <v>1.397535541614337E-4</v>
      </c>
      <c r="F89" s="4">
        <f t="shared" si="6"/>
        <v>2.7950710832286741E-4</v>
      </c>
      <c r="G89" s="8">
        <f t="shared" si="7"/>
        <v>0.2795071083228674</v>
      </c>
      <c r="H89" s="11">
        <f t="shared" si="7"/>
        <v>279.5071083228674</v>
      </c>
    </row>
    <row r="90" spans="1:8" x14ac:dyDescent="0.35">
      <c r="A90" s="3" t="s">
        <v>99</v>
      </c>
      <c r="B90" s="1">
        <v>45394</v>
      </c>
      <c r="C90" s="2">
        <v>2232</v>
      </c>
      <c r="D90" s="4">
        <f t="shared" si="4"/>
        <v>1.3949999999999999E-2</v>
      </c>
      <c r="E90" s="4">
        <f t="shared" si="5"/>
        <v>1.3937887975349421E-4</v>
      </c>
      <c r="F90" s="4">
        <f t="shared" si="6"/>
        <v>2.7875775950698842E-4</v>
      </c>
      <c r="G90" s="8">
        <f t="shared" si="7"/>
        <v>0.27875775950698839</v>
      </c>
      <c r="H90" s="11">
        <f t="shared" si="7"/>
        <v>278.75775950698841</v>
      </c>
    </row>
    <row r="91" spans="1:8" x14ac:dyDescent="0.35">
      <c r="A91" s="3" t="s">
        <v>100</v>
      </c>
      <c r="B91" s="1">
        <v>45394</v>
      </c>
      <c r="C91" s="2">
        <v>2212</v>
      </c>
      <c r="D91" s="4">
        <f t="shared" si="4"/>
        <v>1.3824999999999999E-2</v>
      </c>
      <c r="E91" s="4">
        <f t="shared" si="5"/>
        <v>1.3812996506036253E-4</v>
      </c>
      <c r="F91" s="4">
        <f t="shared" si="6"/>
        <v>2.7625993012072507E-4</v>
      </c>
      <c r="G91" s="8">
        <f t="shared" si="7"/>
        <v>0.27625993012072508</v>
      </c>
      <c r="H91" s="11">
        <f t="shared" si="7"/>
        <v>276.25993012072507</v>
      </c>
    </row>
    <row r="92" spans="1:8" x14ac:dyDescent="0.35">
      <c r="A92" s="3" t="s">
        <v>75</v>
      </c>
      <c r="B92" s="1">
        <v>45257</v>
      </c>
      <c r="C92" s="2">
        <v>2200</v>
      </c>
      <c r="D92" s="4">
        <f t="shared" si="4"/>
        <v>1.375E-2</v>
      </c>
      <c r="E92" s="4">
        <f t="shared" si="5"/>
        <v>1.3738061624448355E-4</v>
      </c>
      <c r="F92" s="4">
        <f t="shared" si="6"/>
        <v>2.7476123248896709E-4</v>
      </c>
      <c r="G92" s="8">
        <f t="shared" si="7"/>
        <v>0.27476123248896711</v>
      </c>
      <c r="H92" s="11">
        <f t="shared" si="7"/>
        <v>274.7612324889671</v>
      </c>
    </row>
    <row r="93" spans="1:8" x14ac:dyDescent="0.35">
      <c r="A93" s="3" t="s">
        <v>65</v>
      </c>
      <c r="B93" s="1">
        <v>45257</v>
      </c>
      <c r="C93" s="2">
        <v>2195</v>
      </c>
      <c r="D93" s="4">
        <f t="shared" si="4"/>
        <v>1.371875E-2</v>
      </c>
      <c r="E93" s="4">
        <f t="shared" si="5"/>
        <v>1.3706838757120062E-4</v>
      </c>
      <c r="F93" s="4">
        <f t="shared" si="6"/>
        <v>2.7413677514240124E-4</v>
      </c>
      <c r="G93" s="8">
        <f t="shared" si="7"/>
        <v>0.27413677514240126</v>
      </c>
      <c r="H93" s="11">
        <f t="shared" si="7"/>
        <v>274.13677514240123</v>
      </c>
    </row>
    <row r="94" spans="1:8" x14ac:dyDescent="0.35">
      <c r="A94" s="3" t="s">
        <v>76</v>
      </c>
      <c r="B94" s="1">
        <v>45257</v>
      </c>
      <c r="C94" s="2">
        <v>2190</v>
      </c>
      <c r="D94" s="4">
        <f t="shared" si="4"/>
        <v>1.36875E-2</v>
      </c>
      <c r="E94" s="4">
        <f t="shared" si="5"/>
        <v>1.3675615889791772E-4</v>
      </c>
      <c r="F94" s="4">
        <f t="shared" si="6"/>
        <v>2.7351231779583544E-4</v>
      </c>
      <c r="G94" s="8">
        <f t="shared" si="7"/>
        <v>0.27351231779583546</v>
      </c>
      <c r="H94" s="11">
        <f t="shared" si="7"/>
        <v>273.51231779583549</v>
      </c>
    </row>
    <row r="95" spans="1:8" x14ac:dyDescent="0.35">
      <c r="A95" s="3" t="s">
        <v>67</v>
      </c>
      <c r="B95" s="1">
        <v>45257</v>
      </c>
      <c r="C95" s="2">
        <v>2183</v>
      </c>
      <c r="D95" s="4">
        <f t="shared" si="4"/>
        <v>1.3643750000000001E-2</v>
      </c>
      <c r="E95" s="4">
        <f t="shared" si="5"/>
        <v>1.3631903875532163E-4</v>
      </c>
      <c r="F95" s="4">
        <f t="shared" si="6"/>
        <v>2.7263807751064326E-4</v>
      </c>
      <c r="G95" s="8">
        <f t="shared" si="7"/>
        <v>0.27263807751064328</v>
      </c>
      <c r="H95" s="11">
        <f t="shared" si="7"/>
        <v>272.63807751064326</v>
      </c>
    </row>
    <row r="96" spans="1:8" x14ac:dyDescent="0.35">
      <c r="A96" s="3" t="s">
        <v>101</v>
      </c>
      <c r="B96" s="1">
        <v>45394</v>
      </c>
      <c r="C96" s="2">
        <v>2183</v>
      </c>
      <c r="D96" s="4">
        <f t="shared" si="4"/>
        <v>1.3643750000000001E-2</v>
      </c>
      <c r="E96" s="4">
        <f t="shared" si="5"/>
        <v>1.3631903875532163E-4</v>
      </c>
      <c r="F96" s="4">
        <f t="shared" si="6"/>
        <v>2.7263807751064326E-4</v>
      </c>
      <c r="G96" s="8">
        <f t="shared" si="7"/>
        <v>0.27263807751064328</v>
      </c>
      <c r="H96" s="11">
        <f t="shared" si="7"/>
        <v>272.63807751064326</v>
      </c>
    </row>
    <row r="97" spans="1:8" x14ac:dyDescent="0.35">
      <c r="A97" s="3" t="s">
        <v>102</v>
      </c>
      <c r="B97" s="1">
        <v>45394</v>
      </c>
      <c r="C97" s="2">
        <v>2169</v>
      </c>
      <c r="D97" s="4">
        <f t="shared" si="4"/>
        <v>1.3556250000000001E-2</v>
      </c>
      <c r="E97" s="4">
        <f t="shared" si="5"/>
        <v>1.3544479847012945E-4</v>
      </c>
      <c r="F97" s="4">
        <f t="shared" si="6"/>
        <v>2.708895969402589E-4</v>
      </c>
      <c r="G97" s="8">
        <f t="shared" si="7"/>
        <v>0.27088959694025888</v>
      </c>
      <c r="H97" s="11">
        <f t="shared" si="7"/>
        <v>270.88959694025885</v>
      </c>
    </row>
    <row r="98" spans="1:8" x14ac:dyDescent="0.35">
      <c r="A98" s="3" t="s">
        <v>103</v>
      </c>
      <c r="B98" s="1">
        <v>45394</v>
      </c>
      <c r="C98" s="2">
        <v>2152</v>
      </c>
      <c r="D98" s="4">
        <f t="shared" si="4"/>
        <v>1.345E-2</v>
      </c>
      <c r="E98" s="4">
        <f t="shared" si="5"/>
        <v>1.3438322098096754E-4</v>
      </c>
      <c r="F98" s="4">
        <f t="shared" si="6"/>
        <v>2.6876644196193508E-4</v>
      </c>
      <c r="G98" s="8">
        <f t="shared" si="7"/>
        <v>0.26876644196193505</v>
      </c>
      <c r="H98" s="11">
        <f t="shared" si="7"/>
        <v>268.76644196193507</v>
      </c>
    </row>
    <row r="99" spans="1:8" x14ac:dyDescent="0.35">
      <c r="A99" s="3" t="s">
        <v>104</v>
      </c>
      <c r="B99" s="1">
        <v>45257</v>
      </c>
      <c r="C99" s="2">
        <v>2129</v>
      </c>
      <c r="D99" s="4">
        <f t="shared" si="4"/>
        <v>1.330625E-2</v>
      </c>
      <c r="E99" s="4">
        <f t="shared" si="5"/>
        <v>1.3294696908386613E-4</v>
      </c>
      <c r="F99" s="4">
        <f t="shared" si="6"/>
        <v>2.6589393816773226E-4</v>
      </c>
      <c r="G99" s="8">
        <f t="shared" si="7"/>
        <v>0.26589393816773227</v>
      </c>
      <c r="H99" s="11">
        <f t="shared" si="7"/>
        <v>265.89393816773224</v>
      </c>
    </row>
    <row r="100" spans="1:8" x14ac:dyDescent="0.35">
      <c r="A100" s="3" t="s">
        <v>71</v>
      </c>
      <c r="B100" s="1">
        <v>45257</v>
      </c>
      <c r="C100" s="2">
        <v>2123</v>
      </c>
      <c r="D100" s="4">
        <f t="shared" si="4"/>
        <v>1.3268750000000001E-2</v>
      </c>
      <c r="E100" s="4">
        <f t="shared" si="5"/>
        <v>1.3257229467592664E-4</v>
      </c>
      <c r="F100" s="4">
        <f t="shared" si="6"/>
        <v>2.6514458935185327E-4</v>
      </c>
      <c r="G100" s="8">
        <f t="shared" si="7"/>
        <v>0.26514458935185325</v>
      </c>
      <c r="H100" s="11">
        <f t="shared" si="7"/>
        <v>265.14458935185326</v>
      </c>
    </row>
    <row r="101" spans="1:8" x14ac:dyDescent="0.35">
      <c r="A101" s="3" t="s">
        <v>90</v>
      </c>
      <c r="B101" s="1">
        <v>45257</v>
      </c>
      <c r="C101" s="2">
        <v>2119</v>
      </c>
      <c r="D101" s="4">
        <f t="shared" si="4"/>
        <v>1.324375E-2</v>
      </c>
      <c r="E101" s="4">
        <f t="shared" si="5"/>
        <v>1.3232251173730028E-4</v>
      </c>
      <c r="F101" s="4">
        <f t="shared" si="6"/>
        <v>2.6464502347460056E-4</v>
      </c>
      <c r="G101" s="8">
        <f t="shared" si="7"/>
        <v>0.26464502347460056</v>
      </c>
      <c r="H101" s="11">
        <f t="shared" si="7"/>
        <v>264.64502347460058</v>
      </c>
    </row>
    <row r="102" spans="1:8" x14ac:dyDescent="0.35">
      <c r="A102" s="3" t="s">
        <v>93</v>
      </c>
      <c r="B102" s="1">
        <v>45257</v>
      </c>
      <c r="C102" s="2">
        <v>2099</v>
      </c>
      <c r="D102" s="4">
        <f t="shared" si="4"/>
        <v>1.311875E-2</v>
      </c>
      <c r="E102" s="4">
        <f t="shared" si="5"/>
        <v>1.3107359704416863E-4</v>
      </c>
      <c r="F102" s="4">
        <f t="shared" si="6"/>
        <v>2.6214719408833726E-4</v>
      </c>
      <c r="G102" s="8">
        <f t="shared" si="7"/>
        <v>0.26214719408833725</v>
      </c>
      <c r="H102" s="11">
        <f t="shared" si="7"/>
        <v>262.14719408833724</v>
      </c>
    </row>
    <row r="103" spans="1:8" x14ac:dyDescent="0.35">
      <c r="A103" s="3" t="s">
        <v>81</v>
      </c>
      <c r="B103" s="1">
        <v>45257</v>
      </c>
      <c r="C103" s="2">
        <v>2093</v>
      </c>
      <c r="D103" s="4">
        <f t="shared" si="4"/>
        <v>1.3081250000000001E-2</v>
      </c>
      <c r="E103" s="4">
        <f t="shared" si="5"/>
        <v>1.3069892263622914E-4</v>
      </c>
      <c r="F103" s="4">
        <f t="shared" si="6"/>
        <v>2.6139784527245827E-4</v>
      </c>
      <c r="G103" s="8">
        <f t="shared" si="7"/>
        <v>0.2613978452724583</v>
      </c>
      <c r="H103" s="11">
        <f t="shared" si="7"/>
        <v>261.39784527245831</v>
      </c>
    </row>
    <row r="104" spans="1:8" x14ac:dyDescent="0.35">
      <c r="A104" s="3" t="s">
        <v>105</v>
      </c>
      <c r="B104" s="1">
        <v>45394</v>
      </c>
      <c r="C104" s="2">
        <v>2093</v>
      </c>
      <c r="D104" s="4">
        <f t="shared" si="4"/>
        <v>1.3081250000000001E-2</v>
      </c>
      <c r="E104" s="4">
        <f t="shared" si="5"/>
        <v>1.3069892263622914E-4</v>
      </c>
      <c r="F104" s="4">
        <f t="shared" si="6"/>
        <v>2.6139784527245827E-4</v>
      </c>
      <c r="G104" s="8">
        <f t="shared" si="7"/>
        <v>0.2613978452724583</v>
      </c>
      <c r="H104" s="11">
        <f t="shared" si="7"/>
        <v>261.39784527245831</v>
      </c>
    </row>
    <row r="105" spans="1:8" x14ac:dyDescent="0.35">
      <c r="A105" s="3" t="s">
        <v>82</v>
      </c>
      <c r="B105" s="1">
        <v>45257</v>
      </c>
      <c r="C105" s="2">
        <v>2087</v>
      </c>
      <c r="D105" s="4">
        <f t="shared" si="4"/>
        <v>1.304375E-2</v>
      </c>
      <c r="E105" s="4">
        <f t="shared" si="5"/>
        <v>1.3032424822828962E-4</v>
      </c>
      <c r="F105" s="4">
        <f t="shared" si="6"/>
        <v>2.6064849645657923E-4</v>
      </c>
      <c r="G105" s="8">
        <f t="shared" si="7"/>
        <v>0.26064849645657923</v>
      </c>
      <c r="H105" s="11">
        <f t="shared" si="7"/>
        <v>260.64849645657921</v>
      </c>
    </row>
    <row r="106" spans="1:8" x14ac:dyDescent="0.35">
      <c r="A106" s="3" t="s">
        <v>87</v>
      </c>
      <c r="B106" s="1">
        <v>45257</v>
      </c>
      <c r="C106" s="2">
        <v>2071</v>
      </c>
      <c r="D106" s="4">
        <f t="shared" si="4"/>
        <v>1.294375E-2</v>
      </c>
      <c r="E106" s="4">
        <f t="shared" si="5"/>
        <v>1.293251164737843E-4</v>
      </c>
      <c r="F106" s="4">
        <f t="shared" si="6"/>
        <v>2.586502329475686E-4</v>
      </c>
      <c r="G106" s="8">
        <f t="shared" si="7"/>
        <v>0.25865023294756861</v>
      </c>
      <c r="H106" s="11">
        <f t="shared" si="7"/>
        <v>258.65023294756861</v>
      </c>
    </row>
    <row r="107" spans="1:8" x14ac:dyDescent="0.35">
      <c r="A107" s="3" t="s">
        <v>98</v>
      </c>
      <c r="B107" s="1">
        <v>45257</v>
      </c>
      <c r="C107" s="2">
        <v>2067</v>
      </c>
      <c r="D107" s="4">
        <f t="shared" si="4"/>
        <v>1.291875E-2</v>
      </c>
      <c r="E107" s="4">
        <f t="shared" si="5"/>
        <v>1.2907533353515794E-4</v>
      </c>
      <c r="F107" s="4">
        <f t="shared" si="6"/>
        <v>2.5815066707031588E-4</v>
      </c>
      <c r="G107" s="8">
        <f t="shared" si="7"/>
        <v>0.25815066707031586</v>
      </c>
      <c r="H107" s="11">
        <f t="shared" si="7"/>
        <v>258.15066707031588</v>
      </c>
    </row>
    <row r="108" spans="1:8" x14ac:dyDescent="0.35">
      <c r="A108" s="3" t="s">
        <v>96</v>
      </c>
      <c r="B108" s="1">
        <v>45257</v>
      </c>
      <c r="C108" s="2">
        <v>2067</v>
      </c>
      <c r="D108" s="4">
        <f t="shared" si="4"/>
        <v>1.291875E-2</v>
      </c>
      <c r="E108" s="4">
        <f t="shared" si="5"/>
        <v>1.2907533353515794E-4</v>
      </c>
      <c r="F108" s="4">
        <f t="shared" si="6"/>
        <v>2.5815066707031588E-4</v>
      </c>
      <c r="G108" s="8">
        <f t="shared" si="7"/>
        <v>0.25815066707031586</v>
      </c>
      <c r="H108" s="11">
        <f t="shared" si="7"/>
        <v>258.15066707031588</v>
      </c>
    </row>
    <row r="109" spans="1:8" x14ac:dyDescent="0.35">
      <c r="A109" s="3" t="s">
        <v>106</v>
      </c>
      <c r="B109" s="1">
        <v>45257</v>
      </c>
      <c r="C109" s="2">
        <v>2059</v>
      </c>
      <c r="D109" s="4">
        <f t="shared" si="4"/>
        <v>1.286875E-2</v>
      </c>
      <c r="E109" s="4">
        <f t="shared" si="5"/>
        <v>1.2857576765790528E-4</v>
      </c>
      <c r="F109" s="4">
        <f t="shared" si="6"/>
        <v>2.5715153531581056E-4</v>
      </c>
      <c r="G109" s="8">
        <f t="shared" si="7"/>
        <v>0.25715153531581059</v>
      </c>
      <c r="H109" s="11">
        <f t="shared" si="7"/>
        <v>257.15153531581058</v>
      </c>
    </row>
    <row r="110" spans="1:8" x14ac:dyDescent="0.35">
      <c r="A110" s="3" t="s">
        <v>104</v>
      </c>
      <c r="B110" s="1">
        <v>45394</v>
      </c>
      <c r="C110" s="2">
        <v>2056</v>
      </c>
      <c r="D110" s="4">
        <f t="shared" si="4"/>
        <v>1.285E-2</v>
      </c>
      <c r="E110" s="4">
        <f t="shared" si="5"/>
        <v>1.2838843045393552E-4</v>
      </c>
      <c r="F110" s="4">
        <f t="shared" si="6"/>
        <v>2.5677686090787104E-4</v>
      </c>
      <c r="G110" s="8">
        <f t="shared" si="7"/>
        <v>0.25677686090787105</v>
      </c>
      <c r="H110" s="11">
        <f t="shared" si="7"/>
        <v>256.77686090787103</v>
      </c>
    </row>
    <row r="111" spans="1:8" x14ac:dyDescent="0.35">
      <c r="A111" s="3" t="s">
        <v>83</v>
      </c>
      <c r="B111" s="1">
        <v>45257</v>
      </c>
      <c r="C111" s="2">
        <v>2051</v>
      </c>
      <c r="D111" s="4">
        <f t="shared" si="4"/>
        <v>1.281875E-2</v>
      </c>
      <c r="E111" s="4">
        <f t="shared" si="5"/>
        <v>1.2807620178065262E-4</v>
      </c>
      <c r="F111" s="4">
        <f t="shared" si="6"/>
        <v>2.5615240356130525E-4</v>
      </c>
      <c r="G111" s="8">
        <f t="shared" si="7"/>
        <v>0.25615240356130525</v>
      </c>
      <c r="H111" s="11">
        <f t="shared" si="7"/>
        <v>256.15240356130528</v>
      </c>
    </row>
    <row r="112" spans="1:8" x14ac:dyDescent="0.35">
      <c r="A112" s="3" t="s">
        <v>107</v>
      </c>
      <c r="B112" s="1">
        <v>45394</v>
      </c>
      <c r="C112" s="2">
        <v>2013</v>
      </c>
      <c r="D112" s="4">
        <f t="shared" si="4"/>
        <v>1.258125E-2</v>
      </c>
      <c r="E112" s="4">
        <f t="shared" si="5"/>
        <v>1.2570326386370244E-4</v>
      </c>
      <c r="F112" s="4">
        <f t="shared" si="6"/>
        <v>2.5140652772740488E-4</v>
      </c>
      <c r="G112" s="8">
        <f t="shared" si="7"/>
        <v>0.2514065277274049</v>
      </c>
      <c r="H112" s="11">
        <f t="shared" si="7"/>
        <v>251.40652772740489</v>
      </c>
    </row>
    <row r="113" spans="1:8" x14ac:dyDescent="0.35">
      <c r="A113" s="3" t="s">
        <v>108</v>
      </c>
      <c r="B113" s="1">
        <v>45394</v>
      </c>
      <c r="C113" s="2">
        <v>2009</v>
      </c>
      <c r="D113" s="4">
        <f t="shared" si="4"/>
        <v>1.255625E-2</v>
      </c>
      <c r="E113" s="4">
        <f t="shared" si="5"/>
        <v>1.2545348092507611E-4</v>
      </c>
      <c r="F113" s="4">
        <f t="shared" si="6"/>
        <v>2.5090696185015222E-4</v>
      </c>
      <c r="G113" s="8">
        <f t="shared" si="7"/>
        <v>0.25090696185015221</v>
      </c>
      <c r="H113" s="11">
        <f t="shared" si="7"/>
        <v>250.90696185015221</v>
      </c>
    </row>
    <row r="114" spans="1:8" x14ac:dyDescent="0.35">
      <c r="A114" s="3" t="s">
        <v>105</v>
      </c>
      <c r="B114" s="1">
        <v>45257</v>
      </c>
      <c r="C114" s="2">
        <v>2007</v>
      </c>
      <c r="D114" s="4">
        <f t="shared" si="4"/>
        <v>1.2543749999999999E-2</v>
      </c>
      <c r="E114" s="4">
        <f t="shared" si="5"/>
        <v>1.2532858945576294E-4</v>
      </c>
      <c r="F114" s="4">
        <f t="shared" si="6"/>
        <v>2.5065717891152589E-4</v>
      </c>
      <c r="G114" s="8">
        <f t="shared" si="7"/>
        <v>0.25065717891152589</v>
      </c>
      <c r="H114" s="11">
        <f t="shared" si="7"/>
        <v>250.6571789115259</v>
      </c>
    </row>
    <row r="115" spans="1:8" x14ac:dyDescent="0.35">
      <c r="A115" s="3" t="s">
        <v>91</v>
      </c>
      <c r="B115" s="1">
        <v>45257</v>
      </c>
      <c r="C115" s="2">
        <v>1996</v>
      </c>
      <c r="D115" s="4">
        <f t="shared" si="4"/>
        <v>1.2475E-2</v>
      </c>
      <c r="E115" s="4">
        <f t="shared" si="5"/>
        <v>1.2464168637454053E-4</v>
      </c>
      <c r="F115" s="4">
        <f t="shared" si="6"/>
        <v>2.4928337274908105E-4</v>
      </c>
      <c r="G115" s="8">
        <f t="shared" si="7"/>
        <v>0.24928337274908105</v>
      </c>
      <c r="H115" s="11">
        <f t="shared" si="7"/>
        <v>249.28337274908105</v>
      </c>
    </row>
    <row r="116" spans="1:8" x14ac:dyDescent="0.35">
      <c r="A116" s="3" t="s">
        <v>85</v>
      </c>
      <c r="B116" s="1">
        <v>45257</v>
      </c>
      <c r="C116" s="2">
        <v>1995</v>
      </c>
      <c r="D116" s="4">
        <f t="shared" si="4"/>
        <v>1.2468750000000001E-2</v>
      </c>
      <c r="E116" s="4">
        <f t="shared" si="5"/>
        <v>1.2457924063988396E-4</v>
      </c>
      <c r="F116" s="4">
        <f t="shared" si="6"/>
        <v>2.4915848127976791E-4</v>
      </c>
      <c r="G116" s="8">
        <f t="shared" si="7"/>
        <v>0.24915848127976792</v>
      </c>
      <c r="H116" s="11">
        <f t="shared" si="7"/>
        <v>249.15848127976793</v>
      </c>
    </row>
    <row r="117" spans="1:8" x14ac:dyDescent="0.35">
      <c r="A117" s="3" t="s">
        <v>109</v>
      </c>
      <c r="B117" s="1">
        <v>45394</v>
      </c>
      <c r="C117" s="2">
        <v>1985</v>
      </c>
      <c r="D117" s="4">
        <f t="shared" si="4"/>
        <v>1.2406250000000001E-2</v>
      </c>
      <c r="E117" s="4">
        <f t="shared" si="5"/>
        <v>1.2395478329331811E-4</v>
      </c>
      <c r="F117" s="4">
        <f t="shared" si="6"/>
        <v>2.4790956658663621E-4</v>
      </c>
      <c r="G117" s="8">
        <f t="shared" si="7"/>
        <v>0.24790956658663621</v>
      </c>
      <c r="H117" s="11">
        <f t="shared" si="7"/>
        <v>247.9095665866362</v>
      </c>
    </row>
    <row r="118" spans="1:8" x14ac:dyDescent="0.35">
      <c r="A118" s="3" t="s">
        <v>110</v>
      </c>
      <c r="B118" s="1">
        <v>45394</v>
      </c>
      <c r="C118" s="2">
        <v>1950</v>
      </c>
      <c r="D118" s="4">
        <f t="shared" si="4"/>
        <v>1.21875E-2</v>
      </c>
      <c r="E118" s="4">
        <f t="shared" si="5"/>
        <v>1.217691825803377E-4</v>
      </c>
      <c r="F118" s="4">
        <f t="shared" si="6"/>
        <v>2.4353836516067539E-4</v>
      </c>
      <c r="G118" s="8">
        <f t="shared" si="7"/>
        <v>0.2435383651606754</v>
      </c>
      <c r="H118" s="11">
        <f t="shared" si="7"/>
        <v>243.5383651606754</v>
      </c>
    </row>
    <row r="119" spans="1:8" x14ac:dyDescent="0.35">
      <c r="A119" s="3" t="s">
        <v>69</v>
      </c>
      <c r="B119" s="1">
        <v>45257</v>
      </c>
      <c r="C119" s="2">
        <v>1949</v>
      </c>
      <c r="D119" s="4">
        <f t="shared" si="4"/>
        <v>1.2181250000000001E-2</v>
      </c>
      <c r="E119" s="4">
        <f t="shared" si="5"/>
        <v>1.2170673684568111E-4</v>
      </c>
      <c r="F119" s="4">
        <f t="shared" si="6"/>
        <v>2.4341347369136223E-4</v>
      </c>
      <c r="G119" s="8">
        <f t="shared" si="7"/>
        <v>0.24341347369136224</v>
      </c>
      <c r="H119" s="11">
        <f t="shared" si="7"/>
        <v>243.41347369136224</v>
      </c>
    </row>
    <row r="120" spans="1:8" x14ac:dyDescent="0.35">
      <c r="A120" s="3" t="s">
        <v>94</v>
      </c>
      <c r="B120" s="1">
        <v>45257</v>
      </c>
      <c r="C120" s="2">
        <v>1930</v>
      </c>
      <c r="D120" s="4">
        <f t="shared" si="4"/>
        <v>1.20625E-2</v>
      </c>
      <c r="E120" s="4">
        <f t="shared" si="5"/>
        <v>1.2052026788720602E-4</v>
      </c>
      <c r="F120" s="4">
        <f t="shared" si="6"/>
        <v>2.4104053577441204E-4</v>
      </c>
      <c r="G120" s="8">
        <f t="shared" si="7"/>
        <v>0.24104053577441203</v>
      </c>
      <c r="H120" s="11">
        <f t="shared" si="7"/>
        <v>241.04053577441204</v>
      </c>
    </row>
    <row r="121" spans="1:8" x14ac:dyDescent="0.35">
      <c r="A121" s="3" t="s">
        <v>111</v>
      </c>
      <c r="B121" s="1">
        <v>45257</v>
      </c>
      <c r="C121" s="2">
        <v>1921</v>
      </c>
      <c r="D121" s="4">
        <f t="shared" si="4"/>
        <v>1.200625E-2</v>
      </c>
      <c r="E121" s="4">
        <f t="shared" si="5"/>
        <v>1.1995825627529677E-4</v>
      </c>
      <c r="F121" s="4">
        <f t="shared" si="6"/>
        <v>2.3991651255059353E-4</v>
      </c>
      <c r="G121" s="8">
        <f t="shared" si="7"/>
        <v>0.23991651255059354</v>
      </c>
      <c r="H121" s="11">
        <f t="shared" si="7"/>
        <v>239.91651255059355</v>
      </c>
    </row>
    <row r="122" spans="1:8" x14ac:dyDescent="0.35">
      <c r="A122" s="3" t="s">
        <v>84</v>
      </c>
      <c r="B122" s="1">
        <v>45257</v>
      </c>
      <c r="C122" s="2">
        <v>1895</v>
      </c>
      <c r="D122" s="4">
        <f t="shared" si="4"/>
        <v>1.184375E-2</v>
      </c>
      <c r="E122" s="4">
        <f t="shared" si="5"/>
        <v>1.183346671742256E-4</v>
      </c>
      <c r="F122" s="4">
        <f t="shared" si="6"/>
        <v>2.3666933434845119E-4</v>
      </c>
      <c r="G122" s="8">
        <f t="shared" si="7"/>
        <v>0.23666933434845119</v>
      </c>
      <c r="H122" s="11">
        <f t="shared" si="7"/>
        <v>236.6693343484512</v>
      </c>
    </row>
    <row r="123" spans="1:8" x14ac:dyDescent="0.35">
      <c r="A123" s="3" t="s">
        <v>106</v>
      </c>
      <c r="B123" s="1">
        <v>45394</v>
      </c>
      <c r="C123" s="2">
        <v>1879</v>
      </c>
      <c r="D123" s="4">
        <f t="shared" si="4"/>
        <v>1.1743750000000001E-2</v>
      </c>
      <c r="E123" s="4">
        <f t="shared" si="5"/>
        <v>1.1733553541972027E-4</v>
      </c>
      <c r="F123" s="4">
        <f t="shared" si="6"/>
        <v>2.3467107083944053E-4</v>
      </c>
      <c r="G123" s="8">
        <f t="shared" si="7"/>
        <v>0.23467107083944053</v>
      </c>
      <c r="H123" s="11">
        <f t="shared" si="7"/>
        <v>234.67107083944052</v>
      </c>
    </row>
    <row r="124" spans="1:8" s="16" customFormat="1" x14ac:dyDescent="0.35">
      <c r="A124" s="14" t="s">
        <v>112</v>
      </c>
      <c r="B124" s="15">
        <v>45394</v>
      </c>
      <c r="C124" s="16">
        <v>1876</v>
      </c>
      <c r="D124" s="17">
        <f t="shared" si="4"/>
        <v>1.1724999999999999E-2</v>
      </c>
      <c r="E124" s="17">
        <f t="shared" si="5"/>
        <v>1.1714819821575051E-4</v>
      </c>
      <c r="F124" s="17">
        <f t="shared" si="6"/>
        <v>2.3429639643150101E-4</v>
      </c>
      <c r="G124" s="18">
        <f t="shared" si="7"/>
        <v>0.23429639643150102</v>
      </c>
      <c r="H124" s="19">
        <f t="shared" si="7"/>
        <v>234.29639643150102</v>
      </c>
    </row>
    <row r="125" spans="1:8" x14ac:dyDescent="0.35">
      <c r="A125" s="3" t="s">
        <v>97</v>
      </c>
      <c r="B125" s="1">
        <v>45257</v>
      </c>
      <c r="C125" s="2">
        <v>1834</v>
      </c>
      <c r="D125" s="4">
        <f t="shared" si="4"/>
        <v>1.14625E-2</v>
      </c>
      <c r="E125" s="4">
        <f t="shared" si="5"/>
        <v>1.1452547736017402E-4</v>
      </c>
      <c r="F125" s="4">
        <f t="shared" si="6"/>
        <v>2.2905095472034804E-4</v>
      </c>
      <c r="G125" s="8">
        <f t="shared" si="7"/>
        <v>0.22905095472034803</v>
      </c>
      <c r="H125" s="11">
        <f t="shared" si="7"/>
        <v>229.05095472034805</v>
      </c>
    </row>
    <row r="126" spans="1:8" x14ac:dyDescent="0.35">
      <c r="A126" s="3" t="s">
        <v>111</v>
      </c>
      <c r="B126" s="1">
        <v>45394</v>
      </c>
      <c r="C126" s="2">
        <v>1833</v>
      </c>
      <c r="D126" s="4">
        <f t="shared" si="4"/>
        <v>1.1456250000000001E-2</v>
      </c>
      <c r="E126" s="4">
        <f t="shared" si="5"/>
        <v>1.1446303162551744E-4</v>
      </c>
      <c r="F126" s="4">
        <f t="shared" si="6"/>
        <v>2.2892606325103487E-4</v>
      </c>
      <c r="G126" s="8">
        <f t="shared" si="7"/>
        <v>0.22892606325103487</v>
      </c>
      <c r="H126" s="11">
        <f t="shared" si="7"/>
        <v>228.92606325103486</v>
      </c>
    </row>
    <row r="127" spans="1:8" x14ac:dyDescent="0.35">
      <c r="A127" s="3" t="s">
        <v>110</v>
      </c>
      <c r="B127" s="1">
        <v>45257</v>
      </c>
      <c r="C127" s="2">
        <v>1811</v>
      </c>
      <c r="D127" s="4">
        <f t="shared" si="4"/>
        <v>1.1318749999999999E-2</v>
      </c>
      <c r="E127" s="4">
        <f t="shared" si="5"/>
        <v>1.1308922546307258E-4</v>
      </c>
      <c r="F127" s="4">
        <f t="shared" si="6"/>
        <v>2.2617845092614517E-4</v>
      </c>
      <c r="G127" s="8">
        <f t="shared" si="7"/>
        <v>0.22617845092614516</v>
      </c>
      <c r="H127" s="11">
        <f t="shared" si="7"/>
        <v>226.17845092614516</v>
      </c>
    </row>
    <row r="128" spans="1:8" x14ac:dyDescent="0.35">
      <c r="A128" s="3" t="s">
        <v>92</v>
      </c>
      <c r="B128" s="1">
        <v>45257</v>
      </c>
      <c r="C128" s="2">
        <v>1803</v>
      </c>
      <c r="D128" s="4">
        <f t="shared" si="4"/>
        <v>1.1268750000000001E-2</v>
      </c>
      <c r="E128" s="4">
        <f t="shared" si="5"/>
        <v>1.1258965958581994E-4</v>
      </c>
      <c r="F128" s="4">
        <f t="shared" si="6"/>
        <v>2.2517931917163988E-4</v>
      </c>
      <c r="G128" s="8">
        <f t="shared" si="7"/>
        <v>0.22517931917163989</v>
      </c>
      <c r="H128" s="11">
        <f t="shared" si="7"/>
        <v>225.17931917163989</v>
      </c>
    </row>
    <row r="129" spans="1:8" x14ac:dyDescent="0.35">
      <c r="A129" s="3" t="s">
        <v>88</v>
      </c>
      <c r="B129" s="1">
        <v>45257</v>
      </c>
      <c r="C129" s="2">
        <v>1792</v>
      </c>
      <c r="D129" s="4">
        <f t="shared" si="4"/>
        <v>1.12E-2</v>
      </c>
      <c r="E129" s="4">
        <f t="shared" si="5"/>
        <v>1.119027565045975E-4</v>
      </c>
      <c r="F129" s="4">
        <f t="shared" si="6"/>
        <v>2.2380551300919501E-4</v>
      </c>
      <c r="G129" s="8">
        <f t="shared" si="7"/>
        <v>0.22380551300919502</v>
      </c>
      <c r="H129" s="11">
        <f t="shared" si="7"/>
        <v>223.80551300919501</v>
      </c>
    </row>
    <row r="130" spans="1:8" x14ac:dyDescent="0.35">
      <c r="A130" s="3" t="s">
        <v>107</v>
      </c>
      <c r="B130" s="1">
        <v>45257</v>
      </c>
      <c r="C130" s="2">
        <v>1778</v>
      </c>
      <c r="D130" s="4">
        <f t="shared" si="4"/>
        <v>1.1112500000000001E-2</v>
      </c>
      <c r="E130" s="4">
        <f t="shared" si="5"/>
        <v>1.1102851621940535E-4</v>
      </c>
      <c r="F130" s="4">
        <f t="shared" si="6"/>
        <v>2.220570324388107E-4</v>
      </c>
      <c r="G130" s="8">
        <f t="shared" si="7"/>
        <v>0.2220570324388107</v>
      </c>
      <c r="H130" s="11">
        <f t="shared" si="7"/>
        <v>222.05703243881069</v>
      </c>
    </row>
    <row r="131" spans="1:8" x14ac:dyDescent="0.35">
      <c r="A131" s="3" t="s">
        <v>99</v>
      </c>
      <c r="B131" s="1">
        <v>45257</v>
      </c>
      <c r="C131" s="2">
        <v>1732</v>
      </c>
      <c r="D131" s="4">
        <f t="shared" ref="D131:D141" si="8">((C131*2.5*2.5)/1000)/1000</f>
        <v>1.0825E-2</v>
      </c>
      <c r="E131" s="4">
        <f t="shared" ref="E131:E140" si="9">D131/100.0869</f>
        <v>1.0815601242520249E-4</v>
      </c>
      <c r="F131" s="4">
        <f t="shared" ref="F131:F141" si="10">E131*2</f>
        <v>2.1631202485040499E-4</v>
      </c>
      <c r="G131" s="8">
        <f t="shared" ref="G131:H141" si="11">F131*1000</f>
        <v>0.21631202485040499</v>
      </c>
      <c r="H131" s="11">
        <f t="shared" si="11"/>
        <v>216.31202485040498</v>
      </c>
    </row>
    <row r="132" spans="1:8" x14ac:dyDescent="0.35">
      <c r="A132" s="3" t="s">
        <v>108</v>
      </c>
      <c r="B132" s="1">
        <v>45257</v>
      </c>
      <c r="C132" s="2">
        <v>1717</v>
      </c>
      <c r="D132" s="4">
        <f t="shared" si="8"/>
        <v>1.0731249999999999E-2</v>
      </c>
      <c r="E132" s="4">
        <f t="shared" si="9"/>
        <v>1.0721932640535375E-4</v>
      </c>
      <c r="F132" s="4">
        <f t="shared" si="10"/>
        <v>2.1443865281070749E-4</v>
      </c>
      <c r="G132" s="8">
        <f t="shared" si="11"/>
        <v>0.21443865281070748</v>
      </c>
      <c r="H132" s="11">
        <f t="shared" si="11"/>
        <v>214.43865281070748</v>
      </c>
    </row>
    <row r="133" spans="1:8" x14ac:dyDescent="0.35">
      <c r="A133" s="3" t="s">
        <v>112</v>
      </c>
      <c r="B133" s="1">
        <v>45257</v>
      </c>
      <c r="C133" s="2">
        <v>1716</v>
      </c>
      <c r="D133" s="4">
        <f t="shared" si="8"/>
        <v>1.0725E-2</v>
      </c>
      <c r="E133" s="4">
        <f t="shared" si="9"/>
        <v>1.0715688067069716E-4</v>
      </c>
      <c r="F133" s="4">
        <f t="shared" si="10"/>
        <v>2.1431376134139433E-4</v>
      </c>
      <c r="G133" s="8">
        <f t="shared" si="11"/>
        <v>0.21431376134139432</v>
      </c>
      <c r="H133" s="11">
        <f t="shared" si="11"/>
        <v>214.31376134139433</v>
      </c>
    </row>
    <row r="134" spans="1:8" x14ac:dyDescent="0.35">
      <c r="A134" s="3" t="s">
        <v>95</v>
      </c>
      <c r="B134" s="1">
        <v>45257</v>
      </c>
      <c r="C134" s="2">
        <v>1686</v>
      </c>
      <c r="D134" s="4">
        <f t="shared" si="8"/>
        <v>1.05375E-2</v>
      </c>
      <c r="E134" s="4">
        <f t="shared" si="9"/>
        <v>1.0528350863099967E-4</v>
      </c>
      <c r="F134" s="4">
        <f t="shared" si="10"/>
        <v>2.1056701726199933E-4</v>
      </c>
      <c r="G134" s="8">
        <f t="shared" si="11"/>
        <v>0.21056701726199933</v>
      </c>
      <c r="H134" s="11">
        <f t="shared" si="11"/>
        <v>210.56701726199933</v>
      </c>
    </row>
    <row r="135" spans="1:8" x14ac:dyDescent="0.35">
      <c r="A135" s="3" t="s">
        <v>109</v>
      </c>
      <c r="B135" s="1">
        <v>45257</v>
      </c>
      <c r="C135" s="2">
        <v>1676</v>
      </c>
      <c r="D135" s="4">
        <f t="shared" si="8"/>
        <v>1.0475E-2</v>
      </c>
      <c r="E135" s="4">
        <f t="shared" si="9"/>
        <v>1.0465905128443383E-4</v>
      </c>
      <c r="F135" s="4">
        <f t="shared" si="10"/>
        <v>2.0931810256886766E-4</v>
      </c>
      <c r="G135" s="8">
        <f t="shared" si="11"/>
        <v>0.20931810256886765</v>
      </c>
      <c r="H135" s="11">
        <f t="shared" si="11"/>
        <v>209.31810256886766</v>
      </c>
    </row>
    <row r="136" spans="1:8" s="16" customFormat="1" x14ac:dyDescent="0.35">
      <c r="A136" s="14" t="s">
        <v>113</v>
      </c>
      <c r="B136" s="15">
        <v>45394</v>
      </c>
      <c r="C136" s="16">
        <v>1647</v>
      </c>
      <c r="D136" s="17">
        <f t="shared" si="8"/>
        <v>1.0293749999999999E-2</v>
      </c>
      <c r="E136" s="17">
        <f t="shared" si="9"/>
        <v>1.028481249793929E-4</v>
      </c>
      <c r="F136" s="17">
        <f t="shared" si="10"/>
        <v>2.056962499587858E-4</v>
      </c>
      <c r="G136" s="18">
        <f t="shared" si="11"/>
        <v>0.2056962499587858</v>
      </c>
      <c r="H136" s="19">
        <f t="shared" si="11"/>
        <v>205.69624995878578</v>
      </c>
    </row>
    <row r="137" spans="1:8" x14ac:dyDescent="0.35">
      <c r="A137" s="3" t="s">
        <v>102</v>
      </c>
      <c r="B137" s="1">
        <v>45257</v>
      </c>
      <c r="C137" s="2">
        <v>1635</v>
      </c>
      <c r="D137" s="4">
        <f t="shared" si="8"/>
        <v>1.021875E-2</v>
      </c>
      <c r="E137" s="4">
        <f t="shared" si="9"/>
        <v>1.0209877616351391E-4</v>
      </c>
      <c r="F137" s="4">
        <f t="shared" si="10"/>
        <v>2.0419755232702782E-4</v>
      </c>
      <c r="G137" s="8">
        <f t="shared" si="11"/>
        <v>0.20419755232702783</v>
      </c>
      <c r="H137" s="11">
        <f t="shared" si="11"/>
        <v>204.19755232702784</v>
      </c>
    </row>
    <row r="138" spans="1:8" x14ac:dyDescent="0.35">
      <c r="A138" s="3" t="s">
        <v>100</v>
      </c>
      <c r="B138" s="1">
        <v>45257</v>
      </c>
      <c r="C138" s="2">
        <v>1599</v>
      </c>
      <c r="D138" s="4">
        <f t="shared" si="8"/>
        <v>9.9937500000000009E-3</v>
      </c>
      <c r="E138" s="4">
        <f t="shared" si="9"/>
        <v>9.9850729715876918E-5</v>
      </c>
      <c r="F138" s="4">
        <f t="shared" si="10"/>
        <v>1.9970145943175384E-4</v>
      </c>
      <c r="G138" s="8">
        <f t="shared" si="11"/>
        <v>0.19970145943175382</v>
      </c>
      <c r="H138" s="11">
        <f t="shared" si="11"/>
        <v>199.70145943175382</v>
      </c>
    </row>
    <row r="139" spans="1:8" x14ac:dyDescent="0.35">
      <c r="A139" s="3" t="s">
        <v>103</v>
      </c>
      <c r="B139" s="1">
        <v>45257</v>
      </c>
      <c r="C139" s="2">
        <v>1566</v>
      </c>
      <c r="D139" s="4">
        <f t="shared" si="8"/>
        <v>9.7874999999999993E-3</v>
      </c>
      <c r="E139" s="4">
        <f t="shared" si="9"/>
        <v>9.7790020472209645E-5</v>
      </c>
      <c r="F139" s="4">
        <f t="shared" si="10"/>
        <v>1.9558004094441929E-4</v>
      </c>
      <c r="G139" s="8">
        <f t="shared" si="11"/>
        <v>0.1955800409444193</v>
      </c>
      <c r="H139" s="11">
        <f t="shared" si="11"/>
        <v>195.5800409444193</v>
      </c>
    </row>
    <row r="140" spans="1:8" x14ac:dyDescent="0.35">
      <c r="A140" s="3" t="s">
        <v>101</v>
      </c>
      <c r="B140" s="1">
        <v>45257</v>
      </c>
      <c r="C140" s="2">
        <v>1529</v>
      </c>
      <c r="D140" s="4">
        <f t="shared" si="8"/>
        <v>9.5562500000000005E-3</v>
      </c>
      <c r="E140" s="4">
        <f t="shared" si="9"/>
        <v>9.547952828991607E-5</v>
      </c>
      <c r="F140" s="4">
        <f t="shared" si="10"/>
        <v>1.9095905657983214E-4</v>
      </c>
      <c r="G140" s="8">
        <f t="shared" si="11"/>
        <v>0.19095905657983214</v>
      </c>
      <c r="H140" s="11">
        <f t="shared" si="11"/>
        <v>190.95905657983215</v>
      </c>
    </row>
    <row r="141" spans="1:8" x14ac:dyDescent="0.35">
      <c r="A141" s="3" t="s">
        <v>113</v>
      </c>
      <c r="B141" s="1">
        <v>45257</v>
      </c>
      <c r="C141" s="2">
        <v>1523</v>
      </c>
      <c r="D141" s="4">
        <f t="shared" si="8"/>
        <v>9.5187500000000012E-3</v>
      </c>
      <c r="E141" s="4">
        <f>D141/100.0869</f>
        <v>9.5104853881976576E-5</v>
      </c>
      <c r="F141" s="4">
        <f t="shared" si="10"/>
        <v>1.9020970776395315E-4</v>
      </c>
      <c r="G141" s="8">
        <f t="shared" si="11"/>
        <v>0.19020970776395316</v>
      </c>
      <c r="H141" s="11">
        <f t="shared" si="11"/>
        <v>190.20970776395316</v>
      </c>
    </row>
    <row r="142" spans="1:8" s="13" customFormat="1" x14ac:dyDescent="0.35">
      <c r="A142" s="12"/>
      <c r="B142"/>
    </row>
    <row r="143" spans="1:8" s="13" customFormat="1" x14ac:dyDescent="0.35">
      <c r="A143" s="12"/>
      <c r="B143"/>
    </row>
    <row r="144" spans="1:8" s="13" customFormat="1" x14ac:dyDescent="0.35">
      <c r="A144" s="12"/>
      <c r="B144"/>
    </row>
    <row r="145" spans="1:2" s="13" customFormat="1" x14ac:dyDescent="0.35">
      <c r="A145" s="12"/>
      <c r="B145"/>
    </row>
    <row r="146" spans="1:2" s="13" customFormat="1" x14ac:dyDescent="0.35">
      <c r="A146" s="12"/>
      <c r="B146"/>
    </row>
    <row r="147" spans="1:2" s="13" customFormat="1" x14ac:dyDescent="0.35">
      <c r="A147" s="12"/>
      <c r="B147"/>
    </row>
    <row r="148" spans="1:2" s="13" customFormat="1" x14ac:dyDescent="0.35">
      <c r="A148" s="12"/>
      <c r="B148"/>
    </row>
    <row r="149" spans="1:2" s="13" customFormat="1" x14ac:dyDescent="0.35">
      <c r="A149" s="12"/>
      <c r="B149"/>
    </row>
    <row r="150" spans="1:2" s="13" customFormat="1" x14ac:dyDescent="0.35">
      <c r="A150" s="12"/>
      <c r="B150"/>
    </row>
    <row r="151" spans="1:2" s="13" customFormat="1" x14ac:dyDescent="0.35">
      <c r="A151" s="12"/>
      <c r="B151"/>
    </row>
    <row r="152" spans="1:2" s="13" customFormat="1" x14ac:dyDescent="0.35">
      <c r="A152" s="12"/>
      <c r="B152"/>
    </row>
    <row r="153" spans="1:2" s="13" customFormat="1" x14ac:dyDescent="0.35">
      <c r="A153" s="12"/>
      <c r="B153"/>
    </row>
    <row r="154" spans="1:2" s="13" customFormat="1" x14ac:dyDescent="0.35">
      <c r="A154" s="12"/>
      <c r="B154"/>
    </row>
    <row r="155" spans="1:2" s="13" customFormat="1" x14ac:dyDescent="0.35">
      <c r="A155" s="12"/>
      <c r="B155"/>
    </row>
    <row r="156" spans="1:2" s="13" customFormat="1" x14ac:dyDescent="0.35">
      <c r="A156" s="12"/>
      <c r="B156"/>
    </row>
    <row r="157" spans="1:2" s="13" customFormat="1" x14ac:dyDescent="0.35">
      <c r="A157" s="12"/>
      <c r="B157"/>
    </row>
    <row r="158" spans="1:2" s="13" customFormat="1" x14ac:dyDescent="0.35">
      <c r="A158" s="12"/>
      <c r="B158"/>
    </row>
    <row r="159" spans="1:2" s="13" customFormat="1" x14ac:dyDescent="0.35">
      <c r="A159" s="12"/>
      <c r="B159"/>
    </row>
    <row r="160" spans="1:2" s="13" customFormat="1" x14ac:dyDescent="0.35">
      <c r="A160" s="12"/>
      <c r="B160"/>
    </row>
    <row r="161" spans="1:2" s="13" customFormat="1" x14ac:dyDescent="0.35">
      <c r="A161" s="12"/>
      <c r="B161"/>
    </row>
    <row r="162" spans="1:2" s="13" customFormat="1" x14ac:dyDescent="0.35">
      <c r="A162" s="12"/>
      <c r="B162"/>
    </row>
    <row r="163" spans="1:2" s="13" customFormat="1" x14ac:dyDescent="0.35">
      <c r="A163" s="12"/>
      <c r="B163"/>
    </row>
    <row r="164" spans="1:2" s="13" customFormat="1" x14ac:dyDescent="0.35">
      <c r="A164" s="12"/>
      <c r="B164"/>
    </row>
    <row r="165" spans="1:2" s="13" customFormat="1" x14ac:dyDescent="0.35">
      <c r="A165" s="12"/>
      <c r="B165"/>
    </row>
    <row r="166" spans="1:2" s="13" customFormat="1" x14ac:dyDescent="0.35">
      <c r="A166" s="12"/>
      <c r="B166"/>
    </row>
    <row r="167" spans="1:2" s="13" customFormat="1" x14ac:dyDescent="0.35">
      <c r="A167" s="12"/>
      <c r="B167"/>
    </row>
    <row r="168" spans="1:2" s="13" customFormat="1" x14ac:dyDescent="0.35">
      <c r="A168" s="12"/>
      <c r="B168"/>
    </row>
    <row r="169" spans="1:2" s="13" customFormat="1" x14ac:dyDescent="0.35">
      <c r="A169" s="12"/>
      <c r="B169"/>
    </row>
    <row r="170" spans="1:2" s="13" customFormat="1" x14ac:dyDescent="0.35">
      <c r="A170" s="12"/>
      <c r="B170"/>
    </row>
    <row r="171" spans="1:2" s="13" customFormat="1" x14ac:dyDescent="0.35">
      <c r="A171" s="12"/>
      <c r="B171"/>
    </row>
    <row r="172" spans="1:2" s="13" customFormat="1" x14ac:dyDescent="0.35">
      <c r="A172" s="12"/>
      <c r="B172"/>
    </row>
    <row r="173" spans="1:2" s="13" customFormat="1" x14ac:dyDescent="0.35">
      <c r="A173" s="12"/>
      <c r="B173"/>
    </row>
    <row r="174" spans="1:2" s="13" customFormat="1" x14ac:dyDescent="0.35">
      <c r="A174" s="12"/>
      <c r="B174"/>
    </row>
    <row r="175" spans="1:2" s="13" customFormat="1" x14ac:dyDescent="0.35">
      <c r="A175" s="12"/>
      <c r="B175"/>
    </row>
    <row r="176" spans="1:2" s="13" customFormat="1" x14ac:dyDescent="0.35">
      <c r="A176" s="12"/>
      <c r="B176"/>
    </row>
    <row r="177" spans="1:2" s="13" customFormat="1" x14ac:dyDescent="0.35">
      <c r="A177" s="12"/>
      <c r="B177"/>
    </row>
    <row r="178" spans="1:2" s="13" customFormat="1" x14ac:dyDescent="0.35">
      <c r="A178" s="12"/>
      <c r="B178"/>
    </row>
    <row r="179" spans="1:2" s="13" customFormat="1" x14ac:dyDescent="0.35">
      <c r="A179" s="12"/>
      <c r="B179"/>
    </row>
    <row r="180" spans="1:2" s="13" customFormat="1" x14ac:dyDescent="0.35">
      <c r="A180" s="12"/>
      <c r="B180"/>
    </row>
    <row r="181" spans="1:2" s="13" customFormat="1" x14ac:dyDescent="0.35">
      <c r="A181" s="12"/>
      <c r="B181"/>
    </row>
    <row r="182" spans="1:2" s="13" customFormat="1" x14ac:dyDescent="0.35">
      <c r="A182" s="12"/>
      <c r="B182"/>
    </row>
    <row r="183" spans="1:2" s="13" customFormat="1" x14ac:dyDescent="0.35">
      <c r="A183" s="12"/>
      <c r="B183"/>
    </row>
    <row r="184" spans="1:2" s="13" customFormat="1" x14ac:dyDescent="0.35">
      <c r="A184" s="12"/>
      <c r="B184"/>
    </row>
    <row r="185" spans="1:2" s="13" customFormat="1" x14ac:dyDescent="0.35">
      <c r="A185" s="12"/>
      <c r="B185"/>
    </row>
    <row r="186" spans="1:2" s="13" customFormat="1" x14ac:dyDescent="0.35">
      <c r="A186" s="12"/>
      <c r="B186"/>
    </row>
    <row r="187" spans="1:2" s="13" customFormat="1" x14ac:dyDescent="0.35">
      <c r="A187" s="12"/>
      <c r="B187"/>
    </row>
    <row r="188" spans="1:2" s="13" customFormat="1" x14ac:dyDescent="0.35">
      <c r="A188" s="12"/>
      <c r="B188"/>
    </row>
    <row r="189" spans="1:2" s="13" customFormat="1" x14ac:dyDescent="0.35">
      <c r="A189" s="12"/>
      <c r="B189"/>
    </row>
    <row r="190" spans="1:2" s="13" customFormat="1" x14ac:dyDescent="0.35">
      <c r="A190" s="12"/>
      <c r="B190"/>
    </row>
    <row r="191" spans="1:2" s="13" customFormat="1" x14ac:dyDescent="0.35">
      <c r="A191" s="12"/>
      <c r="B191"/>
    </row>
    <row r="192" spans="1:2" s="13" customFormat="1" x14ac:dyDescent="0.35">
      <c r="A192" s="12"/>
      <c r="B192"/>
    </row>
    <row r="193" spans="1:2" s="13" customFormat="1" x14ac:dyDescent="0.35">
      <c r="A193" s="12"/>
      <c r="B193"/>
    </row>
    <row r="194" spans="1:2" s="13" customFormat="1" x14ac:dyDescent="0.35">
      <c r="A194" s="12"/>
      <c r="B194"/>
    </row>
    <row r="195" spans="1:2" s="13" customFormat="1" x14ac:dyDescent="0.35">
      <c r="A195" s="12"/>
      <c r="B195"/>
    </row>
    <row r="196" spans="1:2" s="13" customFormat="1" x14ac:dyDescent="0.35">
      <c r="A196" s="12"/>
      <c r="B196"/>
    </row>
    <row r="197" spans="1:2" s="13" customFormat="1" x14ac:dyDescent="0.35">
      <c r="A197" s="12"/>
      <c r="B197"/>
    </row>
    <row r="198" spans="1:2" s="13" customFormat="1" x14ac:dyDescent="0.35">
      <c r="A198" s="12"/>
      <c r="B198"/>
    </row>
    <row r="199" spans="1:2" s="13" customFormat="1" x14ac:dyDescent="0.35">
      <c r="A199" s="12"/>
      <c r="B199"/>
    </row>
    <row r="200" spans="1:2" s="13" customFormat="1" x14ac:dyDescent="0.35">
      <c r="A200" s="12"/>
      <c r="B200"/>
    </row>
    <row r="201" spans="1:2" s="13" customFormat="1" x14ac:dyDescent="0.35">
      <c r="A201" s="12"/>
      <c r="B201"/>
    </row>
    <row r="202" spans="1:2" s="13" customFormat="1" x14ac:dyDescent="0.35">
      <c r="A202" s="12"/>
      <c r="B202"/>
    </row>
    <row r="203" spans="1:2" s="13" customFormat="1" x14ac:dyDescent="0.35">
      <c r="A203" s="12"/>
      <c r="B203"/>
    </row>
    <row r="204" spans="1:2" s="13" customFormat="1" x14ac:dyDescent="0.35">
      <c r="A204" s="12"/>
      <c r="B204"/>
    </row>
    <row r="205" spans="1:2" s="13" customFormat="1" x14ac:dyDescent="0.35">
      <c r="A205" s="12"/>
      <c r="B205"/>
    </row>
    <row r="206" spans="1:2" s="13" customFormat="1" x14ac:dyDescent="0.35">
      <c r="A206" s="12"/>
      <c r="B206"/>
    </row>
    <row r="207" spans="1:2" s="13" customFormat="1" x14ac:dyDescent="0.35">
      <c r="A207" s="12"/>
      <c r="B207"/>
    </row>
    <row r="208" spans="1:2" s="13" customFormat="1" x14ac:dyDescent="0.35">
      <c r="A208" s="12"/>
      <c r="B208"/>
    </row>
    <row r="209" spans="1:2" s="13" customFormat="1" x14ac:dyDescent="0.35">
      <c r="A209" s="12"/>
      <c r="B209"/>
    </row>
    <row r="210" spans="1:2" s="13" customFormat="1" x14ac:dyDescent="0.35">
      <c r="A210" s="12"/>
      <c r="B210"/>
    </row>
    <row r="211" spans="1:2" s="13" customFormat="1" x14ac:dyDescent="0.35">
      <c r="A211" s="12"/>
      <c r="B211"/>
    </row>
    <row r="212" spans="1:2" s="13" customFormat="1" x14ac:dyDescent="0.35">
      <c r="A212" s="12"/>
      <c r="B212"/>
    </row>
    <row r="213" spans="1:2" s="13" customFormat="1" x14ac:dyDescent="0.35">
      <c r="A213" s="12"/>
      <c r="B213"/>
    </row>
    <row r="214" spans="1:2" s="13" customFormat="1" x14ac:dyDescent="0.35">
      <c r="A214" s="12"/>
      <c r="B214"/>
    </row>
    <row r="215" spans="1:2" s="13" customFormat="1" x14ac:dyDescent="0.35">
      <c r="A215" s="12"/>
      <c r="B215"/>
    </row>
    <row r="216" spans="1:2" s="13" customFormat="1" x14ac:dyDescent="0.35">
      <c r="A216" s="12"/>
      <c r="B216"/>
    </row>
    <row r="217" spans="1:2" s="13" customFormat="1" x14ac:dyDescent="0.35">
      <c r="A217" s="12"/>
      <c r="B217"/>
    </row>
    <row r="218" spans="1:2" s="13" customFormat="1" x14ac:dyDescent="0.35">
      <c r="A218" s="12"/>
      <c r="B218"/>
    </row>
    <row r="219" spans="1:2" s="13" customFormat="1" x14ac:dyDescent="0.35">
      <c r="A219" s="12"/>
      <c r="B219"/>
    </row>
    <row r="220" spans="1:2" s="13" customFormat="1" x14ac:dyDescent="0.35">
      <c r="A220" s="12"/>
      <c r="B220"/>
    </row>
    <row r="221" spans="1:2" s="13" customFormat="1" x14ac:dyDescent="0.35">
      <c r="A221" s="12"/>
      <c r="B221"/>
    </row>
    <row r="222" spans="1:2" s="13" customFormat="1" x14ac:dyDescent="0.35">
      <c r="A222" s="12"/>
      <c r="B222"/>
    </row>
    <row r="223" spans="1:2" s="13" customFormat="1" x14ac:dyDescent="0.35">
      <c r="A223" s="12"/>
      <c r="B223"/>
    </row>
    <row r="224" spans="1:2" s="13" customFormat="1" x14ac:dyDescent="0.35">
      <c r="A224" s="12"/>
      <c r="B224"/>
    </row>
    <row r="225" spans="1:2" s="13" customFormat="1" x14ac:dyDescent="0.35">
      <c r="A225" s="12"/>
      <c r="B225"/>
    </row>
    <row r="226" spans="1:2" s="13" customFormat="1" x14ac:dyDescent="0.35">
      <c r="A226" s="12"/>
      <c r="B226"/>
    </row>
    <row r="227" spans="1:2" s="13" customFormat="1" x14ac:dyDescent="0.35">
      <c r="A227" s="12"/>
      <c r="B227"/>
    </row>
    <row r="228" spans="1:2" s="13" customFormat="1" x14ac:dyDescent="0.35">
      <c r="A228" s="12"/>
      <c r="B228"/>
    </row>
    <row r="229" spans="1:2" s="13" customFormat="1" x14ac:dyDescent="0.35">
      <c r="A229" s="12"/>
      <c r="B229"/>
    </row>
    <row r="230" spans="1:2" s="13" customFormat="1" x14ac:dyDescent="0.35">
      <c r="A230" s="12"/>
      <c r="B230"/>
    </row>
    <row r="231" spans="1:2" s="13" customFormat="1" x14ac:dyDescent="0.35">
      <c r="A231" s="12"/>
      <c r="B231"/>
    </row>
    <row r="232" spans="1:2" s="13" customFormat="1" x14ac:dyDescent="0.35">
      <c r="A232" s="12"/>
      <c r="B232"/>
    </row>
    <row r="233" spans="1:2" s="13" customFormat="1" x14ac:dyDescent="0.35">
      <c r="A233" s="12"/>
      <c r="B233"/>
    </row>
    <row r="234" spans="1:2" s="13" customFormat="1" x14ac:dyDescent="0.35">
      <c r="A234" s="12"/>
      <c r="B234"/>
    </row>
    <row r="235" spans="1:2" s="13" customFormat="1" x14ac:dyDescent="0.35">
      <c r="A235" s="12"/>
      <c r="B235"/>
    </row>
    <row r="236" spans="1:2" s="13" customFormat="1" x14ac:dyDescent="0.35">
      <c r="A236" s="12"/>
      <c r="B236"/>
    </row>
    <row r="237" spans="1:2" s="13" customFormat="1" x14ac:dyDescent="0.35">
      <c r="A237" s="12"/>
      <c r="B237"/>
    </row>
    <row r="238" spans="1:2" s="13" customFormat="1" x14ac:dyDescent="0.35">
      <c r="A238" s="12"/>
      <c r="B238"/>
    </row>
    <row r="239" spans="1:2" s="13" customFormat="1" x14ac:dyDescent="0.35">
      <c r="A239" s="12"/>
      <c r="B239"/>
    </row>
    <row r="240" spans="1:2" s="13" customFormat="1" x14ac:dyDescent="0.35">
      <c r="A240" s="12"/>
      <c r="B240"/>
    </row>
    <row r="241" spans="1:2" s="13" customFormat="1" x14ac:dyDescent="0.35">
      <c r="A241" s="12"/>
      <c r="B241"/>
    </row>
    <row r="242" spans="1:2" s="13" customFormat="1" x14ac:dyDescent="0.35">
      <c r="A242" s="12"/>
      <c r="B242"/>
    </row>
    <row r="243" spans="1:2" s="13" customFormat="1" x14ac:dyDescent="0.35">
      <c r="A243" s="12"/>
      <c r="B243"/>
    </row>
    <row r="244" spans="1:2" s="13" customFormat="1" x14ac:dyDescent="0.35">
      <c r="A244" s="12"/>
      <c r="B244"/>
    </row>
    <row r="245" spans="1:2" s="13" customFormat="1" x14ac:dyDescent="0.35">
      <c r="A245" s="12"/>
      <c r="B245"/>
    </row>
    <row r="246" spans="1:2" s="13" customFormat="1" x14ac:dyDescent="0.35">
      <c r="A246" s="12"/>
      <c r="B246"/>
    </row>
    <row r="247" spans="1:2" s="13" customFormat="1" x14ac:dyDescent="0.35">
      <c r="A247" s="12"/>
      <c r="B247"/>
    </row>
    <row r="248" spans="1:2" s="13" customFormat="1" x14ac:dyDescent="0.35">
      <c r="A248" s="12"/>
      <c r="B248"/>
    </row>
    <row r="249" spans="1:2" s="13" customFormat="1" x14ac:dyDescent="0.35">
      <c r="A249" s="12"/>
      <c r="B249"/>
    </row>
    <row r="250" spans="1:2" s="13" customFormat="1" x14ac:dyDescent="0.35">
      <c r="A250" s="12"/>
      <c r="B250"/>
    </row>
    <row r="251" spans="1:2" s="13" customFormat="1" x14ac:dyDescent="0.35">
      <c r="A251" s="12"/>
      <c r="B251"/>
    </row>
    <row r="252" spans="1:2" s="13" customFormat="1" x14ac:dyDescent="0.35">
      <c r="A252" s="12"/>
      <c r="B252"/>
    </row>
    <row r="253" spans="1:2" s="13" customFormat="1" x14ac:dyDescent="0.35">
      <c r="A253" s="12"/>
      <c r="B253"/>
    </row>
    <row r="254" spans="1:2" s="13" customFormat="1" x14ac:dyDescent="0.35">
      <c r="A254" s="12"/>
      <c r="B254"/>
    </row>
    <row r="255" spans="1:2" s="13" customFormat="1" x14ac:dyDescent="0.35">
      <c r="A255" s="12"/>
      <c r="B255"/>
    </row>
    <row r="256" spans="1:2" s="13" customFormat="1" x14ac:dyDescent="0.35">
      <c r="A256" s="12"/>
      <c r="B256"/>
    </row>
    <row r="257" spans="1:2" s="13" customFormat="1" x14ac:dyDescent="0.35">
      <c r="A257" s="12"/>
      <c r="B257"/>
    </row>
    <row r="258" spans="1:2" s="13" customFormat="1" x14ac:dyDescent="0.35">
      <c r="A258" s="12"/>
      <c r="B258"/>
    </row>
    <row r="259" spans="1:2" s="13" customFormat="1" x14ac:dyDescent="0.35">
      <c r="A259" s="12"/>
      <c r="B259"/>
    </row>
    <row r="260" spans="1:2" s="13" customFormat="1" x14ac:dyDescent="0.35">
      <c r="A260" s="12"/>
      <c r="B260"/>
    </row>
    <row r="261" spans="1:2" s="13" customFormat="1" x14ac:dyDescent="0.35">
      <c r="A261" s="12"/>
      <c r="B261"/>
    </row>
    <row r="262" spans="1:2" s="13" customFormat="1" x14ac:dyDescent="0.35">
      <c r="A262" s="12"/>
      <c r="B262"/>
    </row>
    <row r="263" spans="1:2" s="13" customFormat="1" x14ac:dyDescent="0.35">
      <c r="A263" s="12"/>
      <c r="B263"/>
    </row>
    <row r="264" spans="1:2" s="13" customFormat="1" x14ac:dyDescent="0.35">
      <c r="A264" s="12"/>
      <c r="B264"/>
    </row>
    <row r="265" spans="1:2" s="13" customFormat="1" x14ac:dyDescent="0.35">
      <c r="A265" s="12"/>
      <c r="B265"/>
    </row>
    <row r="266" spans="1:2" s="13" customFormat="1" x14ac:dyDescent="0.35">
      <c r="A266" s="12"/>
      <c r="B266"/>
    </row>
    <row r="267" spans="1:2" s="13" customFormat="1" x14ac:dyDescent="0.35">
      <c r="A267" s="12"/>
      <c r="B267"/>
    </row>
    <row r="268" spans="1:2" s="13" customFormat="1" x14ac:dyDescent="0.35">
      <c r="A268" s="12"/>
      <c r="B268"/>
    </row>
    <row r="269" spans="1:2" s="13" customFormat="1" x14ac:dyDescent="0.35">
      <c r="A269" s="12"/>
      <c r="B269"/>
    </row>
    <row r="270" spans="1:2" s="13" customFormat="1" x14ac:dyDescent="0.35">
      <c r="A270" s="12"/>
      <c r="B270"/>
    </row>
    <row r="271" spans="1:2" s="13" customFormat="1" x14ac:dyDescent="0.35">
      <c r="A271" s="12"/>
      <c r="B271"/>
    </row>
    <row r="272" spans="1:2" s="13" customFormat="1" x14ac:dyDescent="0.35">
      <c r="A272" s="12"/>
      <c r="B272"/>
    </row>
    <row r="273" spans="1:2" s="13" customFormat="1" x14ac:dyDescent="0.35">
      <c r="A273" s="12"/>
      <c r="B273"/>
    </row>
    <row r="274" spans="1:2" s="13" customFormat="1" x14ac:dyDescent="0.35">
      <c r="A274" s="12"/>
      <c r="B274"/>
    </row>
    <row r="275" spans="1:2" s="13" customFormat="1" x14ac:dyDescent="0.35">
      <c r="A275" s="12"/>
      <c r="B275"/>
    </row>
    <row r="276" spans="1:2" s="13" customFormat="1" x14ac:dyDescent="0.35">
      <c r="A276" s="12"/>
      <c r="B276"/>
    </row>
    <row r="277" spans="1:2" s="13" customFormat="1" x14ac:dyDescent="0.35">
      <c r="A277" s="12"/>
      <c r="B277"/>
    </row>
    <row r="278" spans="1:2" s="13" customFormat="1" x14ac:dyDescent="0.35">
      <c r="A278" s="12"/>
      <c r="B278"/>
    </row>
    <row r="279" spans="1:2" s="13" customFormat="1" x14ac:dyDescent="0.35">
      <c r="A279" s="12"/>
      <c r="B279"/>
    </row>
    <row r="280" spans="1:2" s="13" customFormat="1" x14ac:dyDescent="0.35">
      <c r="A280" s="12"/>
      <c r="B280"/>
    </row>
    <row r="281" spans="1:2" s="13" customFormat="1" x14ac:dyDescent="0.35">
      <c r="A281" s="12"/>
      <c r="B281"/>
    </row>
    <row r="282" spans="1:2" s="13" customFormat="1" x14ac:dyDescent="0.35">
      <c r="A282" s="12"/>
      <c r="B282"/>
    </row>
    <row r="283" spans="1:2" s="13" customFormat="1" x14ac:dyDescent="0.35">
      <c r="A283" s="12"/>
      <c r="B283"/>
    </row>
    <row r="284" spans="1:2" s="13" customFormat="1" x14ac:dyDescent="0.35">
      <c r="A284" s="12"/>
      <c r="B284"/>
    </row>
    <row r="285" spans="1:2" s="13" customFormat="1" x14ac:dyDescent="0.35">
      <c r="A285" s="12"/>
      <c r="B285"/>
    </row>
    <row r="286" spans="1:2" s="13" customFormat="1" x14ac:dyDescent="0.35">
      <c r="A286" s="12"/>
      <c r="B286"/>
    </row>
    <row r="287" spans="1:2" s="13" customFormat="1" x14ac:dyDescent="0.35">
      <c r="A287" s="12"/>
      <c r="B287"/>
    </row>
    <row r="288" spans="1:2" s="13" customFormat="1" x14ac:dyDescent="0.35">
      <c r="A288" s="12"/>
      <c r="B288"/>
    </row>
    <row r="289" spans="1:2" s="13" customFormat="1" x14ac:dyDescent="0.35">
      <c r="A289" s="12"/>
      <c r="B289"/>
    </row>
    <row r="290" spans="1:2" s="13" customFormat="1" x14ac:dyDescent="0.35">
      <c r="A290" s="12"/>
      <c r="B290"/>
    </row>
    <row r="291" spans="1:2" s="13" customFormat="1" x14ac:dyDescent="0.35">
      <c r="A291" s="12"/>
      <c r="B291"/>
    </row>
    <row r="292" spans="1:2" s="13" customFormat="1" x14ac:dyDescent="0.35">
      <c r="A292" s="12"/>
      <c r="B292"/>
    </row>
    <row r="293" spans="1:2" s="13" customFormat="1" x14ac:dyDescent="0.35">
      <c r="A293" s="12"/>
      <c r="B293"/>
    </row>
    <row r="294" spans="1:2" s="13" customFormat="1" x14ac:dyDescent="0.35">
      <c r="A294" s="12"/>
      <c r="B294"/>
    </row>
    <row r="295" spans="1:2" s="13" customFormat="1" x14ac:dyDescent="0.35">
      <c r="A295" s="12"/>
      <c r="B295"/>
    </row>
    <row r="296" spans="1:2" s="13" customFormat="1" x14ac:dyDescent="0.35">
      <c r="A296" s="12"/>
      <c r="B296"/>
    </row>
    <row r="297" spans="1:2" s="13" customFormat="1" x14ac:dyDescent="0.35">
      <c r="A297" s="12"/>
      <c r="B297"/>
    </row>
    <row r="298" spans="1:2" s="13" customFormat="1" x14ac:dyDescent="0.35">
      <c r="A298" s="12"/>
      <c r="B298"/>
    </row>
    <row r="299" spans="1:2" s="13" customFormat="1" x14ac:dyDescent="0.35">
      <c r="A299" s="12"/>
      <c r="B299"/>
    </row>
    <row r="300" spans="1:2" s="13" customFormat="1" x14ac:dyDescent="0.35">
      <c r="A300" s="12"/>
      <c r="B300"/>
    </row>
    <row r="301" spans="1:2" s="13" customFormat="1" x14ac:dyDescent="0.35">
      <c r="A301" s="12"/>
      <c r="B301"/>
    </row>
    <row r="302" spans="1:2" s="13" customFormat="1" x14ac:dyDescent="0.35">
      <c r="A302" s="12"/>
      <c r="B302"/>
    </row>
    <row r="303" spans="1:2" s="13" customFormat="1" x14ac:dyDescent="0.35">
      <c r="A303" s="12"/>
      <c r="B303"/>
    </row>
    <row r="304" spans="1:2" s="13" customFormat="1" x14ac:dyDescent="0.35">
      <c r="A304" s="12"/>
      <c r="B304"/>
    </row>
    <row r="305" spans="1:2" s="13" customFormat="1" x14ac:dyDescent="0.35">
      <c r="A305" s="12"/>
      <c r="B305"/>
    </row>
    <row r="306" spans="1:2" s="13" customFormat="1" x14ac:dyDescent="0.35">
      <c r="A306" s="12"/>
      <c r="B306"/>
    </row>
    <row r="307" spans="1:2" s="13" customFormat="1" x14ac:dyDescent="0.35">
      <c r="A307" s="12"/>
      <c r="B307"/>
    </row>
    <row r="308" spans="1:2" s="13" customFormat="1" x14ac:dyDescent="0.35">
      <c r="A308" s="12"/>
      <c r="B308"/>
    </row>
    <row r="309" spans="1:2" s="13" customFormat="1" x14ac:dyDescent="0.35">
      <c r="A309" s="12"/>
      <c r="B309"/>
    </row>
    <row r="310" spans="1:2" s="13" customFormat="1" x14ac:dyDescent="0.35">
      <c r="A310" s="12"/>
      <c r="B310"/>
    </row>
    <row r="311" spans="1:2" s="13" customFormat="1" x14ac:dyDescent="0.35">
      <c r="A311" s="12"/>
      <c r="B311"/>
    </row>
    <row r="312" spans="1:2" s="13" customFormat="1" x14ac:dyDescent="0.35">
      <c r="A312" s="12"/>
      <c r="B312"/>
    </row>
    <row r="313" spans="1:2" s="13" customFormat="1" x14ac:dyDescent="0.35">
      <c r="A313" s="12"/>
      <c r="B313"/>
    </row>
    <row r="314" spans="1:2" s="13" customFormat="1" x14ac:dyDescent="0.35">
      <c r="A314" s="12"/>
      <c r="B314"/>
    </row>
    <row r="315" spans="1:2" s="13" customFormat="1" x14ac:dyDescent="0.35">
      <c r="A315" s="12"/>
      <c r="B315"/>
    </row>
    <row r="316" spans="1:2" s="13" customFormat="1" x14ac:dyDescent="0.35">
      <c r="A316" s="12"/>
      <c r="B316"/>
    </row>
    <row r="317" spans="1:2" s="13" customFormat="1" x14ac:dyDescent="0.35">
      <c r="A317" s="12"/>
      <c r="B317"/>
    </row>
    <row r="318" spans="1:2" s="13" customFormat="1" x14ac:dyDescent="0.35">
      <c r="A318" s="12"/>
      <c r="B318"/>
    </row>
    <row r="319" spans="1:2" s="13" customFormat="1" x14ac:dyDescent="0.35">
      <c r="A319" s="12"/>
      <c r="B319"/>
    </row>
    <row r="320" spans="1:2" s="13" customFormat="1" x14ac:dyDescent="0.35">
      <c r="A320" s="12"/>
      <c r="B320"/>
    </row>
    <row r="321" spans="1:2" s="13" customFormat="1" x14ac:dyDescent="0.35">
      <c r="A321" s="12"/>
      <c r="B321"/>
    </row>
    <row r="322" spans="1:2" s="13" customFormat="1" x14ac:dyDescent="0.35">
      <c r="A322" s="12"/>
      <c r="B322"/>
    </row>
    <row r="323" spans="1:2" s="13" customFormat="1" x14ac:dyDescent="0.35">
      <c r="A323" s="12"/>
      <c r="B323"/>
    </row>
    <row r="324" spans="1:2" s="13" customFormat="1" x14ac:dyDescent="0.35">
      <c r="A324" s="12"/>
      <c r="B324"/>
    </row>
    <row r="325" spans="1:2" s="13" customFormat="1" x14ac:dyDescent="0.35">
      <c r="A325" s="12"/>
      <c r="B325"/>
    </row>
    <row r="326" spans="1:2" s="13" customFormat="1" x14ac:dyDescent="0.35">
      <c r="A326" s="12"/>
      <c r="B326"/>
    </row>
    <row r="327" spans="1:2" s="13" customFormat="1" x14ac:dyDescent="0.35">
      <c r="A327" s="12"/>
      <c r="B327"/>
    </row>
    <row r="328" spans="1:2" s="13" customFormat="1" x14ac:dyDescent="0.35">
      <c r="A328" s="12"/>
      <c r="B328"/>
    </row>
    <row r="329" spans="1:2" s="13" customFormat="1" x14ac:dyDescent="0.35">
      <c r="A329" s="12"/>
      <c r="B329"/>
    </row>
    <row r="330" spans="1:2" s="13" customFormat="1" x14ac:dyDescent="0.35">
      <c r="A330" s="12"/>
      <c r="B330"/>
    </row>
    <row r="331" spans="1:2" s="13" customFormat="1" x14ac:dyDescent="0.35">
      <c r="A331" s="12"/>
      <c r="B331"/>
    </row>
    <row r="332" spans="1:2" s="13" customFormat="1" x14ac:dyDescent="0.35">
      <c r="A332" s="12"/>
      <c r="B332"/>
    </row>
    <row r="333" spans="1:2" s="13" customFormat="1" x14ac:dyDescent="0.35">
      <c r="A333" s="12"/>
      <c r="B333"/>
    </row>
    <row r="334" spans="1:2" s="13" customFormat="1" x14ac:dyDescent="0.35">
      <c r="A334" s="12"/>
      <c r="B334"/>
    </row>
    <row r="335" spans="1:2" s="13" customFormat="1" x14ac:dyDescent="0.35">
      <c r="A335" s="12"/>
      <c r="B335"/>
    </row>
    <row r="336" spans="1:2" s="13" customFormat="1" x14ac:dyDescent="0.35">
      <c r="A336" s="12"/>
      <c r="B336"/>
    </row>
    <row r="337" spans="1:2" s="13" customFormat="1" x14ac:dyDescent="0.35">
      <c r="A337" s="12"/>
      <c r="B337"/>
    </row>
    <row r="338" spans="1:2" s="13" customFormat="1" x14ac:dyDescent="0.35">
      <c r="A338" s="12"/>
      <c r="B338"/>
    </row>
    <row r="339" spans="1:2" s="13" customFormat="1" x14ac:dyDescent="0.35">
      <c r="A339" s="12"/>
      <c r="B339"/>
    </row>
    <row r="340" spans="1:2" s="13" customFormat="1" x14ac:dyDescent="0.35">
      <c r="A340" s="12"/>
      <c r="B340"/>
    </row>
    <row r="341" spans="1:2" s="13" customFormat="1" x14ac:dyDescent="0.35">
      <c r="A341" s="12"/>
      <c r="B341"/>
    </row>
    <row r="342" spans="1:2" s="13" customFormat="1" x14ac:dyDescent="0.35">
      <c r="A342" s="12"/>
      <c r="B342"/>
    </row>
    <row r="343" spans="1:2" s="13" customFormat="1" x14ac:dyDescent="0.35">
      <c r="A343" s="12"/>
      <c r="B343"/>
    </row>
    <row r="344" spans="1:2" s="13" customFormat="1" x14ac:dyDescent="0.35">
      <c r="A344" s="12"/>
      <c r="B344"/>
    </row>
    <row r="345" spans="1:2" s="13" customFormat="1" x14ac:dyDescent="0.35">
      <c r="A345" s="12"/>
      <c r="B345"/>
    </row>
    <row r="346" spans="1:2" s="13" customFormat="1" x14ac:dyDescent="0.35">
      <c r="A346" s="12"/>
      <c r="B346"/>
    </row>
    <row r="347" spans="1:2" s="13" customFormat="1" x14ac:dyDescent="0.35">
      <c r="A347" s="12"/>
      <c r="B347"/>
    </row>
    <row r="348" spans="1:2" s="13" customFormat="1" x14ac:dyDescent="0.35">
      <c r="A348" s="12"/>
      <c r="B348"/>
    </row>
    <row r="349" spans="1:2" s="13" customFormat="1" x14ac:dyDescent="0.35">
      <c r="A349" s="12"/>
      <c r="B349"/>
    </row>
    <row r="350" spans="1:2" s="13" customFormat="1" x14ac:dyDescent="0.35">
      <c r="A350" s="12"/>
      <c r="B350"/>
    </row>
    <row r="351" spans="1:2" s="13" customFormat="1" x14ac:dyDescent="0.35">
      <c r="A351" s="12"/>
      <c r="B351"/>
    </row>
    <row r="352" spans="1:2" s="13" customFormat="1" x14ac:dyDescent="0.35">
      <c r="A352" s="12"/>
      <c r="B352"/>
    </row>
    <row r="353" spans="1:2" s="13" customFormat="1" x14ac:dyDescent="0.35">
      <c r="A353" s="12"/>
      <c r="B353"/>
    </row>
    <row r="354" spans="1:2" s="13" customFormat="1" x14ac:dyDescent="0.35">
      <c r="A354" s="12"/>
      <c r="B354"/>
    </row>
    <row r="355" spans="1:2" s="13" customFormat="1" x14ac:dyDescent="0.35">
      <c r="A355" s="12"/>
      <c r="B355"/>
    </row>
    <row r="356" spans="1:2" s="13" customFormat="1" x14ac:dyDescent="0.35">
      <c r="A356" s="12"/>
      <c r="B356"/>
    </row>
    <row r="357" spans="1:2" s="13" customFormat="1" x14ac:dyDescent="0.35">
      <c r="A357" s="12"/>
      <c r="B357"/>
    </row>
    <row r="358" spans="1:2" s="13" customFormat="1" x14ac:dyDescent="0.35">
      <c r="A358" s="12"/>
      <c r="B358"/>
    </row>
    <row r="359" spans="1:2" s="13" customFormat="1" x14ac:dyDescent="0.35">
      <c r="A359" s="12"/>
      <c r="B359"/>
    </row>
    <row r="360" spans="1:2" s="13" customFormat="1" x14ac:dyDescent="0.35">
      <c r="A360" s="12"/>
      <c r="B360"/>
    </row>
    <row r="361" spans="1:2" s="13" customFormat="1" x14ac:dyDescent="0.35">
      <c r="A361" s="12"/>
      <c r="B361"/>
    </row>
    <row r="362" spans="1:2" s="13" customFormat="1" x14ac:dyDescent="0.35">
      <c r="A362" s="12"/>
      <c r="B362"/>
    </row>
    <row r="363" spans="1:2" s="13" customFormat="1" x14ac:dyDescent="0.35">
      <c r="A363" s="12"/>
      <c r="B363"/>
    </row>
    <row r="364" spans="1:2" s="13" customFormat="1" x14ac:dyDescent="0.35">
      <c r="A364" s="12"/>
      <c r="B364"/>
    </row>
    <row r="365" spans="1:2" s="13" customFormat="1" x14ac:dyDescent="0.35">
      <c r="A365" s="12"/>
      <c r="B365"/>
    </row>
    <row r="366" spans="1:2" s="13" customFormat="1" x14ac:dyDescent="0.35">
      <c r="A366" s="12"/>
      <c r="B366"/>
    </row>
    <row r="367" spans="1:2" s="13" customFormat="1" x14ac:dyDescent="0.35">
      <c r="A367" s="12"/>
      <c r="B367"/>
    </row>
    <row r="368" spans="1:2" s="13" customFormat="1" x14ac:dyDescent="0.35">
      <c r="A368" s="12"/>
      <c r="B368"/>
    </row>
    <row r="369" spans="1:2" s="13" customFormat="1" x14ac:dyDescent="0.35">
      <c r="A369" s="12"/>
      <c r="B369"/>
    </row>
    <row r="370" spans="1:2" s="13" customFormat="1" x14ac:dyDescent="0.35">
      <c r="A370" s="12"/>
      <c r="B370"/>
    </row>
    <row r="371" spans="1:2" s="13" customFormat="1" x14ac:dyDescent="0.35">
      <c r="A371" s="12"/>
      <c r="B371"/>
    </row>
    <row r="372" spans="1:2" s="13" customFormat="1" x14ac:dyDescent="0.35">
      <c r="A372" s="12"/>
      <c r="B372"/>
    </row>
    <row r="373" spans="1:2" s="13" customFormat="1" x14ac:dyDescent="0.35">
      <c r="A373" s="12"/>
      <c r="B373"/>
    </row>
    <row r="374" spans="1:2" s="13" customFormat="1" x14ac:dyDescent="0.35">
      <c r="A374" s="12"/>
      <c r="B374"/>
    </row>
    <row r="375" spans="1:2" s="13" customFormat="1" x14ac:dyDescent="0.35">
      <c r="A375" s="12"/>
      <c r="B375"/>
    </row>
    <row r="376" spans="1:2" s="13" customFormat="1" x14ac:dyDescent="0.35">
      <c r="A376" s="12"/>
      <c r="B376"/>
    </row>
    <row r="377" spans="1:2" s="13" customFormat="1" x14ac:dyDescent="0.35">
      <c r="A377" s="12"/>
      <c r="B377"/>
    </row>
    <row r="378" spans="1:2" s="13" customFormat="1" x14ac:dyDescent="0.35">
      <c r="A378" s="12"/>
      <c r="B378"/>
    </row>
    <row r="379" spans="1:2" s="13" customFormat="1" x14ac:dyDescent="0.35">
      <c r="A379" s="12"/>
      <c r="B379"/>
    </row>
    <row r="380" spans="1:2" s="13" customFormat="1" x14ac:dyDescent="0.35">
      <c r="A380" s="12"/>
      <c r="B380"/>
    </row>
    <row r="381" spans="1:2" s="13" customFormat="1" x14ac:dyDescent="0.35">
      <c r="A381" s="12"/>
      <c r="B381"/>
    </row>
    <row r="382" spans="1:2" s="13" customFormat="1" x14ac:dyDescent="0.35">
      <c r="A382" s="12"/>
      <c r="B382"/>
    </row>
    <row r="383" spans="1:2" s="13" customFormat="1" x14ac:dyDescent="0.35">
      <c r="A383" s="12"/>
      <c r="B383"/>
    </row>
    <row r="384" spans="1:2" s="13" customFormat="1" x14ac:dyDescent="0.35">
      <c r="A384" s="12"/>
      <c r="B384"/>
    </row>
    <row r="385" spans="1:2" s="13" customFormat="1" x14ac:dyDescent="0.35">
      <c r="A385" s="12"/>
      <c r="B385"/>
    </row>
    <row r="386" spans="1:2" s="13" customFormat="1" x14ac:dyDescent="0.35">
      <c r="A386" s="12"/>
      <c r="B386"/>
    </row>
    <row r="387" spans="1:2" s="13" customFormat="1" x14ac:dyDescent="0.35">
      <c r="A387" s="12"/>
      <c r="B387"/>
    </row>
    <row r="388" spans="1:2" s="13" customFormat="1" x14ac:dyDescent="0.35">
      <c r="A388" s="12"/>
      <c r="B388"/>
    </row>
    <row r="389" spans="1:2" s="13" customFormat="1" x14ac:dyDescent="0.35">
      <c r="A389" s="12"/>
      <c r="B389"/>
    </row>
    <row r="390" spans="1:2" s="13" customFormat="1" x14ac:dyDescent="0.35">
      <c r="A390" s="12"/>
      <c r="B390"/>
    </row>
    <row r="391" spans="1:2" s="13" customFormat="1" x14ac:dyDescent="0.35">
      <c r="A391" s="12"/>
      <c r="B391"/>
    </row>
    <row r="392" spans="1:2" s="13" customFormat="1" x14ac:dyDescent="0.35">
      <c r="A392" s="12"/>
      <c r="B392"/>
    </row>
    <row r="393" spans="1:2" s="13" customFormat="1" x14ac:dyDescent="0.35">
      <c r="A393" s="12"/>
      <c r="B393"/>
    </row>
    <row r="394" spans="1:2" s="13" customFormat="1" x14ac:dyDescent="0.35">
      <c r="A394" s="12"/>
      <c r="B394"/>
    </row>
    <row r="395" spans="1:2" s="13" customFormat="1" x14ac:dyDescent="0.35">
      <c r="A395" s="12"/>
      <c r="B395"/>
    </row>
    <row r="396" spans="1:2" s="13" customFormat="1" x14ac:dyDescent="0.35">
      <c r="A396" s="12"/>
      <c r="B396"/>
    </row>
    <row r="397" spans="1:2" s="13" customFormat="1" x14ac:dyDescent="0.35">
      <c r="A397" s="12"/>
      <c r="B397"/>
    </row>
    <row r="398" spans="1:2" s="13" customFormat="1" x14ac:dyDescent="0.35">
      <c r="A398" s="12"/>
      <c r="B398"/>
    </row>
    <row r="399" spans="1:2" s="13" customFormat="1" x14ac:dyDescent="0.35">
      <c r="A399" s="12"/>
      <c r="B399"/>
    </row>
    <row r="400" spans="1:2" s="13" customFormat="1" x14ac:dyDescent="0.35">
      <c r="A400" s="12"/>
      <c r="B400"/>
    </row>
    <row r="401" spans="1:2" s="13" customFormat="1" x14ac:dyDescent="0.35">
      <c r="A401" s="12"/>
      <c r="B401"/>
    </row>
    <row r="402" spans="1:2" s="13" customFormat="1" x14ac:dyDescent="0.35">
      <c r="A402" s="12"/>
      <c r="B402"/>
    </row>
    <row r="403" spans="1:2" s="13" customFormat="1" x14ac:dyDescent="0.35">
      <c r="A403" s="12"/>
      <c r="B403"/>
    </row>
    <row r="404" spans="1:2" s="13" customFormat="1" x14ac:dyDescent="0.35">
      <c r="A404" s="12"/>
      <c r="B404"/>
    </row>
    <row r="405" spans="1:2" s="13" customFormat="1" x14ac:dyDescent="0.35">
      <c r="A405" s="12"/>
      <c r="B405"/>
    </row>
    <row r="406" spans="1:2" s="13" customFormat="1" x14ac:dyDescent="0.35">
      <c r="A406" s="12"/>
      <c r="B406"/>
    </row>
    <row r="407" spans="1:2" s="13" customFormat="1" x14ac:dyDescent="0.35">
      <c r="A407" s="12"/>
      <c r="B407"/>
    </row>
    <row r="408" spans="1:2" s="13" customFormat="1" x14ac:dyDescent="0.35">
      <c r="A408" s="12"/>
      <c r="B408"/>
    </row>
    <row r="409" spans="1:2" s="13" customFormat="1" x14ac:dyDescent="0.35">
      <c r="A409" s="12"/>
      <c r="B409"/>
    </row>
    <row r="410" spans="1:2" s="13" customFormat="1" x14ac:dyDescent="0.35">
      <c r="A410" s="12"/>
      <c r="B410"/>
    </row>
    <row r="411" spans="1:2" s="13" customFormat="1" x14ac:dyDescent="0.35">
      <c r="A411" s="12"/>
      <c r="B411"/>
    </row>
    <row r="412" spans="1:2" s="13" customFormat="1" x14ac:dyDescent="0.35">
      <c r="A412" s="12"/>
      <c r="B412"/>
    </row>
    <row r="413" spans="1:2" s="13" customFormat="1" x14ac:dyDescent="0.35">
      <c r="A413" s="12"/>
      <c r="B413"/>
    </row>
    <row r="414" spans="1:2" s="13" customFormat="1" x14ac:dyDescent="0.35">
      <c r="A414" s="12"/>
      <c r="B414"/>
    </row>
    <row r="415" spans="1:2" s="13" customFormat="1" x14ac:dyDescent="0.35">
      <c r="A415" s="12"/>
      <c r="B415"/>
    </row>
    <row r="416" spans="1:2" s="13" customFormat="1" x14ac:dyDescent="0.35">
      <c r="A416" s="12"/>
      <c r="B416"/>
    </row>
    <row r="417" spans="1:2" s="13" customFormat="1" x14ac:dyDescent="0.35">
      <c r="A417" s="12"/>
      <c r="B417"/>
    </row>
    <row r="418" spans="1:2" s="13" customFormat="1" x14ac:dyDescent="0.35">
      <c r="A418" s="12"/>
      <c r="B418"/>
    </row>
    <row r="419" spans="1:2" s="13" customFormat="1" x14ac:dyDescent="0.35">
      <c r="A419" s="12"/>
      <c r="B419"/>
    </row>
    <row r="420" spans="1:2" s="13" customFormat="1" x14ac:dyDescent="0.35">
      <c r="A420" s="12"/>
      <c r="B420"/>
    </row>
    <row r="421" spans="1:2" s="13" customFormat="1" x14ac:dyDescent="0.35">
      <c r="A421" s="12"/>
      <c r="B421"/>
    </row>
    <row r="422" spans="1:2" s="13" customFormat="1" x14ac:dyDescent="0.35">
      <c r="A422" s="12"/>
      <c r="B422"/>
    </row>
    <row r="423" spans="1:2" s="13" customFormat="1" x14ac:dyDescent="0.35">
      <c r="A423" s="12"/>
      <c r="B423"/>
    </row>
    <row r="424" spans="1:2" s="13" customFormat="1" x14ac:dyDescent="0.35">
      <c r="A424" s="12"/>
      <c r="B424"/>
    </row>
    <row r="425" spans="1:2" s="13" customFormat="1" x14ac:dyDescent="0.35">
      <c r="A425" s="12"/>
      <c r="B425"/>
    </row>
    <row r="426" spans="1:2" s="13" customFormat="1" x14ac:dyDescent="0.35">
      <c r="A426" s="12"/>
      <c r="B426"/>
    </row>
    <row r="427" spans="1:2" s="13" customFormat="1" x14ac:dyDescent="0.35">
      <c r="A427" s="12"/>
      <c r="B427"/>
    </row>
    <row r="428" spans="1:2" s="13" customFormat="1" x14ac:dyDescent="0.35">
      <c r="A428" s="12"/>
      <c r="B428"/>
    </row>
    <row r="429" spans="1:2" s="13" customFormat="1" x14ac:dyDescent="0.35">
      <c r="A429" s="12"/>
      <c r="B429"/>
    </row>
    <row r="430" spans="1:2" s="13" customFormat="1" x14ac:dyDescent="0.35">
      <c r="A430" s="12"/>
      <c r="B430"/>
    </row>
    <row r="431" spans="1:2" s="13" customFormat="1" x14ac:dyDescent="0.35">
      <c r="A431" s="12"/>
      <c r="B431"/>
    </row>
    <row r="432" spans="1:2" s="13" customFormat="1" x14ac:dyDescent="0.35">
      <c r="A432" s="12"/>
      <c r="B432"/>
    </row>
    <row r="433" spans="1:2" s="13" customFormat="1" x14ac:dyDescent="0.35">
      <c r="A433" s="12"/>
      <c r="B433"/>
    </row>
    <row r="434" spans="1:2" s="13" customFormat="1" x14ac:dyDescent="0.35">
      <c r="A434" s="12"/>
      <c r="B434"/>
    </row>
    <row r="435" spans="1:2" s="13" customFormat="1" x14ac:dyDescent="0.35">
      <c r="A435" s="12"/>
      <c r="B435"/>
    </row>
    <row r="436" spans="1:2" s="13" customFormat="1" x14ac:dyDescent="0.35">
      <c r="A436" s="12"/>
      <c r="B436"/>
    </row>
    <row r="437" spans="1:2" s="13" customFormat="1" x14ac:dyDescent="0.35">
      <c r="A437" s="12"/>
      <c r="B437"/>
    </row>
    <row r="438" spans="1:2" s="13" customFormat="1" x14ac:dyDescent="0.35">
      <c r="A438" s="12"/>
      <c r="B438"/>
    </row>
    <row r="439" spans="1:2" s="13" customFormat="1" x14ac:dyDescent="0.35">
      <c r="A439" s="12"/>
      <c r="B439"/>
    </row>
    <row r="440" spans="1:2" s="13" customFormat="1" x14ac:dyDescent="0.35">
      <c r="A440" s="12"/>
      <c r="B440"/>
    </row>
    <row r="441" spans="1:2" s="13" customFormat="1" x14ac:dyDescent="0.35">
      <c r="A441" s="12"/>
      <c r="B441"/>
    </row>
    <row r="442" spans="1:2" s="13" customFormat="1" x14ac:dyDescent="0.35">
      <c r="A442" s="12"/>
      <c r="B442"/>
    </row>
    <row r="443" spans="1:2" s="13" customFormat="1" x14ac:dyDescent="0.35">
      <c r="A443" s="12"/>
      <c r="B443"/>
    </row>
    <row r="444" spans="1:2" s="13" customFormat="1" x14ac:dyDescent="0.35">
      <c r="A444" s="12"/>
      <c r="B444"/>
    </row>
    <row r="445" spans="1:2" s="13" customFormat="1" x14ac:dyDescent="0.35">
      <c r="A445" s="12"/>
      <c r="B445"/>
    </row>
    <row r="446" spans="1:2" s="13" customFormat="1" x14ac:dyDescent="0.35">
      <c r="A446" s="12"/>
      <c r="B446"/>
    </row>
    <row r="447" spans="1:2" s="13" customFormat="1" x14ac:dyDescent="0.35">
      <c r="A447" s="12"/>
      <c r="B447"/>
    </row>
    <row r="448" spans="1:2" s="13" customFormat="1" x14ac:dyDescent="0.35">
      <c r="A448" s="12"/>
      <c r="B448"/>
    </row>
    <row r="449" spans="1:2" s="13" customFormat="1" x14ac:dyDescent="0.35">
      <c r="A449" s="12"/>
      <c r="B449"/>
    </row>
    <row r="450" spans="1:2" s="13" customFormat="1" x14ac:dyDescent="0.35">
      <c r="A450" s="12"/>
      <c r="B450"/>
    </row>
    <row r="451" spans="1:2" s="13" customFormat="1" x14ac:dyDescent="0.35">
      <c r="A451" s="12"/>
      <c r="B451"/>
    </row>
    <row r="452" spans="1:2" s="13" customFormat="1" x14ac:dyDescent="0.35">
      <c r="A452" s="12"/>
      <c r="B452"/>
    </row>
    <row r="453" spans="1:2" s="13" customFormat="1" x14ac:dyDescent="0.35">
      <c r="A453" s="12"/>
      <c r="B453"/>
    </row>
    <row r="454" spans="1:2" s="13" customFormat="1" x14ac:dyDescent="0.35">
      <c r="A454" s="12"/>
      <c r="B454"/>
    </row>
    <row r="455" spans="1:2" s="13" customFormat="1" x14ac:dyDescent="0.35">
      <c r="A455" s="12"/>
      <c r="B455"/>
    </row>
    <row r="456" spans="1:2" s="13" customFormat="1" x14ac:dyDescent="0.35">
      <c r="A456" s="12"/>
      <c r="B456"/>
    </row>
    <row r="457" spans="1:2" s="13" customFormat="1" x14ac:dyDescent="0.35">
      <c r="A457" s="12"/>
      <c r="B457"/>
    </row>
    <row r="458" spans="1:2" s="13" customFormat="1" x14ac:dyDescent="0.35">
      <c r="A458" s="12"/>
      <c r="B458"/>
    </row>
    <row r="459" spans="1:2" s="13" customFormat="1" x14ac:dyDescent="0.35">
      <c r="A459" s="12"/>
      <c r="B459"/>
    </row>
    <row r="460" spans="1:2" s="13" customFormat="1" x14ac:dyDescent="0.35">
      <c r="A460" s="12"/>
      <c r="B460"/>
    </row>
    <row r="461" spans="1:2" s="13" customFormat="1" x14ac:dyDescent="0.35">
      <c r="A461" s="12"/>
      <c r="B461"/>
    </row>
    <row r="462" spans="1:2" s="13" customFormat="1" x14ac:dyDescent="0.35">
      <c r="A462" s="12"/>
      <c r="B462"/>
    </row>
    <row r="463" spans="1:2" s="13" customFormat="1" x14ac:dyDescent="0.35">
      <c r="A463" s="12"/>
      <c r="B463"/>
    </row>
    <row r="464" spans="1:2" s="13" customFormat="1" x14ac:dyDescent="0.35">
      <c r="A464" s="12"/>
      <c r="B464"/>
    </row>
    <row r="465" spans="1:2" s="13" customFormat="1" x14ac:dyDescent="0.35">
      <c r="A465" s="12"/>
      <c r="B465"/>
    </row>
    <row r="466" spans="1:2" s="13" customFormat="1" x14ac:dyDescent="0.35">
      <c r="A466" s="12"/>
      <c r="B466"/>
    </row>
    <row r="467" spans="1:2" s="13" customFormat="1" x14ac:dyDescent="0.35">
      <c r="A467" s="12"/>
      <c r="B467"/>
    </row>
    <row r="468" spans="1:2" s="13" customFormat="1" x14ac:dyDescent="0.35">
      <c r="A468" s="12"/>
      <c r="B468"/>
    </row>
    <row r="469" spans="1:2" s="13" customFormat="1" x14ac:dyDescent="0.35">
      <c r="A469" s="12"/>
      <c r="B469"/>
    </row>
    <row r="470" spans="1:2" s="13" customFormat="1" x14ac:dyDescent="0.35">
      <c r="A470" s="12"/>
      <c r="B470"/>
    </row>
    <row r="471" spans="1:2" s="13" customFormat="1" x14ac:dyDescent="0.35">
      <c r="A471" s="12"/>
      <c r="B471"/>
    </row>
    <row r="472" spans="1:2" s="13" customFormat="1" x14ac:dyDescent="0.35">
      <c r="A472" s="12"/>
      <c r="B472"/>
    </row>
    <row r="473" spans="1:2" s="13" customFormat="1" x14ac:dyDescent="0.35">
      <c r="A473" s="12"/>
      <c r="B473"/>
    </row>
    <row r="474" spans="1:2" s="13" customFormat="1" x14ac:dyDescent="0.35">
      <c r="A474" s="12"/>
      <c r="B474"/>
    </row>
    <row r="475" spans="1:2" s="13" customFormat="1" x14ac:dyDescent="0.35">
      <c r="A475" s="12"/>
      <c r="B475"/>
    </row>
    <row r="476" spans="1:2" s="13" customFormat="1" x14ac:dyDescent="0.35">
      <c r="A476" s="12"/>
      <c r="B476"/>
    </row>
    <row r="477" spans="1:2" s="13" customFormat="1" x14ac:dyDescent="0.35">
      <c r="A477" s="12"/>
      <c r="B477"/>
    </row>
    <row r="478" spans="1:2" s="13" customFormat="1" x14ac:dyDescent="0.35">
      <c r="A478" s="12"/>
      <c r="B478"/>
    </row>
    <row r="479" spans="1:2" s="13" customFormat="1" x14ac:dyDescent="0.35">
      <c r="A479" s="12"/>
      <c r="B479"/>
    </row>
    <row r="480" spans="1:2" s="13" customFormat="1" x14ac:dyDescent="0.35">
      <c r="A480" s="12"/>
      <c r="B480"/>
    </row>
    <row r="481" spans="1:2" s="13" customFormat="1" x14ac:dyDescent="0.35">
      <c r="A481" s="12"/>
      <c r="B481"/>
    </row>
    <row r="482" spans="1:2" s="13" customFormat="1" x14ac:dyDescent="0.35">
      <c r="A482" s="12"/>
      <c r="B482"/>
    </row>
    <row r="483" spans="1:2" s="13" customFormat="1" x14ac:dyDescent="0.35">
      <c r="A483" s="12"/>
      <c r="B483"/>
    </row>
    <row r="484" spans="1:2" s="13" customFormat="1" x14ac:dyDescent="0.35">
      <c r="A484" s="12"/>
      <c r="B484"/>
    </row>
    <row r="485" spans="1:2" s="13" customFormat="1" x14ac:dyDescent="0.35">
      <c r="A485" s="12"/>
      <c r="B485"/>
    </row>
    <row r="486" spans="1:2" s="13" customFormat="1" x14ac:dyDescent="0.35">
      <c r="A486" s="12"/>
      <c r="B486"/>
    </row>
    <row r="487" spans="1:2" s="13" customFormat="1" x14ac:dyDescent="0.35">
      <c r="A487" s="12"/>
      <c r="B487"/>
    </row>
    <row r="488" spans="1:2" s="13" customFormat="1" x14ac:dyDescent="0.35">
      <c r="A488" s="12"/>
      <c r="B488"/>
    </row>
    <row r="489" spans="1:2" s="13" customFormat="1" x14ac:dyDescent="0.35">
      <c r="A489" s="12"/>
      <c r="B489"/>
    </row>
    <row r="490" spans="1:2" s="13" customFormat="1" x14ac:dyDescent="0.35">
      <c r="A490" s="12"/>
      <c r="B490"/>
    </row>
    <row r="491" spans="1:2" s="13" customFormat="1" x14ac:dyDescent="0.35">
      <c r="A491" s="12"/>
      <c r="B491"/>
    </row>
    <row r="492" spans="1:2" s="13" customFormat="1" x14ac:dyDescent="0.35">
      <c r="A492" s="12"/>
      <c r="B492"/>
    </row>
    <row r="493" spans="1:2" s="13" customFormat="1" x14ac:dyDescent="0.35">
      <c r="A493" s="12"/>
      <c r="B493"/>
    </row>
    <row r="494" spans="1:2" s="13" customFormat="1" x14ac:dyDescent="0.35">
      <c r="A494" s="12"/>
      <c r="B494"/>
    </row>
    <row r="495" spans="1:2" s="13" customFormat="1" x14ac:dyDescent="0.35">
      <c r="A495" s="12"/>
      <c r="B495"/>
    </row>
    <row r="496" spans="1:2" s="13" customFormat="1" x14ac:dyDescent="0.35">
      <c r="A496" s="12"/>
      <c r="B496"/>
    </row>
    <row r="497" spans="1:2" s="13" customFormat="1" x14ac:dyDescent="0.35">
      <c r="A497" s="12"/>
      <c r="B497"/>
    </row>
    <row r="498" spans="1:2" s="13" customFormat="1" x14ac:dyDescent="0.35">
      <c r="A498" s="12"/>
      <c r="B498"/>
    </row>
    <row r="499" spans="1:2" s="13" customFormat="1" x14ac:dyDescent="0.35">
      <c r="A499" s="12"/>
      <c r="B499"/>
    </row>
    <row r="500" spans="1:2" s="13" customFormat="1" x14ac:dyDescent="0.35">
      <c r="A500" s="12"/>
      <c r="B500"/>
    </row>
    <row r="501" spans="1:2" s="13" customFormat="1" x14ac:dyDescent="0.35">
      <c r="A501" s="12"/>
      <c r="B501"/>
    </row>
    <row r="502" spans="1:2" s="13" customFormat="1" x14ac:dyDescent="0.35">
      <c r="A502" s="12"/>
      <c r="B502"/>
    </row>
    <row r="503" spans="1:2" s="13" customFormat="1" x14ac:dyDescent="0.35">
      <c r="A503" s="12"/>
      <c r="B503"/>
    </row>
    <row r="504" spans="1:2" s="13" customFormat="1" x14ac:dyDescent="0.35">
      <c r="A504" s="12"/>
      <c r="B504"/>
    </row>
    <row r="505" spans="1:2" s="13" customFormat="1" x14ac:dyDescent="0.35">
      <c r="A505" s="12"/>
      <c r="B505"/>
    </row>
    <row r="506" spans="1:2" s="13" customFormat="1" x14ac:dyDescent="0.35">
      <c r="A506" s="12"/>
      <c r="B506"/>
    </row>
    <row r="507" spans="1:2" s="13" customFormat="1" x14ac:dyDescent="0.35">
      <c r="A507" s="12"/>
      <c r="B507"/>
    </row>
    <row r="508" spans="1:2" s="13" customFormat="1" x14ac:dyDescent="0.35">
      <c r="A508" s="12"/>
      <c r="B508"/>
    </row>
    <row r="509" spans="1:2" s="13" customFormat="1" x14ac:dyDescent="0.35">
      <c r="A509" s="12"/>
      <c r="B509"/>
    </row>
    <row r="510" spans="1:2" s="13" customFormat="1" x14ac:dyDescent="0.35">
      <c r="A510" s="12"/>
      <c r="B510"/>
    </row>
    <row r="511" spans="1:2" s="13" customFormat="1" x14ac:dyDescent="0.35">
      <c r="A511" s="12"/>
      <c r="B511"/>
    </row>
    <row r="512" spans="1:2" s="13" customFormat="1" x14ac:dyDescent="0.35">
      <c r="A512" s="12"/>
      <c r="B512"/>
    </row>
    <row r="513" spans="1:2" s="13" customFormat="1" x14ac:dyDescent="0.35">
      <c r="A513" s="12"/>
      <c r="B513"/>
    </row>
    <row r="514" spans="1:2" s="13" customFormat="1" x14ac:dyDescent="0.35">
      <c r="A514" s="12"/>
      <c r="B514"/>
    </row>
    <row r="515" spans="1:2" s="13" customFormat="1" x14ac:dyDescent="0.35">
      <c r="A515" s="12"/>
      <c r="B515"/>
    </row>
    <row r="516" spans="1:2" s="13" customFormat="1" x14ac:dyDescent="0.35">
      <c r="A516" s="12"/>
      <c r="B516"/>
    </row>
    <row r="517" spans="1:2" s="13" customFormat="1" x14ac:dyDescent="0.35">
      <c r="A517" s="12"/>
      <c r="B517"/>
    </row>
    <row r="518" spans="1:2" s="13" customFormat="1" x14ac:dyDescent="0.35">
      <c r="A518" s="12"/>
      <c r="B518"/>
    </row>
    <row r="519" spans="1:2" s="13" customFormat="1" x14ac:dyDescent="0.35">
      <c r="A519" s="12"/>
      <c r="B519"/>
    </row>
    <row r="520" spans="1:2" s="13" customFormat="1" x14ac:dyDescent="0.35">
      <c r="A520" s="12"/>
      <c r="B520"/>
    </row>
    <row r="521" spans="1:2" s="13" customFormat="1" x14ac:dyDescent="0.35">
      <c r="A521" s="12"/>
      <c r="B521"/>
    </row>
    <row r="522" spans="1:2" s="13" customFormat="1" x14ac:dyDescent="0.35">
      <c r="A522" s="12"/>
      <c r="B522"/>
    </row>
    <row r="523" spans="1:2" s="13" customFormat="1" x14ac:dyDescent="0.35">
      <c r="A523" s="12"/>
      <c r="B523"/>
    </row>
    <row r="524" spans="1:2" s="13" customFormat="1" x14ac:dyDescent="0.35">
      <c r="A524" s="12"/>
      <c r="B524"/>
    </row>
    <row r="525" spans="1:2" s="13" customFormat="1" x14ac:dyDescent="0.35">
      <c r="A525" s="12"/>
      <c r="B525"/>
    </row>
    <row r="526" spans="1:2" s="13" customFormat="1" x14ac:dyDescent="0.35">
      <c r="A526" s="12"/>
      <c r="B526"/>
    </row>
    <row r="527" spans="1:2" s="13" customFormat="1" x14ac:dyDescent="0.35">
      <c r="A527" s="12"/>
      <c r="B527"/>
    </row>
    <row r="528" spans="1:2" s="13" customFormat="1" x14ac:dyDescent="0.35">
      <c r="A528" s="12"/>
      <c r="B528"/>
    </row>
    <row r="529" spans="1:2" s="13" customFormat="1" x14ac:dyDescent="0.35">
      <c r="A529" s="12"/>
      <c r="B529"/>
    </row>
    <row r="530" spans="1:2" s="13" customFormat="1" x14ac:dyDescent="0.35">
      <c r="A530" s="12"/>
      <c r="B530"/>
    </row>
    <row r="531" spans="1:2" s="13" customFormat="1" x14ac:dyDescent="0.35">
      <c r="A531" s="12"/>
      <c r="B531"/>
    </row>
    <row r="532" spans="1:2" s="13" customFormat="1" x14ac:dyDescent="0.35">
      <c r="A532" s="12"/>
      <c r="B532"/>
    </row>
    <row r="533" spans="1:2" s="13" customFormat="1" x14ac:dyDescent="0.35">
      <c r="A533" s="12"/>
      <c r="B533"/>
    </row>
    <row r="534" spans="1:2" s="13" customFormat="1" x14ac:dyDescent="0.35">
      <c r="A534" s="12"/>
      <c r="B534"/>
    </row>
    <row r="535" spans="1:2" s="13" customFormat="1" x14ac:dyDescent="0.35">
      <c r="A535" s="12"/>
      <c r="B535"/>
    </row>
    <row r="536" spans="1:2" s="13" customFormat="1" x14ac:dyDescent="0.35">
      <c r="A536" s="12"/>
      <c r="B536"/>
    </row>
    <row r="537" spans="1:2" s="13" customFormat="1" x14ac:dyDescent="0.35">
      <c r="A537" s="12"/>
      <c r="B537"/>
    </row>
    <row r="538" spans="1:2" s="13" customFormat="1" x14ac:dyDescent="0.35">
      <c r="A538" s="12"/>
      <c r="B538"/>
    </row>
    <row r="539" spans="1:2" s="13" customFormat="1" x14ac:dyDescent="0.35">
      <c r="A539" s="12"/>
      <c r="B539"/>
    </row>
    <row r="540" spans="1:2" s="13" customFormat="1" x14ac:dyDescent="0.35">
      <c r="A540" s="12"/>
      <c r="B540"/>
    </row>
    <row r="541" spans="1:2" s="13" customFormat="1" x14ac:dyDescent="0.35">
      <c r="A541" s="12"/>
      <c r="B541"/>
    </row>
    <row r="542" spans="1:2" s="13" customFormat="1" x14ac:dyDescent="0.35">
      <c r="A542" s="12"/>
      <c r="B542"/>
    </row>
    <row r="543" spans="1:2" s="13" customFormat="1" x14ac:dyDescent="0.35">
      <c r="A543" s="12"/>
      <c r="B543"/>
    </row>
    <row r="544" spans="1:2" s="13" customFormat="1" x14ac:dyDescent="0.35">
      <c r="A544" s="12"/>
      <c r="B544"/>
    </row>
    <row r="545" spans="1:2" s="13" customFormat="1" x14ac:dyDescent="0.35">
      <c r="A545" s="12"/>
      <c r="B545"/>
    </row>
    <row r="546" spans="1:2" s="13" customFormat="1" x14ac:dyDescent="0.35">
      <c r="A546" s="12"/>
      <c r="B546"/>
    </row>
    <row r="547" spans="1:2" s="13" customFormat="1" x14ac:dyDescent="0.35">
      <c r="A547" s="12"/>
      <c r="B547"/>
    </row>
    <row r="548" spans="1:2" s="13" customFormat="1" x14ac:dyDescent="0.35">
      <c r="A548" s="12"/>
      <c r="B548"/>
    </row>
    <row r="549" spans="1:2" s="13" customFormat="1" x14ac:dyDescent="0.35">
      <c r="A549" s="12"/>
      <c r="B549"/>
    </row>
    <row r="550" spans="1:2" s="13" customFormat="1" x14ac:dyDescent="0.35">
      <c r="A550" s="12"/>
      <c r="B550"/>
    </row>
    <row r="551" spans="1:2" s="13" customFormat="1" x14ac:dyDescent="0.35">
      <c r="A551" s="12"/>
      <c r="B551"/>
    </row>
    <row r="552" spans="1:2" s="13" customFormat="1" x14ac:dyDescent="0.35">
      <c r="A552" s="12"/>
      <c r="B552"/>
    </row>
    <row r="553" spans="1:2" s="13" customFormat="1" x14ac:dyDescent="0.35">
      <c r="A553" s="12"/>
      <c r="B553"/>
    </row>
    <row r="554" spans="1:2" s="13" customFormat="1" x14ac:dyDescent="0.35">
      <c r="A554" s="12"/>
      <c r="B554"/>
    </row>
    <row r="555" spans="1:2" s="13" customFormat="1" x14ac:dyDescent="0.35">
      <c r="A555" s="12"/>
      <c r="B555"/>
    </row>
    <row r="556" spans="1:2" s="13" customFormat="1" x14ac:dyDescent="0.35">
      <c r="A556" s="12"/>
      <c r="B556"/>
    </row>
    <row r="557" spans="1:2" s="13" customFormat="1" x14ac:dyDescent="0.35">
      <c r="A557" s="12"/>
      <c r="B557"/>
    </row>
    <row r="558" spans="1:2" s="13" customFormat="1" x14ac:dyDescent="0.35">
      <c r="A558" s="12"/>
      <c r="B558"/>
    </row>
    <row r="559" spans="1:2" s="13" customFormat="1" x14ac:dyDescent="0.35">
      <c r="A559" s="12"/>
      <c r="B559"/>
    </row>
    <row r="560" spans="1:2" s="13" customFormat="1" x14ac:dyDescent="0.35">
      <c r="A560" s="12"/>
      <c r="B560"/>
    </row>
    <row r="561" spans="1:2" s="13" customFormat="1" x14ac:dyDescent="0.35">
      <c r="A561" s="12"/>
      <c r="B561"/>
    </row>
    <row r="562" spans="1:2" s="13" customFormat="1" x14ac:dyDescent="0.35">
      <c r="A562" s="12"/>
      <c r="B562"/>
    </row>
    <row r="563" spans="1:2" s="13" customFormat="1" x14ac:dyDescent="0.35">
      <c r="A563" s="12"/>
      <c r="B563"/>
    </row>
    <row r="564" spans="1:2" s="13" customFormat="1" x14ac:dyDescent="0.35">
      <c r="A564" s="12"/>
      <c r="B564"/>
    </row>
    <row r="565" spans="1:2" s="13" customFormat="1" x14ac:dyDescent="0.35">
      <c r="A565" s="12"/>
      <c r="B565"/>
    </row>
    <row r="566" spans="1:2" s="13" customFormat="1" x14ac:dyDescent="0.35">
      <c r="A566" s="12"/>
      <c r="B566"/>
    </row>
    <row r="567" spans="1:2" s="13" customFormat="1" x14ac:dyDescent="0.35">
      <c r="A567" s="12"/>
      <c r="B567"/>
    </row>
    <row r="568" spans="1:2" s="13" customFormat="1" x14ac:dyDescent="0.35">
      <c r="A568" s="12"/>
      <c r="B568"/>
    </row>
    <row r="569" spans="1:2" s="13" customFormat="1" x14ac:dyDescent="0.35">
      <c r="A569" s="12"/>
      <c r="B569"/>
    </row>
    <row r="570" spans="1:2" s="13" customFormat="1" x14ac:dyDescent="0.35">
      <c r="A570" s="12"/>
      <c r="B570"/>
    </row>
    <row r="571" spans="1:2" s="13" customFormat="1" x14ac:dyDescent="0.35">
      <c r="A571" s="12"/>
      <c r="B571"/>
    </row>
    <row r="572" spans="1:2" s="13" customFormat="1" x14ac:dyDescent="0.35">
      <c r="A572" s="12"/>
      <c r="B572"/>
    </row>
    <row r="573" spans="1:2" s="13" customFormat="1" x14ac:dyDescent="0.35">
      <c r="A573" s="12"/>
      <c r="B573"/>
    </row>
    <row r="574" spans="1:2" s="13" customFormat="1" x14ac:dyDescent="0.35">
      <c r="A574" s="12"/>
      <c r="B574"/>
    </row>
    <row r="575" spans="1:2" s="13" customFormat="1" x14ac:dyDescent="0.35">
      <c r="A575" s="12"/>
      <c r="B575"/>
    </row>
    <row r="576" spans="1:2" s="13" customFormat="1" x14ac:dyDescent="0.35">
      <c r="A576" s="12"/>
      <c r="B576"/>
    </row>
    <row r="577" spans="1:2" s="13" customFormat="1" x14ac:dyDescent="0.35">
      <c r="A577" s="12"/>
      <c r="B577"/>
    </row>
    <row r="578" spans="1:2" s="13" customFormat="1" x14ac:dyDescent="0.35">
      <c r="A578" s="12"/>
      <c r="B578"/>
    </row>
    <row r="579" spans="1:2" s="13" customFormat="1" x14ac:dyDescent="0.35">
      <c r="A579" s="12"/>
      <c r="B579"/>
    </row>
    <row r="580" spans="1:2" s="13" customFormat="1" x14ac:dyDescent="0.35">
      <c r="A580" s="12"/>
      <c r="B580"/>
    </row>
    <row r="581" spans="1:2" s="13" customFormat="1" x14ac:dyDescent="0.35">
      <c r="A581" s="12"/>
      <c r="B581"/>
    </row>
    <row r="582" spans="1:2" s="13" customFormat="1" x14ac:dyDescent="0.35">
      <c r="A582" s="12"/>
      <c r="B582"/>
    </row>
    <row r="583" spans="1:2" s="13" customFormat="1" x14ac:dyDescent="0.35">
      <c r="A583" s="12"/>
      <c r="B583"/>
    </row>
    <row r="584" spans="1:2" s="13" customFormat="1" x14ac:dyDescent="0.35">
      <c r="A584" s="12"/>
      <c r="B584"/>
    </row>
    <row r="585" spans="1:2" s="13" customFormat="1" x14ac:dyDescent="0.35">
      <c r="A585" s="12"/>
      <c r="B585"/>
    </row>
    <row r="586" spans="1:2" s="13" customFormat="1" x14ac:dyDescent="0.35">
      <c r="A586" s="12"/>
      <c r="B586"/>
    </row>
    <row r="587" spans="1:2" s="13" customFormat="1" x14ac:dyDescent="0.35">
      <c r="A587" s="12"/>
      <c r="B587"/>
    </row>
    <row r="588" spans="1:2" s="13" customFormat="1" x14ac:dyDescent="0.35">
      <c r="A588" s="12"/>
      <c r="B588"/>
    </row>
    <row r="589" spans="1:2" s="13" customFormat="1" x14ac:dyDescent="0.35">
      <c r="A589" s="12"/>
      <c r="B589"/>
    </row>
    <row r="590" spans="1:2" s="13" customFormat="1" x14ac:dyDescent="0.35">
      <c r="A590" s="12"/>
      <c r="B590"/>
    </row>
    <row r="591" spans="1:2" s="13" customFormat="1" x14ac:dyDescent="0.35">
      <c r="A591" s="12"/>
      <c r="B591"/>
    </row>
    <row r="592" spans="1:2" s="13" customFormat="1" x14ac:dyDescent="0.35">
      <c r="A592" s="12"/>
      <c r="B592"/>
    </row>
    <row r="593" spans="1:2" s="13" customFormat="1" x14ac:dyDescent="0.35">
      <c r="A593" s="12"/>
      <c r="B593"/>
    </row>
    <row r="594" spans="1:2" s="13" customFormat="1" x14ac:dyDescent="0.35">
      <c r="A594" s="12"/>
      <c r="B594"/>
    </row>
    <row r="595" spans="1:2" s="13" customFormat="1" x14ac:dyDescent="0.35">
      <c r="A595" s="12"/>
      <c r="B595"/>
    </row>
    <row r="596" spans="1:2" s="13" customFormat="1" x14ac:dyDescent="0.35">
      <c r="A596" s="12"/>
      <c r="B596"/>
    </row>
    <row r="597" spans="1:2" s="13" customFormat="1" x14ac:dyDescent="0.35">
      <c r="A597" s="12"/>
      <c r="B597"/>
    </row>
    <row r="598" spans="1:2" s="13" customFormat="1" x14ac:dyDescent="0.35">
      <c r="A598" s="12"/>
      <c r="B598"/>
    </row>
    <row r="599" spans="1:2" s="13" customFormat="1" x14ac:dyDescent="0.35">
      <c r="A599" s="12"/>
      <c r="B599"/>
    </row>
    <row r="600" spans="1:2" s="13" customFormat="1" x14ac:dyDescent="0.35">
      <c r="A600" s="12"/>
      <c r="B600"/>
    </row>
    <row r="601" spans="1:2" s="13" customFormat="1" x14ac:dyDescent="0.35">
      <c r="A601" s="12"/>
      <c r="B601"/>
    </row>
    <row r="602" spans="1:2" s="13" customFormat="1" x14ac:dyDescent="0.35">
      <c r="A602" s="12"/>
      <c r="B602"/>
    </row>
    <row r="603" spans="1:2" s="13" customFormat="1" x14ac:dyDescent="0.35">
      <c r="A603" s="12"/>
      <c r="B603"/>
    </row>
    <row r="604" spans="1:2" s="13" customFormat="1" x14ac:dyDescent="0.35">
      <c r="A604" s="12"/>
      <c r="B604"/>
    </row>
    <row r="605" spans="1:2" s="13" customFormat="1" x14ac:dyDescent="0.35">
      <c r="A605" s="12"/>
      <c r="B605"/>
    </row>
    <row r="606" spans="1:2" s="13" customFormat="1" x14ac:dyDescent="0.35">
      <c r="A606" s="12"/>
      <c r="B606"/>
    </row>
    <row r="607" spans="1:2" s="13" customFormat="1" x14ac:dyDescent="0.35">
      <c r="A607" s="12"/>
      <c r="B607"/>
    </row>
    <row r="608" spans="1:2" s="13" customFormat="1" x14ac:dyDescent="0.35">
      <c r="A608" s="12"/>
      <c r="B608"/>
    </row>
    <row r="609" spans="1:2" s="13" customFormat="1" x14ac:dyDescent="0.35">
      <c r="A609" s="12"/>
      <c r="B609"/>
    </row>
    <row r="610" spans="1:2" s="13" customFormat="1" x14ac:dyDescent="0.35">
      <c r="A610" s="12"/>
      <c r="B610"/>
    </row>
    <row r="611" spans="1:2" s="13" customFormat="1" x14ac:dyDescent="0.35">
      <c r="A611" s="12"/>
      <c r="B611"/>
    </row>
    <row r="612" spans="1:2" s="13" customFormat="1" x14ac:dyDescent="0.35">
      <c r="A612" s="12"/>
      <c r="B612"/>
    </row>
    <row r="613" spans="1:2" s="13" customFormat="1" x14ac:dyDescent="0.35">
      <c r="A613" s="12"/>
      <c r="B613"/>
    </row>
    <row r="614" spans="1:2" s="13" customFormat="1" x14ac:dyDescent="0.35">
      <c r="A614" s="12"/>
      <c r="B614"/>
    </row>
    <row r="615" spans="1:2" s="13" customFormat="1" x14ac:dyDescent="0.35">
      <c r="A615" s="12"/>
      <c r="B615"/>
    </row>
    <row r="616" spans="1:2" s="13" customFormat="1" x14ac:dyDescent="0.35">
      <c r="A616" s="12"/>
      <c r="B616"/>
    </row>
    <row r="617" spans="1:2" s="13" customFormat="1" x14ac:dyDescent="0.35">
      <c r="A617" s="12"/>
      <c r="B617"/>
    </row>
    <row r="618" spans="1:2" s="13" customFormat="1" x14ac:dyDescent="0.35">
      <c r="A618" s="12"/>
      <c r="B618"/>
    </row>
    <row r="619" spans="1:2" s="13" customFormat="1" x14ac:dyDescent="0.35">
      <c r="A619" s="12"/>
      <c r="B619"/>
    </row>
    <row r="620" spans="1:2" s="13" customFormat="1" x14ac:dyDescent="0.35">
      <c r="A620" s="12"/>
      <c r="B620"/>
    </row>
    <row r="621" spans="1:2" s="13" customFormat="1" x14ac:dyDescent="0.35">
      <c r="A621" s="12"/>
      <c r="B621"/>
    </row>
    <row r="622" spans="1:2" s="13" customFormat="1" x14ac:dyDescent="0.35">
      <c r="A622" s="12"/>
      <c r="B622"/>
    </row>
    <row r="623" spans="1:2" s="13" customFormat="1" x14ac:dyDescent="0.35">
      <c r="A623" s="12"/>
      <c r="B623"/>
    </row>
    <row r="624" spans="1:2" s="13" customFormat="1" x14ac:dyDescent="0.35">
      <c r="A624" s="12"/>
      <c r="B624"/>
    </row>
    <row r="625" spans="1:2" s="13" customFormat="1" x14ac:dyDescent="0.35">
      <c r="A625" s="12"/>
      <c r="B625"/>
    </row>
    <row r="626" spans="1:2" s="13" customFormat="1" x14ac:dyDescent="0.35">
      <c r="A626" s="12"/>
      <c r="B626"/>
    </row>
    <row r="627" spans="1:2" s="13" customFormat="1" x14ac:dyDescent="0.35">
      <c r="A627" s="12"/>
      <c r="B627"/>
    </row>
    <row r="628" spans="1:2" s="13" customFormat="1" x14ac:dyDescent="0.35">
      <c r="A628" s="12"/>
      <c r="B628"/>
    </row>
    <row r="629" spans="1:2" s="13" customFormat="1" x14ac:dyDescent="0.35">
      <c r="A629" s="12"/>
      <c r="B629"/>
    </row>
    <row r="630" spans="1:2" s="13" customFormat="1" x14ac:dyDescent="0.35">
      <c r="A630" s="12"/>
      <c r="B630"/>
    </row>
    <row r="631" spans="1:2" s="13" customFormat="1" x14ac:dyDescent="0.35">
      <c r="A631" s="12"/>
      <c r="B631"/>
    </row>
    <row r="632" spans="1:2" s="13" customFormat="1" x14ac:dyDescent="0.35">
      <c r="A632" s="12"/>
      <c r="B632"/>
    </row>
    <row r="633" spans="1:2" s="13" customFormat="1" x14ac:dyDescent="0.35">
      <c r="A633" s="12"/>
      <c r="B633"/>
    </row>
    <row r="634" spans="1:2" s="13" customFormat="1" x14ac:dyDescent="0.35">
      <c r="A634" s="12"/>
      <c r="B634"/>
    </row>
    <row r="635" spans="1:2" s="13" customFormat="1" x14ac:dyDescent="0.35">
      <c r="A635" s="12"/>
      <c r="B635"/>
    </row>
    <row r="636" spans="1:2" s="13" customFormat="1" x14ac:dyDescent="0.35">
      <c r="A636" s="12"/>
      <c r="B636"/>
    </row>
    <row r="637" spans="1:2" s="13" customFormat="1" x14ac:dyDescent="0.35">
      <c r="A637" s="12"/>
      <c r="B637"/>
    </row>
    <row r="638" spans="1:2" s="13" customFormat="1" x14ac:dyDescent="0.35">
      <c r="A638" s="12"/>
      <c r="B638"/>
    </row>
    <row r="639" spans="1:2" s="13" customFormat="1" x14ac:dyDescent="0.35">
      <c r="A639" s="12"/>
      <c r="B639"/>
    </row>
    <row r="640" spans="1:2" s="13" customFormat="1" x14ac:dyDescent="0.35">
      <c r="A640" s="12"/>
      <c r="B640"/>
    </row>
    <row r="641" spans="1:2" s="13" customFormat="1" x14ac:dyDescent="0.35">
      <c r="A641" s="12"/>
      <c r="B641"/>
    </row>
    <row r="642" spans="1:2" s="13" customFormat="1" x14ac:dyDescent="0.35">
      <c r="A642" s="12"/>
      <c r="B642"/>
    </row>
    <row r="643" spans="1:2" s="13" customFormat="1" x14ac:dyDescent="0.35">
      <c r="A643" s="12"/>
      <c r="B643"/>
    </row>
    <row r="644" spans="1:2" s="13" customFormat="1" x14ac:dyDescent="0.35">
      <c r="A644" s="12"/>
      <c r="B644"/>
    </row>
    <row r="645" spans="1:2" s="13" customFormat="1" x14ac:dyDescent="0.35">
      <c r="A645" s="12"/>
      <c r="B645"/>
    </row>
    <row r="646" spans="1:2" s="13" customFormat="1" x14ac:dyDescent="0.35">
      <c r="A646" s="12"/>
      <c r="B646"/>
    </row>
    <row r="647" spans="1:2" s="13" customFormat="1" x14ac:dyDescent="0.35">
      <c r="A647" s="12"/>
      <c r="B647"/>
    </row>
    <row r="648" spans="1:2" s="13" customFormat="1" x14ac:dyDescent="0.35">
      <c r="A648" s="12"/>
      <c r="B648"/>
    </row>
    <row r="649" spans="1:2" s="13" customFormat="1" x14ac:dyDescent="0.35">
      <c r="A649" s="12"/>
      <c r="B649"/>
    </row>
    <row r="650" spans="1:2" s="13" customFormat="1" x14ac:dyDescent="0.35">
      <c r="A650" s="12"/>
      <c r="B650"/>
    </row>
    <row r="651" spans="1:2" s="13" customFormat="1" x14ac:dyDescent="0.35">
      <c r="A651" s="12"/>
      <c r="B651"/>
    </row>
    <row r="652" spans="1:2" s="13" customFormat="1" x14ac:dyDescent="0.35">
      <c r="A652" s="12"/>
      <c r="B652"/>
    </row>
    <row r="653" spans="1:2" s="13" customFormat="1" x14ac:dyDescent="0.35">
      <c r="A653" s="12"/>
      <c r="B653"/>
    </row>
    <row r="654" spans="1:2" s="13" customFormat="1" x14ac:dyDescent="0.35">
      <c r="A654" s="12"/>
      <c r="B654"/>
    </row>
    <row r="655" spans="1:2" s="13" customFormat="1" x14ac:dyDescent="0.35">
      <c r="A655" s="12"/>
      <c r="B655"/>
    </row>
    <row r="656" spans="1:2" s="13" customFormat="1" x14ac:dyDescent="0.35">
      <c r="A656" s="12"/>
      <c r="B656"/>
    </row>
    <row r="657" spans="1:2" s="13" customFormat="1" x14ac:dyDescent="0.35">
      <c r="A657" s="12"/>
      <c r="B657"/>
    </row>
    <row r="658" spans="1:2" s="13" customFormat="1" x14ac:dyDescent="0.35">
      <c r="A658" s="12"/>
      <c r="B658"/>
    </row>
    <row r="659" spans="1:2" s="13" customFormat="1" x14ac:dyDescent="0.35">
      <c r="A659" s="12"/>
      <c r="B659"/>
    </row>
    <row r="660" spans="1:2" s="13" customFormat="1" x14ac:dyDescent="0.35">
      <c r="A660" s="12"/>
      <c r="B660"/>
    </row>
    <row r="661" spans="1:2" s="13" customFormat="1" x14ac:dyDescent="0.35">
      <c r="A661" s="12"/>
      <c r="B661"/>
    </row>
    <row r="662" spans="1:2" s="13" customFormat="1" x14ac:dyDescent="0.35">
      <c r="A662" s="12"/>
      <c r="B662"/>
    </row>
    <row r="663" spans="1:2" s="13" customFormat="1" x14ac:dyDescent="0.35">
      <c r="A663" s="12"/>
      <c r="B663"/>
    </row>
    <row r="664" spans="1:2" s="13" customFormat="1" x14ac:dyDescent="0.35">
      <c r="A664" s="12"/>
      <c r="B664"/>
    </row>
    <row r="665" spans="1:2" s="13" customFormat="1" x14ac:dyDescent="0.35">
      <c r="A665" s="12"/>
      <c r="B665"/>
    </row>
    <row r="666" spans="1:2" s="13" customFormat="1" x14ac:dyDescent="0.35">
      <c r="A666" s="12"/>
      <c r="B666"/>
    </row>
    <row r="667" spans="1:2" s="13" customFormat="1" x14ac:dyDescent="0.35">
      <c r="A667" s="12"/>
      <c r="B667"/>
    </row>
    <row r="668" spans="1:2" s="13" customFormat="1" x14ac:dyDescent="0.35">
      <c r="A668" s="12"/>
      <c r="B668"/>
    </row>
    <row r="669" spans="1:2" s="13" customFormat="1" x14ac:dyDescent="0.35">
      <c r="A669" s="12"/>
      <c r="B669"/>
    </row>
    <row r="670" spans="1:2" s="13" customFormat="1" x14ac:dyDescent="0.35">
      <c r="A670" s="12"/>
      <c r="B670"/>
    </row>
    <row r="671" spans="1:2" s="13" customFormat="1" x14ac:dyDescent="0.35">
      <c r="A671" s="12"/>
      <c r="B671"/>
    </row>
    <row r="672" spans="1:2" s="13" customFormat="1" x14ac:dyDescent="0.35">
      <c r="A672" s="12"/>
      <c r="B672"/>
    </row>
    <row r="673" spans="1:2" s="13" customFormat="1" x14ac:dyDescent="0.35">
      <c r="A673" s="12"/>
      <c r="B673"/>
    </row>
    <row r="674" spans="1:2" s="13" customFormat="1" x14ac:dyDescent="0.35">
      <c r="A674" s="12"/>
      <c r="B674"/>
    </row>
    <row r="675" spans="1:2" s="13" customFormat="1" x14ac:dyDescent="0.35">
      <c r="A675" s="12"/>
      <c r="B675"/>
    </row>
    <row r="676" spans="1:2" s="13" customFormat="1" x14ac:dyDescent="0.35">
      <c r="A676" s="12"/>
      <c r="B676"/>
    </row>
    <row r="677" spans="1:2" s="13" customFormat="1" x14ac:dyDescent="0.35">
      <c r="A677" s="12"/>
      <c r="B677"/>
    </row>
    <row r="678" spans="1:2" s="13" customFormat="1" x14ac:dyDescent="0.35">
      <c r="A678" s="12"/>
      <c r="B678"/>
    </row>
    <row r="679" spans="1:2" s="13" customFormat="1" x14ac:dyDescent="0.35">
      <c r="A679" s="12"/>
      <c r="B679"/>
    </row>
    <row r="680" spans="1:2" s="13" customFormat="1" x14ac:dyDescent="0.35">
      <c r="A680" s="12"/>
      <c r="B680"/>
    </row>
    <row r="681" spans="1:2" s="13" customFormat="1" x14ac:dyDescent="0.35">
      <c r="A681" s="12"/>
      <c r="B681"/>
    </row>
    <row r="682" spans="1:2" s="13" customFormat="1" x14ac:dyDescent="0.35">
      <c r="A682" s="12"/>
      <c r="B682"/>
    </row>
    <row r="683" spans="1:2" s="13" customFormat="1" x14ac:dyDescent="0.35">
      <c r="A683" s="12"/>
      <c r="B683"/>
    </row>
    <row r="684" spans="1:2" s="13" customFormat="1" x14ac:dyDescent="0.35">
      <c r="A684" s="12"/>
      <c r="B684"/>
    </row>
    <row r="685" spans="1:2" s="13" customFormat="1" x14ac:dyDescent="0.35">
      <c r="A685" s="12"/>
      <c r="B685"/>
    </row>
    <row r="686" spans="1:2" s="13" customFormat="1" x14ac:dyDescent="0.35">
      <c r="A686" s="12"/>
      <c r="B686"/>
    </row>
    <row r="687" spans="1:2" s="13" customFormat="1" x14ac:dyDescent="0.35">
      <c r="A687" s="12"/>
      <c r="B687"/>
    </row>
    <row r="688" spans="1:2" s="13" customFormat="1" x14ac:dyDescent="0.35">
      <c r="A688" s="12"/>
      <c r="B688"/>
    </row>
    <row r="689" spans="1:2" s="13" customFormat="1" x14ac:dyDescent="0.35">
      <c r="A689" s="12"/>
      <c r="B689"/>
    </row>
    <row r="690" spans="1:2" s="13" customFormat="1" x14ac:dyDescent="0.35">
      <c r="A690" s="12"/>
      <c r="B690"/>
    </row>
    <row r="691" spans="1:2" s="13" customFormat="1" x14ac:dyDescent="0.35">
      <c r="A691" s="12"/>
      <c r="B691"/>
    </row>
    <row r="692" spans="1:2" s="13" customFormat="1" x14ac:dyDescent="0.35">
      <c r="A692" s="12"/>
      <c r="B692"/>
    </row>
    <row r="693" spans="1:2" s="13" customFormat="1" x14ac:dyDescent="0.35">
      <c r="A693" s="12"/>
      <c r="B693"/>
    </row>
    <row r="694" spans="1:2" s="13" customFormat="1" x14ac:dyDescent="0.35">
      <c r="A694" s="12"/>
      <c r="B694"/>
    </row>
    <row r="695" spans="1:2" s="13" customFormat="1" x14ac:dyDescent="0.35">
      <c r="A695" s="12"/>
      <c r="B695"/>
    </row>
    <row r="696" spans="1:2" s="13" customFormat="1" x14ac:dyDescent="0.35">
      <c r="A696" s="12"/>
      <c r="B696"/>
    </row>
    <row r="697" spans="1:2" s="13" customFormat="1" x14ac:dyDescent="0.35">
      <c r="A697" s="12"/>
      <c r="B697"/>
    </row>
    <row r="698" spans="1:2" s="13" customFormat="1" x14ac:dyDescent="0.35">
      <c r="A698" s="12"/>
      <c r="B698"/>
    </row>
    <row r="699" spans="1:2" s="13" customFormat="1" x14ac:dyDescent="0.35">
      <c r="A699" s="12"/>
      <c r="B699"/>
    </row>
    <row r="700" spans="1:2" s="13" customFormat="1" x14ac:dyDescent="0.35">
      <c r="A700" s="12"/>
      <c r="B700"/>
    </row>
    <row r="701" spans="1:2" s="13" customFormat="1" x14ac:dyDescent="0.35">
      <c r="A701" s="12"/>
      <c r="B701"/>
    </row>
    <row r="702" spans="1:2" s="13" customFormat="1" x14ac:dyDescent="0.35">
      <c r="A702" s="12"/>
      <c r="B702"/>
    </row>
    <row r="703" spans="1:2" s="13" customFormat="1" x14ac:dyDescent="0.35">
      <c r="A703" s="12"/>
      <c r="B703"/>
    </row>
    <row r="704" spans="1:2" s="13" customFormat="1" x14ac:dyDescent="0.35">
      <c r="A704" s="12"/>
      <c r="B704"/>
    </row>
    <row r="705" spans="1:2" s="13" customFormat="1" x14ac:dyDescent="0.35">
      <c r="A705" s="12"/>
      <c r="B705"/>
    </row>
    <row r="706" spans="1:2" s="13" customFormat="1" x14ac:dyDescent="0.35">
      <c r="A706" s="12"/>
      <c r="B706"/>
    </row>
    <row r="707" spans="1:2" s="13" customFormat="1" x14ac:dyDescent="0.35">
      <c r="A707" s="12"/>
      <c r="B707"/>
    </row>
    <row r="708" spans="1:2" s="13" customFormat="1" x14ac:dyDescent="0.35">
      <c r="A708" s="12"/>
      <c r="B708"/>
    </row>
    <row r="709" spans="1:2" s="13" customFormat="1" x14ac:dyDescent="0.35">
      <c r="A709" s="12"/>
      <c r="B709"/>
    </row>
    <row r="710" spans="1:2" s="13" customFormat="1" x14ac:dyDescent="0.35">
      <c r="A710" s="12"/>
      <c r="B710"/>
    </row>
    <row r="711" spans="1:2" s="13" customFormat="1" x14ac:dyDescent="0.35">
      <c r="A711" s="12"/>
      <c r="B711"/>
    </row>
    <row r="712" spans="1:2" s="13" customFormat="1" x14ac:dyDescent="0.35">
      <c r="A712" s="12"/>
      <c r="B712"/>
    </row>
    <row r="713" spans="1:2" s="13" customFormat="1" x14ac:dyDescent="0.35">
      <c r="A713" s="12"/>
      <c r="B713"/>
    </row>
    <row r="714" spans="1:2" s="13" customFormat="1" x14ac:dyDescent="0.35">
      <c r="A714" s="12"/>
      <c r="B714"/>
    </row>
    <row r="715" spans="1:2" s="13" customFormat="1" x14ac:dyDescent="0.35">
      <c r="A715" s="12"/>
      <c r="B715"/>
    </row>
    <row r="716" spans="1:2" s="13" customFormat="1" x14ac:dyDescent="0.35">
      <c r="A716" s="12"/>
      <c r="B716"/>
    </row>
    <row r="717" spans="1:2" s="13" customFormat="1" x14ac:dyDescent="0.35">
      <c r="A717" s="12"/>
      <c r="B717"/>
    </row>
    <row r="718" spans="1:2" s="13" customFormat="1" x14ac:dyDescent="0.35">
      <c r="A718" s="12"/>
      <c r="B718"/>
    </row>
    <row r="719" spans="1:2" s="13" customFormat="1" x14ac:dyDescent="0.35">
      <c r="A719" s="12"/>
      <c r="B719"/>
    </row>
    <row r="720" spans="1:2" s="13" customFormat="1" x14ac:dyDescent="0.35">
      <c r="A720" s="12"/>
      <c r="B720"/>
    </row>
    <row r="721" spans="1:2" s="13" customFormat="1" x14ac:dyDescent="0.35">
      <c r="A721" s="12"/>
      <c r="B721"/>
    </row>
    <row r="722" spans="1:2" s="13" customFormat="1" x14ac:dyDescent="0.35">
      <c r="A722" s="12"/>
      <c r="B722"/>
    </row>
    <row r="723" spans="1:2" s="13" customFormat="1" x14ac:dyDescent="0.35">
      <c r="A723" s="12"/>
      <c r="B723"/>
    </row>
    <row r="724" spans="1:2" s="13" customFormat="1" x14ac:dyDescent="0.35">
      <c r="A724" s="12"/>
      <c r="B724"/>
    </row>
    <row r="725" spans="1:2" s="13" customFormat="1" x14ac:dyDescent="0.35">
      <c r="A725" s="12"/>
      <c r="B725"/>
    </row>
    <row r="726" spans="1:2" s="13" customFormat="1" x14ac:dyDescent="0.35">
      <c r="A726" s="12"/>
      <c r="B726"/>
    </row>
    <row r="727" spans="1:2" s="13" customFormat="1" x14ac:dyDescent="0.35">
      <c r="A727" s="12"/>
      <c r="B727"/>
    </row>
    <row r="728" spans="1:2" s="13" customFormat="1" x14ac:dyDescent="0.35">
      <c r="A728" s="12"/>
      <c r="B728"/>
    </row>
    <row r="729" spans="1:2" s="13" customFormat="1" x14ac:dyDescent="0.35">
      <c r="A729" s="12"/>
      <c r="B729"/>
    </row>
    <row r="730" spans="1:2" s="13" customFormat="1" x14ac:dyDescent="0.35">
      <c r="A730" s="12"/>
      <c r="B730"/>
    </row>
    <row r="731" spans="1:2" s="13" customFormat="1" x14ac:dyDescent="0.35">
      <c r="A731" s="12"/>
      <c r="B731"/>
    </row>
    <row r="732" spans="1:2" s="13" customFormat="1" x14ac:dyDescent="0.35">
      <c r="A732" s="12"/>
      <c r="B732"/>
    </row>
    <row r="733" spans="1:2" s="13" customFormat="1" x14ac:dyDescent="0.35">
      <c r="A733" s="12"/>
      <c r="B733"/>
    </row>
    <row r="734" spans="1:2" s="13" customFormat="1" x14ac:dyDescent="0.35">
      <c r="A734" s="12"/>
      <c r="B734"/>
    </row>
    <row r="735" spans="1:2" s="13" customFormat="1" x14ac:dyDescent="0.35">
      <c r="A735" s="12"/>
      <c r="B735"/>
    </row>
    <row r="736" spans="1:2" s="13" customFormat="1" x14ac:dyDescent="0.35">
      <c r="A736" s="12"/>
      <c r="B736"/>
    </row>
    <row r="737" spans="1:2" s="13" customFormat="1" x14ac:dyDescent="0.35">
      <c r="A737" s="12"/>
      <c r="B737"/>
    </row>
    <row r="738" spans="1:2" s="13" customFormat="1" x14ac:dyDescent="0.35">
      <c r="A738" s="12"/>
      <c r="B738"/>
    </row>
    <row r="739" spans="1:2" s="13" customFormat="1" x14ac:dyDescent="0.35">
      <c r="A739" s="12"/>
      <c r="B739"/>
    </row>
    <row r="740" spans="1:2" s="13" customFormat="1" x14ac:dyDescent="0.35">
      <c r="A740" s="12"/>
      <c r="B740"/>
    </row>
    <row r="741" spans="1:2" s="13" customFormat="1" x14ac:dyDescent="0.35">
      <c r="A741" s="12"/>
      <c r="B741"/>
    </row>
    <row r="742" spans="1:2" s="13" customFormat="1" x14ac:dyDescent="0.35">
      <c r="A742" s="12"/>
      <c r="B742"/>
    </row>
    <row r="743" spans="1:2" s="13" customFormat="1" x14ac:dyDescent="0.35">
      <c r="A743" s="12"/>
      <c r="B743"/>
    </row>
    <row r="744" spans="1:2" s="13" customFormat="1" x14ac:dyDescent="0.35">
      <c r="A744" s="12"/>
      <c r="B744"/>
    </row>
    <row r="745" spans="1:2" s="13" customFormat="1" x14ac:dyDescent="0.35">
      <c r="A745" s="12"/>
      <c r="B745"/>
    </row>
    <row r="746" spans="1:2" s="13" customFormat="1" x14ac:dyDescent="0.35">
      <c r="A746" s="12"/>
      <c r="B746"/>
    </row>
    <row r="747" spans="1:2" s="13" customFormat="1" x14ac:dyDescent="0.35">
      <c r="A747" s="12"/>
      <c r="B747"/>
    </row>
    <row r="748" spans="1:2" s="13" customFormat="1" x14ac:dyDescent="0.35">
      <c r="A748" s="12"/>
      <c r="B748"/>
    </row>
    <row r="749" spans="1:2" s="13" customFormat="1" x14ac:dyDescent="0.35">
      <c r="A749" s="12"/>
      <c r="B749"/>
    </row>
    <row r="750" spans="1:2" s="13" customFormat="1" x14ac:dyDescent="0.35">
      <c r="A750" s="12"/>
      <c r="B750"/>
    </row>
    <row r="751" spans="1:2" s="13" customFormat="1" x14ac:dyDescent="0.35">
      <c r="A751" s="12"/>
      <c r="B751"/>
    </row>
    <row r="752" spans="1:2" s="13" customFormat="1" x14ac:dyDescent="0.35">
      <c r="A752" s="12"/>
      <c r="B752"/>
    </row>
    <row r="753" spans="1:2" s="13" customFormat="1" x14ac:dyDescent="0.35">
      <c r="A753" s="12"/>
      <c r="B753"/>
    </row>
    <row r="754" spans="1:2" s="13" customFormat="1" x14ac:dyDescent="0.35">
      <c r="A754" s="12"/>
      <c r="B754"/>
    </row>
    <row r="755" spans="1:2" s="13" customFormat="1" x14ac:dyDescent="0.35">
      <c r="A755" s="12"/>
      <c r="B755"/>
    </row>
    <row r="756" spans="1:2" s="13" customFormat="1" x14ac:dyDescent="0.35">
      <c r="A756" s="12"/>
      <c r="B756"/>
    </row>
    <row r="757" spans="1:2" s="13" customFormat="1" x14ac:dyDescent="0.35">
      <c r="A757" s="12"/>
      <c r="B757"/>
    </row>
    <row r="758" spans="1:2" s="13" customFormat="1" x14ac:dyDescent="0.35">
      <c r="A758" s="12"/>
      <c r="B758"/>
    </row>
    <row r="759" spans="1:2" s="13" customFormat="1" x14ac:dyDescent="0.35">
      <c r="A759" s="12"/>
      <c r="B759"/>
    </row>
    <row r="760" spans="1:2" s="13" customFormat="1" x14ac:dyDescent="0.35">
      <c r="A760" s="12"/>
      <c r="B760"/>
    </row>
    <row r="761" spans="1:2" s="13" customFormat="1" x14ac:dyDescent="0.35">
      <c r="A761" s="12"/>
      <c r="B761"/>
    </row>
    <row r="762" spans="1:2" s="13" customFormat="1" x14ac:dyDescent="0.35">
      <c r="A762" s="12"/>
      <c r="B762"/>
    </row>
    <row r="763" spans="1:2" s="13" customFormat="1" x14ac:dyDescent="0.35">
      <c r="A763" s="12"/>
      <c r="B763"/>
    </row>
    <row r="764" spans="1:2" s="13" customFormat="1" x14ac:dyDescent="0.35">
      <c r="A764" s="12"/>
      <c r="B764"/>
    </row>
    <row r="765" spans="1:2" s="13" customFormat="1" x14ac:dyDescent="0.35">
      <c r="A765" s="12"/>
      <c r="B765"/>
    </row>
    <row r="766" spans="1:2" s="13" customFormat="1" x14ac:dyDescent="0.35">
      <c r="A766" s="12"/>
      <c r="B766"/>
    </row>
    <row r="767" spans="1:2" s="13" customFormat="1" x14ac:dyDescent="0.35">
      <c r="A767" s="12"/>
      <c r="B767"/>
    </row>
    <row r="768" spans="1:2" s="13" customFormat="1" x14ac:dyDescent="0.35">
      <c r="A768" s="12"/>
      <c r="B768"/>
    </row>
    <row r="769" spans="1:2" s="13" customFormat="1" x14ac:dyDescent="0.35">
      <c r="A769" s="12"/>
      <c r="B769"/>
    </row>
    <row r="770" spans="1:2" s="13" customFormat="1" x14ac:dyDescent="0.35">
      <c r="A770" s="12"/>
      <c r="B770"/>
    </row>
    <row r="771" spans="1:2" s="13" customFormat="1" x14ac:dyDescent="0.35">
      <c r="A771" s="12"/>
      <c r="B771"/>
    </row>
    <row r="772" spans="1:2" s="13" customFormat="1" x14ac:dyDescent="0.35">
      <c r="A772" s="12"/>
      <c r="B772"/>
    </row>
    <row r="773" spans="1:2" s="13" customFormat="1" x14ac:dyDescent="0.35">
      <c r="A773" s="12"/>
      <c r="B773"/>
    </row>
    <row r="774" spans="1:2" s="13" customFormat="1" x14ac:dyDescent="0.35">
      <c r="A774" s="12"/>
      <c r="B774"/>
    </row>
    <row r="775" spans="1:2" s="13" customFormat="1" x14ac:dyDescent="0.35">
      <c r="A775" s="12"/>
      <c r="B775"/>
    </row>
    <row r="776" spans="1:2" s="13" customFormat="1" x14ac:dyDescent="0.35">
      <c r="A776" s="12"/>
      <c r="B776"/>
    </row>
    <row r="777" spans="1:2" s="13" customFormat="1" x14ac:dyDescent="0.35">
      <c r="A777" s="12"/>
      <c r="B777"/>
    </row>
    <row r="778" spans="1:2" s="13" customFormat="1" x14ac:dyDescent="0.35">
      <c r="A778" s="12"/>
      <c r="B778"/>
    </row>
    <row r="779" spans="1:2" s="13" customFormat="1" x14ac:dyDescent="0.35">
      <c r="A779" s="12"/>
      <c r="B779"/>
    </row>
    <row r="780" spans="1:2" s="13" customFormat="1" x14ac:dyDescent="0.35">
      <c r="A780" s="12"/>
      <c r="B780"/>
    </row>
    <row r="781" spans="1:2" s="13" customFormat="1" x14ac:dyDescent="0.35">
      <c r="A781" s="12"/>
      <c r="B781"/>
    </row>
    <row r="782" spans="1:2" s="13" customFormat="1" x14ac:dyDescent="0.35">
      <c r="A782" s="12"/>
      <c r="B782"/>
    </row>
    <row r="783" spans="1:2" s="13" customFormat="1" x14ac:dyDescent="0.35">
      <c r="A783" s="12"/>
      <c r="B783"/>
    </row>
    <row r="784" spans="1:2" s="13" customFormat="1" x14ac:dyDescent="0.35">
      <c r="A784" s="12"/>
      <c r="B784"/>
    </row>
    <row r="785" spans="1:2" s="13" customFormat="1" x14ac:dyDescent="0.35">
      <c r="A785" s="12"/>
      <c r="B785"/>
    </row>
    <row r="786" spans="1:2" s="13" customFormat="1" x14ac:dyDescent="0.35">
      <c r="A786" s="12"/>
      <c r="B786"/>
    </row>
    <row r="787" spans="1:2" s="13" customFormat="1" x14ac:dyDescent="0.35">
      <c r="A787" s="12"/>
      <c r="B787"/>
    </row>
    <row r="788" spans="1:2" s="13" customFormat="1" x14ac:dyDescent="0.35">
      <c r="A788" s="12"/>
      <c r="B788"/>
    </row>
    <row r="789" spans="1:2" s="13" customFormat="1" x14ac:dyDescent="0.35">
      <c r="A789" s="12"/>
      <c r="B789"/>
    </row>
    <row r="790" spans="1:2" s="13" customFormat="1" x14ac:dyDescent="0.35">
      <c r="A790" s="12"/>
      <c r="B790"/>
    </row>
    <row r="791" spans="1:2" s="13" customFormat="1" x14ac:dyDescent="0.35">
      <c r="A791" s="12"/>
      <c r="B791"/>
    </row>
    <row r="792" spans="1:2" s="13" customFormat="1" x14ac:dyDescent="0.35">
      <c r="A792" s="12"/>
      <c r="B792"/>
    </row>
    <row r="793" spans="1:2" s="13" customFormat="1" x14ac:dyDescent="0.35">
      <c r="A793" s="12"/>
      <c r="B793"/>
    </row>
    <row r="794" spans="1:2" s="13" customFormat="1" x14ac:dyDescent="0.35">
      <c r="A794" s="12"/>
      <c r="B794"/>
    </row>
    <row r="795" spans="1:2" s="13" customFormat="1" x14ac:dyDescent="0.35">
      <c r="A795" s="12"/>
      <c r="B795"/>
    </row>
    <row r="796" spans="1:2" s="13" customFormat="1" x14ac:dyDescent="0.35">
      <c r="A796" s="12"/>
      <c r="B796"/>
    </row>
    <row r="797" spans="1:2" s="13" customFormat="1" x14ac:dyDescent="0.35">
      <c r="A797" s="12"/>
      <c r="B797"/>
    </row>
    <row r="798" spans="1:2" s="13" customFormat="1" x14ac:dyDescent="0.35">
      <c r="A798" s="12"/>
      <c r="B798"/>
    </row>
    <row r="799" spans="1:2" s="13" customFormat="1" x14ac:dyDescent="0.35">
      <c r="A799" s="12"/>
      <c r="B799"/>
    </row>
    <row r="800" spans="1:2" s="13" customFormat="1" x14ac:dyDescent="0.35">
      <c r="A800" s="12"/>
      <c r="B800"/>
    </row>
    <row r="801" spans="1:2" s="13" customFormat="1" x14ac:dyDescent="0.35">
      <c r="A801" s="12"/>
      <c r="B801"/>
    </row>
    <row r="802" spans="1:2" s="13" customFormat="1" x14ac:dyDescent="0.35">
      <c r="A802" s="12"/>
      <c r="B802"/>
    </row>
    <row r="803" spans="1:2" s="13" customFormat="1" x14ac:dyDescent="0.35">
      <c r="A803" s="12"/>
      <c r="B803"/>
    </row>
    <row r="804" spans="1:2" s="13" customFormat="1" x14ac:dyDescent="0.35">
      <c r="A804" s="12"/>
      <c r="B804"/>
    </row>
    <row r="805" spans="1:2" s="13" customFormat="1" x14ac:dyDescent="0.35">
      <c r="A805" s="12"/>
      <c r="B805"/>
    </row>
    <row r="806" spans="1:2" s="13" customFormat="1" x14ac:dyDescent="0.35">
      <c r="A806" s="12"/>
      <c r="B806"/>
    </row>
    <row r="807" spans="1:2" s="13" customFormat="1" x14ac:dyDescent="0.35">
      <c r="A807" s="12"/>
      <c r="B807"/>
    </row>
    <row r="808" spans="1:2" s="13" customFormat="1" x14ac:dyDescent="0.35">
      <c r="A808" s="12"/>
      <c r="B808"/>
    </row>
    <row r="809" spans="1:2" s="13" customFormat="1" x14ac:dyDescent="0.35">
      <c r="A809" s="12"/>
      <c r="B809"/>
    </row>
    <row r="810" spans="1:2" s="13" customFormat="1" x14ac:dyDescent="0.35">
      <c r="A810" s="12"/>
      <c r="B810"/>
    </row>
    <row r="811" spans="1:2" s="13" customFormat="1" x14ac:dyDescent="0.35">
      <c r="A811" s="12"/>
      <c r="B811"/>
    </row>
    <row r="812" spans="1:2" s="13" customFormat="1" x14ac:dyDescent="0.35">
      <c r="A812" s="12"/>
      <c r="B812"/>
    </row>
    <row r="813" spans="1:2" s="13" customFormat="1" x14ac:dyDescent="0.35">
      <c r="A813" s="12"/>
      <c r="B813"/>
    </row>
    <row r="814" spans="1:2" s="13" customFormat="1" x14ac:dyDescent="0.35">
      <c r="A814" s="12"/>
      <c r="B814"/>
    </row>
    <row r="815" spans="1:2" s="13" customFormat="1" x14ac:dyDescent="0.35">
      <c r="A815" s="12"/>
      <c r="B815"/>
    </row>
    <row r="816" spans="1:2" s="13" customFormat="1" x14ac:dyDescent="0.35">
      <c r="A816" s="12"/>
      <c r="B816"/>
    </row>
    <row r="817" spans="1:2" s="13" customFormat="1" x14ac:dyDescent="0.35">
      <c r="A817" s="12"/>
      <c r="B817"/>
    </row>
    <row r="818" spans="1:2" s="13" customFormat="1" x14ac:dyDescent="0.35">
      <c r="A818" s="12"/>
      <c r="B818"/>
    </row>
    <row r="819" spans="1:2" s="13" customFormat="1" x14ac:dyDescent="0.35">
      <c r="A819" s="12"/>
      <c r="B819"/>
    </row>
    <row r="820" spans="1:2" s="13" customFormat="1" x14ac:dyDescent="0.35">
      <c r="A820" s="12"/>
      <c r="B820"/>
    </row>
    <row r="821" spans="1:2" s="13" customFormat="1" x14ac:dyDescent="0.35">
      <c r="A821" s="12"/>
      <c r="B821"/>
    </row>
    <row r="822" spans="1:2" s="13" customFormat="1" x14ac:dyDescent="0.35">
      <c r="A822" s="12"/>
      <c r="B822"/>
    </row>
    <row r="823" spans="1:2" s="13" customFormat="1" x14ac:dyDescent="0.35">
      <c r="A823" s="12"/>
      <c r="B823"/>
    </row>
    <row r="824" spans="1:2" s="13" customFormat="1" x14ac:dyDescent="0.35">
      <c r="A824" s="12"/>
      <c r="B824"/>
    </row>
    <row r="825" spans="1:2" s="13" customFormat="1" x14ac:dyDescent="0.35">
      <c r="A825" s="12"/>
      <c r="B825"/>
    </row>
    <row r="826" spans="1:2" s="13" customFormat="1" x14ac:dyDescent="0.35">
      <c r="A826" s="12"/>
      <c r="B826"/>
    </row>
    <row r="827" spans="1:2" s="13" customFormat="1" x14ac:dyDescent="0.35">
      <c r="A827" s="12"/>
      <c r="B827"/>
    </row>
    <row r="828" spans="1:2" s="13" customFormat="1" x14ac:dyDescent="0.35">
      <c r="A828" s="12"/>
      <c r="B828"/>
    </row>
    <row r="829" spans="1:2" s="13" customFormat="1" x14ac:dyDescent="0.35">
      <c r="A829" s="12"/>
      <c r="B829"/>
    </row>
    <row r="830" spans="1:2" s="13" customFormat="1" x14ac:dyDescent="0.35">
      <c r="A830" s="12"/>
      <c r="B830"/>
    </row>
    <row r="831" spans="1:2" s="13" customFormat="1" x14ac:dyDescent="0.35">
      <c r="A831" s="12"/>
      <c r="B831"/>
    </row>
    <row r="832" spans="1:2" s="13" customFormat="1" x14ac:dyDescent="0.35">
      <c r="A832" s="12"/>
      <c r="B832"/>
    </row>
    <row r="833" spans="1:2" s="13" customFormat="1" x14ac:dyDescent="0.35">
      <c r="A833" s="12"/>
      <c r="B833"/>
    </row>
    <row r="834" spans="1:2" s="13" customFormat="1" x14ac:dyDescent="0.35">
      <c r="A834" s="12"/>
      <c r="B834"/>
    </row>
    <row r="835" spans="1:2" s="13" customFormat="1" x14ac:dyDescent="0.35">
      <c r="A835" s="12"/>
      <c r="B835"/>
    </row>
    <row r="836" spans="1:2" s="13" customFormat="1" x14ac:dyDescent="0.35">
      <c r="A836" s="12"/>
      <c r="B836"/>
    </row>
    <row r="837" spans="1:2" s="13" customFormat="1" x14ac:dyDescent="0.35">
      <c r="A837" s="12"/>
      <c r="B837"/>
    </row>
    <row r="838" spans="1:2" s="13" customFormat="1" x14ac:dyDescent="0.35">
      <c r="A838" s="12"/>
      <c r="B838"/>
    </row>
    <row r="839" spans="1:2" s="13" customFormat="1" x14ac:dyDescent="0.35">
      <c r="A839" s="12"/>
      <c r="B839"/>
    </row>
    <row r="840" spans="1:2" s="13" customFormat="1" x14ac:dyDescent="0.35">
      <c r="A840" s="12"/>
      <c r="B840"/>
    </row>
    <row r="841" spans="1:2" s="13" customFormat="1" x14ac:dyDescent="0.35">
      <c r="A841" s="12"/>
      <c r="B841"/>
    </row>
    <row r="842" spans="1:2" s="13" customFormat="1" x14ac:dyDescent="0.35">
      <c r="A842" s="12"/>
      <c r="B842"/>
    </row>
    <row r="843" spans="1:2" s="13" customFormat="1" x14ac:dyDescent="0.35">
      <c r="A843" s="12"/>
      <c r="B843"/>
    </row>
    <row r="844" spans="1:2" s="13" customFormat="1" x14ac:dyDescent="0.35">
      <c r="A844" s="12"/>
      <c r="B844"/>
    </row>
    <row r="845" spans="1:2" s="13" customFormat="1" x14ac:dyDescent="0.35">
      <c r="A845" s="12"/>
      <c r="B845"/>
    </row>
    <row r="846" spans="1:2" s="13" customFormat="1" x14ac:dyDescent="0.35">
      <c r="A846" s="12"/>
      <c r="B846"/>
    </row>
    <row r="847" spans="1:2" s="13" customFormat="1" x14ac:dyDescent="0.35">
      <c r="A847" s="12"/>
      <c r="B847"/>
    </row>
    <row r="848" spans="1:2" s="13" customFormat="1" x14ac:dyDescent="0.35">
      <c r="A848" s="12"/>
      <c r="B848"/>
    </row>
    <row r="849" spans="1:2" s="13" customFormat="1" x14ac:dyDescent="0.35">
      <c r="A849" s="12"/>
      <c r="B849"/>
    </row>
    <row r="850" spans="1:2" s="13" customFormat="1" x14ac:dyDescent="0.35">
      <c r="A850" s="12"/>
      <c r="B850"/>
    </row>
    <row r="851" spans="1:2" s="13" customFormat="1" x14ac:dyDescent="0.35">
      <c r="A851" s="12"/>
      <c r="B851"/>
    </row>
    <row r="852" spans="1:2" s="13" customFormat="1" x14ac:dyDescent="0.35">
      <c r="A852" s="12"/>
      <c r="B852"/>
    </row>
    <row r="853" spans="1:2" s="13" customFormat="1" x14ac:dyDescent="0.35">
      <c r="A853" s="12"/>
      <c r="B853"/>
    </row>
    <row r="854" spans="1:2" s="13" customFormat="1" x14ac:dyDescent="0.35">
      <c r="A854" s="12"/>
      <c r="B854"/>
    </row>
    <row r="855" spans="1:2" s="13" customFormat="1" x14ac:dyDescent="0.35">
      <c r="A855" s="12"/>
      <c r="B855"/>
    </row>
    <row r="856" spans="1:2" s="13" customFormat="1" x14ac:dyDescent="0.35">
      <c r="A856" s="12"/>
      <c r="B856"/>
    </row>
    <row r="857" spans="1:2" s="13" customFormat="1" x14ac:dyDescent="0.35">
      <c r="A857" s="12"/>
      <c r="B857"/>
    </row>
    <row r="858" spans="1:2" s="13" customFormat="1" x14ac:dyDescent="0.35">
      <c r="A858" s="12"/>
      <c r="B858"/>
    </row>
    <row r="859" spans="1:2" s="13" customFormat="1" x14ac:dyDescent="0.35">
      <c r="A859" s="12"/>
      <c r="B859"/>
    </row>
    <row r="860" spans="1:2" s="13" customFormat="1" x14ac:dyDescent="0.35">
      <c r="A860" s="12"/>
      <c r="B860"/>
    </row>
    <row r="861" spans="1:2" s="13" customFormat="1" x14ac:dyDescent="0.35">
      <c r="A861" s="12"/>
      <c r="B861"/>
    </row>
    <row r="862" spans="1:2" s="13" customFormat="1" x14ac:dyDescent="0.35">
      <c r="A862" s="12"/>
      <c r="B862"/>
    </row>
    <row r="863" spans="1:2" s="13" customFormat="1" x14ac:dyDescent="0.35">
      <c r="A863" s="12"/>
      <c r="B863"/>
    </row>
    <row r="864" spans="1:2" s="13" customFormat="1" x14ac:dyDescent="0.35">
      <c r="A864" s="12"/>
      <c r="B864"/>
    </row>
    <row r="865" spans="1:2" s="13" customFormat="1" x14ac:dyDescent="0.35">
      <c r="A865" s="12"/>
      <c r="B865"/>
    </row>
    <row r="866" spans="1:2" s="13" customFormat="1" x14ac:dyDescent="0.35">
      <c r="A866" s="12"/>
      <c r="B866"/>
    </row>
    <row r="867" spans="1:2" s="13" customFormat="1" x14ac:dyDescent="0.35">
      <c r="A867" s="12"/>
      <c r="B867"/>
    </row>
    <row r="868" spans="1:2" s="13" customFormat="1" x14ac:dyDescent="0.35">
      <c r="A868" s="12"/>
      <c r="B868"/>
    </row>
    <row r="869" spans="1:2" s="13" customFormat="1" x14ac:dyDescent="0.35">
      <c r="A869" s="12"/>
      <c r="B869"/>
    </row>
    <row r="870" spans="1:2" s="13" customFormat="1" x14ac:dyDescent="0.35">
      <c r="A870" s="12"/>
      <c r="B870"/>
    </row>
    <row r="871" spans="1:2" s="13" customFormat="1" x14ac:dyDescent="0.35">
      <c r="A871" s="12"/>
      <c r="B871"/>
    </row>
    <row r="872" spans="1:2" s="13" customFormat="1" x14ac:dyDescent="0.35">
      <c r="A872" s="12"/>
      <c r="B872"/>
    </row>
    <row r="873" spans="1:2" s="13" customFormat="1" x14ac:dyDescent="0.35">
      <c r="A873" s="12"/>
      <c r="B873"/>
    </row>
    <row r="874" spans="1:2" s="13" customFormat="1" x14ac:dyDescent="0.35">
      <c r="A874" s="12"/>
      <c r="B874"/>
    </row>
    <row r="875" spans="1:2" s="13" customFormat="1" x14ac:dyDescent="0.35">
      <c r="A875" s="12"/>
      <c r="B875"/>
    </row>
    <row r="876" spans="1:2" s="13" customFormat="1" x14ac:dyDescent="0.35">
      <c r="A876" s="12"/>
      <c r="B876"/>
    </row>
    <row r="877" spans="1:2" s="13" customFormat="1" x14ac:dyDescent="0.35">
      <c r="A877" s="12"/>
      <c r="B877"/>
    </row>
    <row r="878" spans="1:2" s="13" customFormat="1" x14ac:dyDescent="0.35">
      <c r="A878" s="12"/>
      <c r="B878"/>
    </row>
    <row r="879" spans="1:2" s="13" customFormat="1" x14ac:dyDescent="0.35">
      <c r="A879" s="12"/>
      <c r="B879"/>
    </row>
    <row r="880" spans="1:2" s="13" customFormat="1" x14ac:dyDescent="0.35">
      <c r="A880" s="12"/>
      <c r="B880"/>
    </row>
    <row r="881" spans="1:2" s="13" customFormat="1" x14ac:dyDescent="0.35">
      <c r="A881" s="12"/>
      <c r="B881"/>
    </row>
    <row r="882" spans="1:2" s="13" customFormat="1" x14ac:dyDescent="0.35">
      <c r="A882" s="12"/>
      <c r="B882"/>
    </row>
    <row r="883" spans="1:2" s="13" customFormat="1" x14ac:dyDescent="0.35">
      <c r="A883" s="12"/>
      <c r="B883"/>
    </row>
    <row r="884" spans="1:2" s="13" customFormat="1" x14ac:dyDescent="0.35">
      <c r="A884" s="12"/>
      <c r="B884"/>
    </row>
    <row r="885" spans="1:2" s="13" customFormat="1" x14ac:dyDescent="0.35">
      <c r="A885" s="12"/>
      <c r="B885"/>
    </row>
    <row r="886" spans="1:2" s="13" customFormat="1" x14ac:dyDescent="0.35">
      <c r="A886" s="12"/>
      <c r="B886"/>
    </row>
    <row r="887" spans="1:2" s="13" customFormat="1" x14ac:dyDescent="0.35">
      <c r="A887" s="12"/>
      <c r="B887"/>
    </row>
    <row r="888" spans="1:2" s="13" customFormat="1" x14ac:dyDescent="0.35">
      <c r="A888" s="12"/>
      <c r="B888"/>
    </row>
    <row r="889" spans="1:2" s="13" customFormat="1" x14ac:dyDescent="0.35">
      <c r="A889" s="12"/>
      <c r="B889"/>
    </row>
    <row r="890" spans="1:2" s="13" customFormat="1" x14ac:dyDescent="0.35">
      <c r="A890" s="12"/>
      <c r="B890"/>
    </row>
    <row r="891" spans="1:2" s="13" customFormat="1" x14ac:dyDescent="0.35">
      <c r="A891" s="12"/>
      <c r="B891"/>
    </row>
    <row r="892" spans="1:2" s="13" customFormat="1" x14ac:dyDescent="0.35">
      <c r="A892" s="12"/>
      <c r="B892"/>
    </row>
    <row r="893" spans="1:2" s="13" customFormat="1" x14ac:dyDescent="0.35">
      <c r="A893" s="12"/>
      <c r="B893"/>
    </row>
    <row r="894" spans="1:2" s="13" customFormat="1" x14ac:dyDescent="0.35">
      <c r="A894" s="12"/>
      <c r="B894"/>
    </row>
    <row r="895" spans="1:2" s="13" customFormat="1" x14ac:dyDescent="0.35">
      <c r="A895" s="12"/>
      <c r="B895"/>
    </row>
    <row r="896" spans="1:2" s="13" customFormat="1" x14ac:dyDescent="0.35">
      <c r="A896" s="12"/>
      <c r="B896"/>
    </row>
    <row r="897" spans="1:2" s="13" customFormat="1" x14ac:dyDescent="0.35">
      <c r="A897" s="12"/>
      <c r="B897"/>
    </row>
    <row r="898" spans="1:2" s="13" customFormat="1" x14ac:dyDescent="0.35">
      <c r="A898" s="12"/>
      <c r="B898"/>
    </row>
    <row r="899" spans="1:2" s="13" customFormat="1" x14ac:dyDescent="0.35">
      <c r="A899" s="12"/>
      <c r="B899"/>
    </row>
    <row r="900" spans="1:2" s="13" customFormat="1" x14ac:dyDescent="0.35">
      <c r="A900" s="12"/>
      <c r="B900"/>
    </row>
    <row r="901" spans="1:2" s="13" customFormat="1" x14ac:dyDescent="0.35">
      <c r="A901" s="12"/>
      <c r="B901"/>
    </row>
    <row r="902" spans="1:2" s="13" customFormat="1" x14ac:dyDescent="0.35">
      <c r="A902" s="12"/>
      <c r="B902"/>
    </row>
    <row r="903" spans="1:2" s="13" customFormat="1" x14ac:dyDescent="0.35">
      <c r="A903" s="12"/>
      <c r="B903"/>
    </row>
    <row r="904" spans="1:2" s="13" customFormat="1" x14ac:dyDescent="0.35">
      <c r="A904" s="12"/>
      <c r="B904"/>
    </row>
    <row r="905" spans="1:2" s="13" customFormat="1" x14ac:dyDescent="0.35">
      <c r="A905" s="12"/>
      <c r="B905"/>
    </row>
    <row r="906" spans="1:2" s="13" customFormat="1" x14ac:dyDescent="0.35">
      <c r="A906" s="12"/>
      <c r="B906"/>
    </row>
    <row r="907" spans="1:2" s="13" customFormat="1" x14ac:dyDescent="0.35">
      <c r="A907" s="12"/>
      <c r="B907"/>
    </row>
    <row r="908" spans="1:2" s="13" customFormat="1" x14ac:dyDescent="0.35">
      <c r="A908" s="12"/>
      <c r="B908"/>
    </row>
    <row r="909" spans="1:2" s="13" customFormat="1" x14ac:dyDescent="0.35">
      <c r="A909" s="12"/>
      <c r="B909"/>
    </row>
    <row r="910" spans="1:2" s="13" customFormat="1" x14ac:dyDescent="0.35">
      <c r="A910" s="12"/>
      <c r="B910"/>
    </row>
    <row r="911" spans="1:2" s="13" customFormat="1" x14ac:dyDescent="0.35">
      <c r="A911" s="12"/>
      <c r="B911"/>
    </row>
    <row r="912" spans="1:2" s="13" customFormat="1" x14ac:dyDescent="0.35">
      <c r="A912" s="12"/>
      <c r="B912"/>
    </row>
    <row r="913" spans="1:2" s="13" customFormat="1" x14ac:dyDescent="0.35">
      <c r="A913" s="12"/>
      <c r="B913"/>
    </row>
    <row r="914" spans="1:2" s="13" customFormat="1" x14ac:dyDescent="0.35">
      <c r="A914" s="12"/>
      <c r="B914"/>
    </row>
    <row r="915" spans="1:2" s="13" customFormat="1" x14ac:dyDescent="0.35">
      <c r="A915" s="12"/>
      <c r="B915"/>
    </row>
    <row r="916" spans="1:2" s="13" customFormat="1" x14ac:dyDescent="0.35">
      <c r="A916" s="12"/>
      <c r="B916"/>
    </row>
    <row r="917" spans="1:2" s="13" customFormat="1" x14ac:dyDescent="0.35">
      <c r="A917" s="12"/>
      <c r="B917"/>
    </row>
    <row r="918" spans="1:2" s="13" customFormat="1" x14ac:dyDescent="0.35">
      <c r="A918" s="12"/>
      <c r="B918"/>
    </row>
    <row r="919" spans="1:2" s="13" customFormat="1" x14ac:dyDescent="0.35">
      <c r="A919" s="12"/>
      <c r="B919"/>
    </row>
    <row r="920" spans="1:2" s="13" customFormat="1" x14ac:dyDescent="0.35">
      <c r="A920" s="12"/>
      <c r="B920"/>
    </row>
    <row r="921" spans="1:2" s="13" customFormat="1" x14ac:dyDescent="0.35">
      <c r="A921" s="12"/>
      <c r="B921"/>
    </row>
    <row r="922" spans="1:2" s="13" customFormat="1" x14ac:dyDescent="0.35">
      <c r="A922" s="12"/>
      <c r="B922"/>
    </row>
    <row r="923" spans="1:2" s="13" customFormat="1" x14ac:dyDescent="0.35">
      <c r="A923" s="12"/>
      <c r="B923"/>
    </row>
    <row r="924" spans="1:2" s="13" customFormat="1" x14ac:dyDescent="0.35">
      <c r="A924" s="12"/>
      <c r="B924"/>
    </row>
    <row r="925" spans="1:2" s="13" customFormat="1" x14ac:dyDescent="0.35">
      <c r="A925" s="12"/>
      <c r="B925"/>
    </row>
    <row r="926" spans="1:2" s="13" customFormat="1" x14ac:dyDescent="0.35">
      <c r="A926" s="12"/>
      <c r="B926"/>
    </row>
    <row r="927" spans="1:2" s="13" customFormat="1" x14ac:dyDescent="0.35">
      <c r="A927" s="12"/>
      <c r="B927"/>
    </row>
    <row r="928" spans="1:2" s="13" customFormat="1" x14ac:dyDescent="0.35">
      <c r="A928" s="12"/>
      <c r="B928"/>
    </row>
    <row r="929" spans="1:2" s="13" customFormat="1" x14ac:dyDescent="0.35">
      <c r="A929" s="12"/>
      <c r="B929"/>
    </row>
    <row r="930" spans="1:2" s="13" customFormat="1" x14ac:dyDescent="0.35">
      <c r="A930" s="12"/>
      <c r="B930"/>
    </row>
    <row r="931" spans="1:2" s="13" customFormat="1" x14ac:dyDescent="0.35">
      <c r="A931" s="12"/>
      <c r="B931"/>
    </row>
    <row r="932" spans="1:2" s="13" customFormat="1" x14ac:dyDescent="0.35">
      <c r="A932" s="12"/>
      <c r="B932"/>
    </row>
    <row r="933" spans="1:2" s="13" customFormat="1" x14ac:dyDescent="0.35">
      <c r="A933" s="12"/>
      <c r="B933"/>
    </row>
    <row r="934" spans="1:2" s="13" customFormat="1" x14ac:dyDescent="0.35">
      <c r="A934" s="12"/>
      <c r="B934"/>
    </row>
    <row r="935" spans="1:2" s="13" customFormat="1" x14ac:dyDescent="0.35">
      <c r="A935" s="12"/>
      <c r="B935"/>
    </row>
    <row r="936" spans="1:2" s="13" customFormat="1" x14ac:dyDescent="0.35">
      <c r="A936" s="12"/>
      <c r="B936"/>
    </row>
    <row r="937" spans="1:2" s="13" customFormat="1" x14ac:dyDescent="0.35">
      <c r="A937" s="12"/>
      <c r="B937"/>
    </row>
    <row r="938" spans="1:2" s="13" customFormat="1" x14ac:dyDescent="0.35">
      <c r="A938" s="12"/>
      <c r="B938"/>
    </row>
    <row r="939" spans="1:2" s="13" customFormat="1" x14ac:dyDescent="0.35">
      <c r="A939" s="12"/>
      <c r="B939"/>
    </row>
    <row r="940" spans="1:2" s="13" customFormat="1" x14ac:dyDescent="0.35">
      <c r="A940" s="12"/>
      <c r="B940"/>
    </row>
    <row r="941" spans="1:2" s="13" customFormat="1" x14ac:dyDescent="0.35">
      <c r="A941" s="12"/>
      <c r="B941"/>
    </row>
    <row r="942" spans="1:2" s="13" customFormat="1" x14ac:dyDescent="0.35">
      <c r="A942" s="12"/>
      <c r="B942"/>
    </row>
    <row r="943" spans="1:2" s="13" customFormat="1" x14ac:dyDescent="0.35">
      <c r="A943" s="12"/>
      <c r="B943"/>
    </row>
    <row r="944" spans="1:2" s="13" customFormat="1" x14ac:dyDescent="0.35">
      <c r="A944" s="12"/>
      <c r="B944"/>
    </row>
    <row r="945" spans="1:2" s="13" customFormat="1" x14ac:dyDescent="0.35">
      <c r="A945" s="12"/>
      <c r="B945"/>
    </row>
    <row r="946" spans="1:2" s="13" customFormat="1" x14ac:dyDescent="0.35">
      <c r="A946" s="12"/>
      <c r="B946"/>
    </row>
    <row r="947" spans="1:2" s="13" customFormat="1" x14ac:dyDescent="0.35">
      <c r="A947" s="12"/>
      <c r="B947"/>
    </row>
    <row r="948" spans="1:2" s="13" customFormat="1" x14ac:dyDescent="0.35">
      <c r="A948" s="12"/>
      <c r="B948"/>
    </row>
    <row r="949" spans="1:2" s="13" customFormat="1" x14ac:dyDescent="0.35">
      <c r="A949" s="12"/>
      <c r="B949"/>
    </row>
    <row r="950" spans="1:2" s="13" customFormat="1" x14ac:dyDescent="0.35">
      <c r="A950" s="12"/>
      <c r="B950"/>
    </row>
    <row r="951" spans="1:2" s="13" customFormat="1" x14ac:dyDescent="0.35">
      <c r="A951" s="12"/>
      <c r="B951"/>
    </row>
    <row r="952" spans="1:2" s="13" customFormat="1" x14ac:dyDescent="0.35">
      <c r="A952" s="12"/>
      <c r="B952"/>
    </row>
    <row r="953" spans="1:2" s="13" customFormat="1" x14ac:dyDescent="0.35">
      <c r="A953" s="12"/>
      <c r="B953"/>
    </row>
    <row r="954" spans="1:2" s="13" customFormat="1" x14ac:dyDescent="0.35">
      <c r="A954" s="12"/>
      <c r="B954"/>
    </row>
    <row r="955" spans="1:2" s="13" customFormat="1" x14ac:dyDescent="0.35">
      <c r="A955" s="12"/>
      <c r="B955"/>
    </row>
    <row r="956" spans="1:2" s="13" customFormat="1" x14ac:dyDescent="0.35">
      <c r="A956" s="12"/>
      <c r="B956"/>
    </row>
    <row r="957" spans="1:2" s="13" customFormat="1" x14ac:dyDescent="0.35">
      <c r="A957" s="12"/>
      <c r="B957"/>
    </row>
    <row r="958" spans="1:2" s="13" customFormat="1" x14ac:dyDescent="0.35">
      <c r="A958" s="12"/>
      <c r="B958"/>
    </row>
    <row r="959" spans="1:2" s="13" customFormat="1" x14ac:dyDescent="0.35">
      <c r="A959" s="12"/>
      <c r="B959"/>
    </row>
    <row r="960" spans="1:2" s="13" customFormat="1" x14ac:dyDescent="0.35">
      <c r="A960" s="12"/>
      <c r="B960"/>
    </row>
    <row r="961" spans="1:2" s="13" customFormat="1" x14ac:dyDescent="0.35">
      <c r="A961" s="12"/>
      <c r="B961"/>
    </row>
    <row r="962" spans="1:2" s="13" customFormat="1" x14ac:dyDescent="0.35">
      <c r="A962" s="12"/>
      <c r="B962"/>
    </row>
    <row r="963" spans="1:2" s="13" customFormat="1" x14ac:dyDescent="0.35">
      <c r="A963" s="12"/>
      <c r="B963"/>
    </row>
    <row r="964" spans="1:2" s="13" customFormat="1" x14ac:dyDescent="0.35">
      <c r="A964" s="12"/>
      <c r="B964"/>
    </row>
    <row r="965" spans="1:2" s="13" customFormat="1" x14ac:dyDescent="0.35">
      <c r="A965" s="12"/>
      <c r="B965"/>
    </row>
    <row r="966" spans="1:2" s="13" customFormat="1" x14ac:dyDescent="0.35">
      <c r="A966" s="12"/>
      <c r="B966"/>
    </row>
    <row r="967" spans="1:2" s="13" customFormat="1" x14ac:dyDescent="0.35">
      <c r="A967" s="12"/>
      <c r="B967"/>
    </row>
    <row r="968" spans="1:2" s="13" customFormat="1" x14ac:dyDescent="0.35">
      <c r="A968" s="12"/>
      <c r="B968"/>
    </row>
    <row r="969" spans="1:2" s="13" customFormat="1" x14ac:dyDescent="0.35">
      <c r="A969" s="12"/>
      <c r="B969"/>
    </row>
    <row r="970" spans="1:2" s="13" customFormat="1" x14ac:dyDescent="0.35">
      <c r="A970" s="12"/>
      <c r="B970"/>
    </row>
    <row r="971" spans="1:2" s="13" customFormat="1" x14ac:dyDescent="0.35">
      <c r="A971" s="12"/>
      <c r="B971"/>
    </row>
    <row r="972" spans="1:2" s="13" customFormat="1" x14ac:dyDescent="0.35">
      <c r="A972" s="12"/>
      <c r="B972"/>
    </row>
    <row r="973" spans="1:2" s="13" customFormat="1" x14ac:dyDescent="0.35">
      <c r="A973" s="12"/>
      <c r="B973"/>
    </row>
    <row r="974" spans="1:2" s="13" customFormat="1" x14ac:dyDescent="0.35">
      <c r="A974" s="12"/>
      <c r="B974"/>
    </row>
    <row r="975" spans="1:2" s="13" customFormat="1" x14ac:dyDescent="0.35">
      <c r="A975" s="12"/>
      <c r="B975"/>
    </row>
    <row r="976" spans="1:2" s="13" customFormat="1" x14ac:dyDescent="0.35">
      <c r="A976" s="12"/>
      <c r="B976"/>
    </row>
    <row r="977" spans="1:2" s="13" customFormat="1" x14ac:dyDescent="0.35">
      <c r="A977" s="12"/>
      <c r="B977"/>
    </row>
    <row r="978" spans="1:2" s="13" customFormat="1" x14ac:dyDescent="0.35">
      <c r="A978" s="12"/>
      <c r="B978"/>
    </row>
    <row r="979" spans="1:2" s="13" customFormat="1" x14ac:dyDescent="0.35">
      <c r="A979" s="12"/>
      <c r="B979"/>
    </row>
    <row r="980" spans="1:2" s="13" customFormat="1" x14ac:dyDescent="0.35">
      <c r="A980" s="12"/>
      <c r="B980"/>
    </row>
    <row r="981" spans="1:2" s="13" customFormat="1" x14ac:dyDescent="0.35">
      <c r="A981" s="12"/>
      <c r="B981"/>
    </row>
    <row r="982" spans="1:2" s="13" customFormat="1" x14ac:dyDescent="0.35">
      <c r="A982" s="12"/>
      <c r="B982"/>
    </row>
    <row r="983" spans="1:2" s="13" customFormat="1" x14ac:dyDescent="0.35">
      <c r="A983" s="12"/>
      <c r="B983"/>
    </row>
    <row r="984" spans="1:2" s="13" customFormat="1" x14ac:dyDescent="0.35">
      <c r="A984" s="12"/>
      <c r="B984"/>
    </row>
    <row r="985" spans="1:2" s="13" customFormat="1" x14ac:dyDescent="0.35">
      <c r="A985" s="12"/>
      <c r="B985"/>
    </row>
    <row r="986" spans="1:2" s="13" customFormat="1" x14ac:dyDescent="0.35">
      <c r="A986" s="12"/>
      <c r="B986"/>
    </row>
    <row r="987" spans="1:2" s="13" customFormat="1" x14ac:dyDescent="0.35">
      <c r="A987" s="12"/>
      <c r="B987"/>
    </row>
    <row r="988" spans="1:2" s="13" customFormat="1" x14ac:dyDescent="0.35">
      <c r="A988" s="12"/>
      <c r="B988"/>
    </row>
    <row r="989" spans="1:2" s="13" customFormat="1" x14ac:dyDescent="0.35">
      <c r="A989" s="12"/>
      <c r="B989"/>
    </row>
    <row r="990" spans="1:2" s="13" customFormat="1" x14ac:dyDescent="0.35">
      <c r="A990" s="12"/>
      <c r="B990"/>
    </row>
    <row r="991" spans="1:2" s="13" customFormat="1" x14ac:dyDescent="0.35">
      <c r="A991" s="12"/>
      <c r="B991"/>
    </row>
    <row r="992" spans="1:2" s="13" customFormat="1" x14ac:dyDescent="0.35">
      <c r="A992" s="12"/>
      <c r="B992"/>
    </row>
    <row r="993" spans="1:2" s="13" customFormat="1" x14ac:dyDescent="0.35">
      <c r="A993" s="12"/>
      <c r="B993"/>
    </row>
    <row r="994" spans="1:2" s="13" customFormat="1" x14ac:dyDescent="0.35">
      <c r="A994" s="12"/>
      <c r="B994"/>
    </row>
    <row r="995" spans="1:2" s="13" customFormat="1" x14ac:dyDescent="0.35">
      <c r="A995" s="12"/>
      <c r="B995"/>
    </row>
    <row r="996" spans="1:2" s="13" customFormat="1" x14ac:dyDescent="0.35">
      <c r="A996" s="12"/>
      <c r="B996"/>
    </row>
    <row r="997" spans="1:2" s="13" customFormat="1" x14ac:dyDescent="0.35">
      <c r="A997" s="12"/>
      <c r="B997"/>
    </row>
    <row r="998" spans="1:2" s="13" customFormat="1" x14ac:dyDescent="0.35">
      <c r="A998" s="12"/>
      <c r="B998"/>
    </row>
    <row r="999" spans="1:2" s="13" customFormat="1" x14ac:dyDescent="0.35">
      <c r="A999" s="12"/>
      <c r="B999"/>
    </row>
    <row r="1000" spans="1:2" s="13" customFormat="1" x14ac:dyDescent="0.35">
      <c r="A1000" s="12"/>
      <c r="B1000"/>
    </row>
    <row r="1001" spans="1:2" s="13" customFormat="1" x14ac:dyDescent="0.35">
      <c r="A1001" s="12"/>
      <c r="B1001"/>
    </row>
    <row r="1002" spans="1:2" s="13" customFormat="1" x14ac:dyDescent="0.35">
      <c r="A1002" s="12"/>
      <c r="B1002"/>
    </row>
    <row r="1003" spans="1:2" s="13" customFormat="1" x14ac:dyDescent="0.35">
      <c r="A1003" s="12"/>
      <c r="B1003"/>
    </row>
    <row r="1004" spans="1:2" s="13" customFormat="1" x14ac:dyDescent="0.35">
      <c r="A1004" s="12"/>
      <c r="B1004"/>
    </row>
    <row r="1005" spans="1:2" s="13" customFormat="1" x14ac:dyDescent="0.35">
      <c r="A1005" s="12"/>
      <c r="B1005"/>
    </row>
    <row r="1006" spans="1:2" s="13" customFormat="1" x14ac:dyDescent="0.35">
      <c r="A1006" s="12"/>
      <c r="B1006"/>
    </row>
    <row r="1007" spans="1:2" s="13" customFormat="1" x14ac:dyDescent="0.35">
      <c r="A1007" s="12"/>
      <c r="B1007"/>
    </row>
    <row r="1008" spans="1:2" s="13" customFormat="1" x14ac:dyDescent="0.35">
      <c r="A1008" s="12"/>
      <c r="B1008"/>
    </row>
    <row r="1009" spans="1:2" s="13" customFormat="1" x14ac:dyDescent="0.35">
      <c r="A1009" s="12"/>
      <c r="B1009"/>
    </row>
    <row r="1010" spans="1:2" s="13" customFormat="1" x14ac:dyDescent="0.35">
      <c r="A1010" s="12"/>
      <c r="B1010"/>
    </row>
    <row r="1011" spans="1:2" s="13" customFormat="1" x14ac:dyDescent="0.35">
      <c r="A1011" s="12"/>
      <c r="B1011"/>
    </row>
    <row r="1012" spans="1:2" s="13" customFormat="1" x14ac:dyDescent="0.35">
      <c r="A1012" s="12"/>
      <c r="B1012"/>
    </row>
    <row r="1013" spans="1:2" s="13" customFormat="1" x14ac:dyDescent="0.35">
      <c r="A1013" s="12"/>
      <c r="B1013"/>
    </row>
    <row r="1014" spans="1:2" s="13" customFormat="1" x14ac:dyDescent="0.35">
      <c r="A1014" s="12"/>
      <c r="B1014"/>
    </row>
    <row r="1015" spans="1:2" s="13" customFormat="1" x14ac:dyDescent="0.35">
      <c r="A1015" s="12"/>
      <c r="B1015"/>
    </row>
    <row r="1016" spans="1:2" s="13" customFormat="1" x14ac:dyDescent="0.35">
      <c r="A1016" s="12"/>
      <c r="B1016"/>
    </row>
    <row r="1017" spans="1:2" s="13" customFormat="1" x14ac:dyDescent="0.35">
      <c r="A1017" s="12"/>
      <c r="B1017"/>
    </row>
    <row r="1018" spans="1:2" s="13" customFormat="1" x14ac:dyDescent="0.35">
      <c r="A1018" s="12"/>
      <c r="B1018"/>
    </row>
    <row r="1019" spans="1:2" s="13" customFormat="1" x14ac:dyDescent="0.35">
      <c r="A1019" s="12"/>
      <c r="B1019"/>
    </row>
    <row r="1020" spans="1:2" s="13" customFormat="1" x14ac:dyDescent="0.35">
      <c r="A1020" s="12"/>
      <c r="B1020"/>
    </row>
    <row r="1021" spans="1:2" s="13" customFormat="1" x14ac:dyDescent="0.35">
      <c r="A1021" s="12"/>
      <c r="B1021"/>
    </row>
    <row r="1022" spans="1:2" s="13" customFormat="1" x14ac:dyDescent="0.35">
      <c r="A1022" s="12"/>
      <c r="B1022"/>
    </row>
    <row r="1023" spans="1:2" s="13" customFormat="1" x14ac:dyDescent="0.35">
      <c r="A1023" s="12"/>
      <c r="B1023"/>
    </row>
    <row r="1024" spans="1:2" s="13" customFormat="1" x14ac:dyDescent="0.35">
      <c r="A1024" s="12"/>
      <c r="B1024"/>
    </row>
    <row r="1025" spans="1:2" s="13" customFormat="1" x14ac:dyDescent="0.35">
      <c r="A1025" s="12"/>
      <c r="B1025"/>
    </row>
    <row r="1026" spans="1:2" s="13" customFormat="1" x14ac:dyDescent="0.35">
      <c r="A1026" s="12"/>
      <c r="B1026"/>
    </row>
    <row r="1027" spans="1:2" s="13" customFormat="1" x14ac:dyDescent="0.35">
      <c r="A1027" s="12"/>
      <c r="B1027"/>
    </row>
    <row r="1028" spans="1:2" s="13" customFormat="1" x14ac:dyDescent="0.35">
      <c r="A1028" s="12"/>
      <c r="B1028"/>
    </row>
    <row r="1029" spans="1:2" s="13" customFormat="1" x14ac:dyDescent="0.35">
      <c r="A1029" s="12"/>
      <c r="B1029"/>
    </row>
    <row r="1030" spans="1:2" s="13" customFormat="1" x14ac:dyDescent="0.35">
      <c r="A1030" s="12"/>
      <c r="B1030"/>
    </row>
    <row r="1031" spans="1:2" s="13" customFormat="1" x14ac:dyDescent="0.35">
      <c r="A1031" s="12"/>
      <c r="B1031"/>
    </row>
    <row r="1032" spans="1:2" s="13" customFormat="1" x14ac:dyDescent="0.35">
      <c r="A1032" s="12"/>
      <c r="B1032"/>
    </row>
    <row r="1033" spans="1:2" s="13" customFormat="1" x14ac:dyDescent="0.35">
      <c r="A1033" s="12"/>
      <c r="B1033"/>
    </row>
    <row r="1034" spans="1:2" s="13" customFormat="1" x14ac:dyDescent="0.35">
      <c r="A1034" s="12"/>
      <c r="B1034"/>
    </row>
    <row r="1035" spans="1:2" s="13" customFormat="1" x14ac:dyDescent="0.35">
      <c r="A1035" s="12"/>
      <c r="B1035"/>
    </row>
    <row r="1036" spans="1:2" s="13" customFormat="1" x14ac:dyDescent="0.35">
      <c r="A1036" s="12"/>
      <c r="B1036"/>
    </row>
    <row r="1037" spans="1:2" s="13" customFormat="1" x14ac:dyDescent="0.35">
      <c r="A1037" s="12"/>
      <c r="B1037"/>
    </row>
    <row r="1038" spans="1:2" s="13" customFormat="1" x14ac:dyDescent="0.35">
      <c r="A1038" s="12"/>
      <c r="B1038"/>
    </row>
    <row r="1039" spans="1:2" s="13" customFormat="1" x14ac:dyDescent="0.35">
      <c r="A1039" s="12"/>
      <c r="B1039"/>
    </row>
    <row r="1040" spans="1:2" s="13" customFormat="1" x14ac:dyDescent="0.35">
      <c r="A1040" s="12"/>
      <c r="B1040"/>
    </row>
    <row r="1041" spans="1:2" s="13" customFormat="1" x14ac:dyDescent="0.35">
      <c r="A1041" s="12"/>
      <c r="B1041"/>
    </row>
    <row r="1042" spans="1:2" s="13" customFormat="1" x14ac:dyDescent="0.35">
      <c r="A1042" s="12"/>
      <c r="B1042"/>
    </row>
    <row r="1043" spans="1:2" s="13" customFormat="1" x14ac:dyDescent="0.35">
      <c r="A1043" s="12"/>
      <c r="B1043"/>
    </row>
    <row r="1044" spans="1:2" s="13" customFormat="1" x14ac:dyDescent="0.35">
      <c r="A1044" s="12"/>
      <c r="B1044"/>
    </row>
    <row r="1045" spans="1:2" s="13" customFormat="1" x14ac:dyDescent="0.35">
      <c r="A1045" s="12"/>
      <c r="B1045"/>
    </row>
    <row r="1046" spans="1:2" s="13" customFormat="1" x14ac:dyDescent="0.35">
      <c r="A1046" s="12"/>
      <c r="B1046"/>
    </row>
    <row r="1047" spans="1:2" s="13" customFormat="1" x14ac:dyDescent="0.35">
      <c r="A1047" s="12"/>
      <c r="B1047"/>
    </row>
    <row r="1048" spans="1:2" s="13" customFormat="1" x14ac:dyDescent="0.35">
      <c r="A1048" s="12"/>
      <c r="B1048"/>
    </row>
    <row r="1049" spans="1:2" s="13" customFormat="1" x14ac:dyDescent="0.35">
      <c r="A1049" s="12"/>
      <c r="B1049"/>
    </row>
    <row r="1050" spans="1:2" s="13" customFormat="1" x14ac:dyDescent="0.35">
      <c r="A1050" s="12"/>
      <c r="B1050"/>
    </row>
    <row r="1051" spans="1:2" s="13" customFormat="1" x14ac:dyDescent="0.35">
      <c r="A1051" s="12"/>
      <c r="B1051"/>
    </row>
    <row r="1052" spans="1:2" s="13" customFormat="1" x14ac:dyDescent="0.35">
      <c r="A1052" s="12"/>
      <c r="B1052"/>
    </row>
    <row r="1053" spans="1:2" s="13" customFormat="1" x14ac:dyDescent="0.35">
      <c r="A1053" s="12"/>
      <c r="B1053"/>
    </row>
    <row r="1054" spans="1:2" s="13" customFormat="1" x14ac:dyDescent="0.35">
      <c r="A1054" s="12"/>
      <c r="B1054"/>
    </row>
    <row r="1055" spans="1:2" s="13" customFormat="1" x14ac:dyDescent="0.35">
      <c r="A1055" s="12"/>
      <c r="B1055"/>
    </row>
    <row r="1056" spans="1:2" s="13" customFormat="1" x14ac:dyDescent="0.35">
      <c r="A1056" s="12"/>
      <c r="B1056"/>
    </row>
    <row r="1057" spans="1:2" s="13" customFormat="1" x14ac:dyDescent="0.35">
      <c r="A1057" s="12"/>
      <c r="B1057"/>
    </row>
    <row r="1058" spans="1:2" s="13" customFormat="1" x14ac:dyDescent="0.35">
      <c r="A1058" s="12"/>
      <c r="B1058"/>
    </row>
    <row r="1059" spans="1:2" s="13" customFormat="1" x14ac:dyDescent="0.35">
      <c r="A1059" s="12"/>
      <c r="B1059"/>
    </row>
    <row r="1060" spans="1:2" s="13" customFormat="1" x14ac:dyDescent="0.35">
      <c r="A1060" s="12"/>
      <c r="B1060"/>
    </row>
    <row r="1061" spans="1:2" s="13" customFormat="1" x14ac:dyDescent="0.35">
      <c r="A1061" s="12"/>
      <c r="B1061"/>
    </row>
    <row r="1062" spans="1:2" s="13" customFormat="1" x14ac:dyDescent="0.35">
      <c r="A1062" s="12"/>
      <c r="B1062"/>
    </row>
    <row r="1063" spans="1:2" s="13" customFormat="1" x14ac:dyDescent="0.35">
      <c r="A1063" s="12"/>
      <c r="B1063"/>
    </row>
    <row r="1064" spans="1:2" s="13" customFormat="1" x14ac:dyDescent="0.35">
      <c r="A1064" s="12"/>
      <c r="B1064"/>
    </row>
    <row r="1065" spans="1:2" s="13" customFormat="1" x14ac:dyDescent="0.35">
      <c r="A1065" s="12"/>
      <c r="B1065"/>
    </row>
    <row r="1066" spans="1:2" s="13" customFormat="1" x14ac:dyDescent="0.35">
      <c r="A1066" s="12"/>
      <c r="B1066"/>
    </row>
    <row r="1067" spans="1:2" s="13" customFormat="1" x14ac:dyDescent="0.35">
      <c r="A1067" s="12"/>
      <c r="B1067"/>
    </row>
    <row r="1068" spans="1:2" s="13" customFormat="1" x14ac:dyDescent="0.35">
      <c r="A1068" s="12"/>
      <c r="B1068"/>
    </row>
    <row r="1069" spans="1:2" s="13" customFormat="1" x14ac:dyDescent="0.35">
      <c r="A1069" s="12"/>
      <c r="B1069"/>
    </row>
    <row r="1070" spans="1:2" s="13" customFormat="1" x14ac:dyDescent="0.35">
      <c r="A1070" s="12"/>
      <c r="B1070"/>
    </row>
    <row r="1071" spans="1:2" s="13" customFormat="1" x14ac:dyDescent="0.35">
      <c r="A1071" s="12"/>
      <c r="B1071"/>
    </row>
    <row r="1072" spans="1:2" s="13" customFormat="1" x14ac:dyDescent="0.35">
      <c r="A1072" s="12"/>
      <c r="B1072"/>
    </row>
    <row r="1073" spans="1:2" s="13" customFormat="1" x14ac:dyDescent="0.35">
      <c r="A1073" s="12"/>
      <c r="B1073"/>
    </row>
    <row r="1074" spans="1:2" s="13" customFormat="1" x14ac:dyDescent="0.35">
      <c r="A1074" s="12"/>
      <c r="B1074"/>
    </row>
    <row r="1075" spans="1:2" s="13" customFormat="1" x14ac:dyDescent="0.35">
      <c r="A1075" s="12"/>
      <c r="B1075"/>
    </row>
    <row r="1076" spans="1:2" s="13" customFormat="1" x14ac:dyDescent="0.35">
      <c r="A1076" s="12"/>
      <c r="B1076"/>
    </row>
    <row r="1077" spans="1:2" s="13" customFormat="1" x14ac:dyDescent="0.35">
      <c r="A1077" s="12"/>
      <c r="B1077"/>
    </row>
    <row r="1078" spans="1:2" s="13" customFormat="1" x14ac:dyDescent="0.35">
      <c r="A1078" s="12"/>
      <c r="B1078"/>
    </row>
    <row r="1079" spans="1:2" s="13" customFormat="1" x14ac:dyDescent="0.35">
      <c r="A1079" s="12"/>
      <c r="B1079"/>
    </row>
    <row r="1080" spans="1:2" s="13" customFormat="1" x14ac:dyDescent="0.35">
      <c r="A1080" s="12"/>
      <c r="B1080"/>
    </row>
    <row r="1081" spans="1:2" s="13" customFormat="1" x14ac:dyDescent="0.35">
      <c r="A1081" s="12"/>
      <c r="B1081"/>
    </row>
    <row r="1082" spans="1:2" s="13" customFormat="1" x14ac:dyDescent="0.35">
      <c r="A1082" s="12"/>
      <c r="B1082"/>
    </row>
    <row r="1083" spans="1:2" s="13" customFormat="1" x14ac:dyDescent="0.35">
      <c r="A1083" s="12"/>
      <c r="B1083"/>
    </row>
    <row r="1084" spans="1:2" s="13" customFormat="1" x14ac:dyDescent="0.35">
      <c r="A1084" s="12"/>
      <c r="B1084"/>
    </row>
    <row r="1085" spans="1:2" s="13" customFormat="1" x14ac:dyDescent="0.35">
      <c r="A1085" s="12"/>
      <c r="B1085"/>
    </row>
    <row r="1086" spans="1:2" s="13" customFormat="1" x14ac:dyDescent="0.35">
      <c r="A1086" s="12"/>
      <c r="B1086"/>
    </row>
    <row r="1087" spans="1:2" s="13" customFormat="1" x14ac:dyDescent="0.35">
      <c r="A1087" s="12"/>
      <c r="B1087"/>
    </row>
    <row r="1088" spans="1:2" s="13" customFormat="1" x14ac:dyDescent="0.35">
      <c r="A1088" s="12"/>
      <c r="B1088"/>
    </row>
    <row r="1089" spans="1:2" s="13" customFormat="1" x14ac:dyDescent="0.35">
      <c r="A1089" s="12"/>
      <c r="B1089"/>
    </row>
    <row r="1090" spans="1:2" s="13" customFormat="1" x14ac:dyDescent="0.35">
      <c r="A1090" s="12"/>
      <c r="B1090"/>
    </row>
    <row r="1091" spans="1:2" s="13" customFormat="1" x14ac:dyDescent="0.35">
      <c r="A1091" s="12"/>
      <c r="B1091"/>
    </row>
    <row r="1092" spans="1:2" s="13" customFormat="1" x14ac:dyDescent="0.35">
      <c r="A1092" s="12"/>
      <c r="B1092"/>
    </row>
    <row r="1093" spans="1:2" s="13" customFormat="1" x14ac:dyDescent="0.35">
      <c r="A1093" s="12"/>
      <c r="B1093"/>
    </row>
    <row r="1094" spans="1:2" s="13" customFormat="1" x14ac:dyDescent="0.35">
      <c r="A1094" s="12"/>
      <c r="B1094"/>
    </row>
    <row r="1095" spans="1:2" s="13" customFormat="1" x14ac:dyDescent="0.35">
      <c r="A1095" s="12"/>
      <c r="B1095"/>
    </row>
    <row r="1096" spans="1:2" s="13" customFormat="1" x14ac:dyDescent="0.35">
      <c r="A1096" s="12"/>
      <c r="B1096"/>
    </row>
    <row r="1097" spans="1:2" s="13" customFormat="1" x14ac:dyDescent="0.35">
      <c r="A1097" s="12"/>
      <c r="B1097"/>
    </row>
    <row r="1098" spans="1:2" s="13" customFormat="1" x14ac:dyDescent="0.35">
      <c r="A1098" s="12"/>
      <c r="B1098"/>
    </row>
    <row r="1099" spans="1:2" s="13" customFormat="1" x14ac:dyDescent="0.35">
      <c r="A1099" s="12"/>
      <c r="B1099"/>
    </row>
    <row r="1100" spans="1:2" s="13" customFormat="1" x14ac:dyDescent="0.35">
      <c r="A1100" s="12"/>
      <c r="B1100"/>
    </row>
    <row r="1101" spans="1:2" s="13" customFormat="1" x14ac:dyDescent="0.35">
      <c r="A1101" s="12"/>
      <c r="B1101"/>
    </row>
    <row r="1102" spans="1:2" s="13" customFormat="1" x14ac:dyDescent="0.35">
      <c r="A1102" s="12"/>
      <c r="B1102"/>
    </row>
    <row r="1103" spans="1:2" s="13" customFormat="1" x14ac:dyDescent="0.35">
      <c r="A1103" s="12"/>
      <c r="B1103"/>
    </row>
    <row r="1104" spans="1:2" s="13" customFormat="1" x14ac:dyDescent="0.35">
      <c r="A1104" s="12"/>
      <c r="B1104"/>
    </row>
    <row r="1105" spans="1:2" s="13" customFormat="1" x14ac:dyDescent="0.35">
      <c r="A1105" s="12"/>
      <c r="B1105"/>
    </row>
    <row r="1106" spans="1:2" s="13" customFormat="1" x14ac:dyDescent="0.35">
      <c r="A1106" s="12"/>
      <c r="B1106"/>
    </row>
    <row r="1107" spans="1:2" s="13" customFormat="1" x14ac:dyDescent="0.35">
      <c r="A1107" s="12"/>
      <c r="B1107"/>
    </row>
    <row r="1108" spans="1:2" s="13" customFormat="1" x14ac:dyDescent="0.35">
      <c r="A1108" s="12"/>
      <c r="B1108"/>
    </row>
    <row r="1109" spans="1:2" s="13" customFormat="1" x14ac:dyDescent="0.35">
      <c r="A1109" s="12"/>
      <c r="B1109"/>
    </row>
    <row r="1110" spans="1:2" s="13" customFormat="1" x14ac:dyDescent="0.35">
      <c r="A1110" s="12"/>
      <c r="B1110"/>
    </row>
    <row r="1111" spans="1:2" s="13" customFormat="1" x14ac:dyDescent="0.35">
      <c r="A1111" s="12"/>
      <c r="B1111"/>
    </row>
    <row r="1112" spans="1:2" s="13" customFormat="1" x14ac:dyDescent="0.35">
      <c r="A1112" s="12"/>
      <c r="B1112"/>
    </row>
    <row r="1113" spans="1:2" s="13" customFormat="1" x14ac:dyDescent="0.35">
      <c r="A1113" s="12"/>
      <c r="B1113"/>
    </row>
    <row r="1114" spans="1:2" s="13" customFormat="1" x14ac:dyDescent="0.35">
      <c r="A1114" s="12"/>
      <c r="B1114"/>
    </row>
    <row r="1115" spans="1:2" s="13" customFormat="1" x14ac:dyDescent="0.35">
      <c r="A1115" s="12"/>
      <c r="B1115"/>
    </row>
    <row r="1116" spans="1:2" s="13" customFormat="1" x14ac:dyDescent="0.35">
      <c r="A1116" s="12"/>
      <c r="B1116"/>
    </row>
    <row r="1117" spans="1:2" s="13" customFormat="1" x14ac:dyDescent="0.35">
      <c r="A1117" s="12"/>
      <c r="B1117"/>
    </row>
    <row r="1118" spans="1:2" s="13" customFormat="1" x14ac:dyDescent="0.35">
      <c r="A1118" s="12"/>
      <c r="B1118"/>
    </row>
    <row r="1119" spans="1:2" s="13" customFormat="1" x14ac:dyDescent="0.35">
      <c r="A1119" s="12"/>
      <c r="B1119"/>
    </row>
    <row r="1120" spans="1:2" s="13" customFormat="1" x14ac:dyDescent="0.35">
      <c r="A1120" s="12"/>
      <c r="B1120"/>
    </row>
    <row r="1121" spans="1:2" s="13" customFormat="1" x14ac:dyDescent="0.35">
      <c r="A1121" s="12"/>
      <c r="B1121"/>
    </row>
    <row r="1122" spans="1:2" s="13" customFormat="1" x14ac:dyDescent="0.35">
      <c r="A1122" s="12"/>
      <c r="B1122"/>
    </row>
    <row r="1123" spans="1:2" s="13" customFormat="1" x14ac:dyDescent="0.35">
      <c r="A1123" s="12"/>
      <c r="B1123"/>
    </row>
    <row r="1124" spans="1:2" s="13" customFormat="1" x14ac:dyDescent="0.35">
      <c r="A1124" s="12"/>
      <c r="B1124"/>
    </row>
    <row r="1125" spans="1:2" s="13" customFormat="1" x14ac:dyDescent="0.35">
      <c r="A1125" s="12"/>
      <c r="B1125"/>
    </row>
    <row r="1126" spans="1:2" s="13" customFormat="1" x14ac:dyDescent="0.35">
      <c r="A1126" s="12"/>
      <c r="B1126"/>
    </row>
    <row r="1127" spans="1:2" s="13" customFormat="1" x14ac:dyDescent="0.35">
      <c r="A1127" s="12"/>
      <c r="B1127"/>
    </row>
    <row r="1128" spans="1:2" s="13" customFormat="1" x14ac:dyDescent="0.35">
      <c r="A1128" s="12"/>
      <c r="B1128"/>
    </row>
    <row r="1129" spans="1:2" s="13" customFormat="1" x14ac:dyDescent="0.35">
      <c r="A1129" s="12"/>
      <c r="B1129"/>
    </row>
    <row r="1130" spans="1:2" s="13" customFormat="1" x14ac:dyDescent="0.35">
      <c r="A1130" s="12"/>
      <c r="B1130"/>
    </row>
    <row r="1131" spans="1:2" s="13" customFormat="1" x14ac:dyDescent="0.35">
      <c r="A1131" s="12"/>
      <c r="B1131"/>
    </row>
    <row r="1132" spans="1:2" s="13" customFormat="1" x14ac:dyDescent="0.35">
      <c r="A1132" s="12"/>
      <c r="B1132"/>
    </row>
    <row r="1133" spans="1:2" s="13" customFormat="1" x14ac:dyDescent="0.35">
      <c r="A1133" s="12"/>
      <c r="B1133"/>
    </row>
    <row r="1134" spans="1:2" s="13" customFormat="1" x14ac:dyDescent="0.35">
      <c r="A1134" s="12"/>
      <c r="B1134"/>
    </row>
    <row r="1135" spans="1:2" s="13" customFormat="1" x14ac:dyDescent="0.35">
      <c r="A1135" s="12"/>
      <c r="B1135"/>
    </row>
    <row r="1136" spans="1:2" s="13" customFormat="1" x14ac:dyDescent="0.35">
      <c r="A1136" s="12"/>
      <c r="B1136"/>
    </row>
    <row r="1137" spans="1:2" s="13" customFormat="1" x14ac:dyDescent="0.35">
      <c r="A1137" s="12"/>
      <c r="B1137"/>
    </row>
    <row r="1138" spans="1:2" s="13" customFormat="1" x14ac:dyDescent="0.35">
      <c r="A1138" s="12"/>
      <c r="B1138"/>
    </row>
    <row r="1139" spans="1:2" s="13" customFormat="1" x14ac:dyDescent="0.35">
      <c r="A1139" s="12"/>
      <c r="B1139"/>
    </row>
    <row r="1140" spans="1:2" s="13" customFormat="1" x14ac:dyDescent="0.35">
      <c r="A1140" s="12"/>
      <c r="B1140"/>
    </row>
    <row r="1141" spans="1:2" s="13" customFormat="1" x14ac:dyDescent="0.35">
      <c r="A1141" s="12"/>
      <c r="B1141"/>
    </row>
    <row r="1142" spans="1:2" s="13" customFormat="1" x14ac:dyDescent="0.35">
      <c r="A1142" s="12"/>
      <c r="B1142"/>
    </row>
    <row r="1143" spans="1:2" s="13" customFormat="1" x14ac:dyDescent="0.35">
      <c r="A1143" s="12"/>
      <c r="B1143"/>
    </row>
    <row r="1144" spans="1:2" s="13" customFormat="1" x14ac:dyDescent="0.35">
      <c r="A1144" s="12"/>
      <c r="B1144"/>
    </row>
    <row r="1145" spans="1:2" s="13" customFormat="1" x14ac:dyDescent="0.35">
      <c r="A1145" s="12"/>
      <c r="B1145"/>
    </row>
    <row r="1146" spans="1:2" s="13" customFormat="1" x14ac:dyDescent="0.35">
      <c r="A1146" s="12"/>
      <c r="B1146"/>
    </row>
    <row r="1147" spans="1:2" s="13" customFormat="1" x14ac:dyDescent="0.35">
      <c r="A1147" s="12"/>
      <c r="B1147"/>
    </row>
    <row r="1148" spans="1:2" s="13" customFormat="1" x14ac:dyDescent="0.35">
      <c r="A1148" s="12"/>
      <c r="B1148"/>
    </row>
    <row r="1149" spans="1:2" s="13" customFormat="1" x14ac:dyDescent="0.35">
      <c r="A1149" s="12"/>
      <c r="B1149"/>
    </row>
    <row r="1150" spans="1:2" s="13" customFormat="1" x14ac:dyDescent="0.35">
      <c r="A1150" s="12"/>
      <c r="B1150"/>
    </row>
    <row r="1151" spans="1:2" s="13" customFormat="1" x14ac:dyDescent="0.35">
      <c r="A1151" s="12"/>
      <c r="B1151"/>
    </row>
    <row r="1152" spans="1:2" s="13" customFormat="1" x14ac:dyDescent="0.35">
      <c r="A1152" s="12"/>
      <c r="B1152"/>
    </row>
    <row r="1153" spans="1:2" s="13" customFormat="1" x14ac:dyDescent="0.35">
      <c r="A1153" s="12"/>
      <c r="B1153"/>
    </row>
    <row r="1154" spans="1:2" s="13" customFormat="1" x14ac:dyDescent="0.35">
      <c r="A1154" s="12"/>
      <c r="B1154"/>
    </row>
    <row r="1155" spans="1:2" s="13" customFormat="1" x14ac:dyDescent="0.35">
      <c r="A1155" s="12"/>
      <c r="B1155"/>
    </row>
    <row r="1156" spans="1:2" s="13" customFormat="1" x14ac:dyDescent="0.35">
      <c r="A1156" s="12"/>
      <c r="B1156"/>
    </row>
    <row r="1157" spans="1:2" s="13" customFormat="1" x14ac:dyDescent="0.35">
      <c r="A1157" s="12"/>
      <c r="B1157"/>
    </row>
    <row r="1158" spans="1:2" s="13" customFormat="1" x14ac:dyDescent="0.35">
      <c r="A1158" s="12"/>
      <c r="B1158"/>
    </row>
    <row r="1159" spans="1:2" s="13" customFormat="1" x14ac:dyDescent="0.35">
      <c r="A1159" s="12"/>
      <c r="B1159"/>
    </row>
    <row r="1160" spans="1:2" s="13" customFormat="1" x14ac:dyDescent="0.35">
      <c r="A1160" s="12"/>
      <c r="B1160"/>
    </row>
    <row r="1161" spans="1:2" s="13" customFormat="1" x14ac:dyDescent="0.35">
      <c r="A1161" s="12"/>
      <c r="B1161"/>
    </row>
    <row r="1162" spans="1:2" s="13" customFormat="1" x14ac:dyDescent="0.35">
      <c r="A1162" s="12"/>
      <c r="B1162"/>
    </row>
    <row r="1163" spans="1:2" s="13" customFormat="1" x14ac:dyDescent="0.35">
      <c r="A1163" s="12"/>
      <c r="B1163"/>
    </row>
    <row r="1164" spans="1:2" s="13" customFormat="1" x14ac:dyDescent="0.35">
      <c r="A1164" s="12"/>
      <c r="B1164"/>
    </row>
    <row r="1165" spans="1:2" s="13" customFormat="1" x14ac:dyDescent="0.35">
      <c r="A1165" s="12"/>
      <c r="B1165"/>
    </row>
    <row r="1166" spans="1:2" s="13" customFormat="1" x14ac:dyDescent="0.35">
      <c r="A1166" s="12"/>
      <c r="B1166"/>
    </row>
    <row r="1167" spans="1:2" s="13" customFormat="1" x14ac:dyDescent="0.35">
      <c r="A1167" s="12"/>
      <c r="B1167"/>
    </row>
    <row r="1168" spans="1:2" s="13" customFormat="1" x14ac:dyDescent="0.35">
      <c r="A1168" s="12"/>
      <c r="B1168"/>
    </row>
    <row r="1169" spans="1:2" s="13" customFormat="1" x14ac:dyDescent="0.35">
      <c r="A1169" s="12"/>
      <c r="B1169"/>
    </row>
    <row r="1170" spans="1:2" s="13" customFormat="1" x14ac:dyDescent="0.35">
      <c r="A1170" s="12"/>
      <c r="B1170"/>
    </row>
    <row r="1171" spans="1:2" s="13" customFormat="1" x14ac:dyDescent="0.35">
      <c r="A1171" s="12"/>
      <c r="B1171"/>
    </row>
    <row r="1172" spans="1:2" s="13" customFormat="1" x14ac:dyDescent="0.35">
      <c r="A1172" s="12"/>
      <c r="B1172"/>
    </row>
    <row r="1173" spans="1:2" s="13" customFormat="1" x14ac:dyDescent="0.35">
      <c r="A1173" s="12"/>
      <c r="B1173"/>
    </row>
    <row r="1174" spans="1:2" s="13" customFormat="1" x14ac:dyDescent="0.35">
      <c r="A1174" s="12"/>
      <c r="B1174"/>
    </row>
    <row r="1175" spans="1:2" s="13" customFormat="1" x14ac:dyDescent="0.35">
      <c r="A1175" s="12"/>
      <c r="B1175"/>
    </row>
    <row r="1176" spans="1:2" s="13" customFormat="1" x14ac:dyDescent="0.35">
      <c r="A1176" s="12"/>
      <c r="B1176"/>
    </row>
    <row r="1177" spans="1:2" s="13" customFormat="1" x14ac:dyDescent="0.35">
      <c r="A1177" s="12"/>
      <c r="B1177"/>
    </row>
    <row r="1178" spans="1:2" s="13" customFormat="1" x14ac:dyDescent="0.35">
      <c r="A1178" s="12"/>
      <c r="B1178"/>
    </row>
    <row r="1179" spans="1:2" s="13" customFormat="1" x14ac:dyDescent="0.35">
      <c r="A1179" s="12"/>
      <c r="B1179"/>
    </row>
    <row r="1180" spans="1:2" s="13" customFormat="1" x14ac:dyDescent="0.35">
      <c r="A1180" s="12"/>
      <c r="B1180"/>
    </row>
    <row r="1181" spans="1:2" s="13" customFormat="1" x14ac:dyDescent="0.35">
      <c r="A1181" s="12"/>
      <c r="B1181"/>
    </row>
    <row r="1182" spans="1:2" s="13" customFormat="1" x14ac:dyDescent="0.35">
      <c r="A1182" s="12"/>
      <c r="B1182"/>
    </row>
    <row r="1183" spans="1:2" s="13" customFormat="1" x14ac:dyDescent="0.35">
      <c r="A1183" s="12"/>
      <c r="B1183"/>
    </row>
    <row r="1184" spans="1:2" s="13" customFormat="1" x14ac:dyDescent="0.35">
      <c r="A1184" s="12"/>
      <c r="B1184"/>
    </row>
    <row r="1185" spans="1:2" s="13" customFormat="1" x14ac:dyDescent="0.35">
      <c r="A1185" s="12"/>
      <c r="B1185"/>
    </row>
    <row r="1186" spans="1:2" s="13" customFormat="1" x14ac:dyDescent="0.35">
      <c r="A1186" s="12"/>
      <c r="B1186"/>
    </row>
    <row r="1187" spans="1:2" s="13" customFormat="1" x14ac:dyDescent="0.35">
      <c r="A1187" s="12"/>
      <c r="B1187"/>
    </row>
    <row r="1188" spans="1:2" s="13" customFormat="1" x14ac:dyDescent="0.35">
      <c r="A1188" s="12"/>
      <c r="B1188"/>
    </row>
    <row r="1189" spans="1:2" s="13" customFormat="1" x14ac:dyDescent="0.35">
      <c r="A1189" s="12"/>
      <c r="B1189"/>
    </row>
    <row r="1190" spans="1:2" s="13" customFormat="1" x14ac:dyDescent="0.35">
      <c r="A1190" s="12"/>
      <c r="B1190"/>
    </row>
    <row r="1191" spans="1:2" s="13" customFormat="1" x14ac:dyDescent="0.35">
      <c r="A1191" s="12"/>
      <c r="B1191"/>
    </row>
    <row r="1192" spans="1:2" s="13" customFormat="1" x14ac:dyDescent="0.35">
      <c r="A1192" s="12"/>
      <c r="B1192"/>
    </row>
    <row r="1193" spans="1:2" s="13" customFormat="1" x14ac:dyDescent="0.35">
      <c r="A1193" s="12"/>
      <c r="B1193"/>
    </row>
    <row r="1194" spans="1:2" s="13" customFormat="1" x14ac:dyDescent="0.35">
      <c r="A1194" s="12"/>
      <c r="B1194"/>
    </row>
    <row r="1195" spans="1:2" s="13" customFormat="1" x14ac:dyDescent="0.35">
      <c r="A1195" s="12"/>
      <c r="B1195"/>
    </row>
    <row r="1196" spans="1:2" s="13" customFormat="1" x14ac:dyDescent="0.35">
      <c r="A1196" s="12"/>
      <c r="B1196"/>
    </row>
    <row r="1197" spans="1:2" s="13" customFormat="1" x14ac:dyDescent="0.35">
      <c r="A1197" s="12"/>
      <c r="B1197"/>
    </row>
    <row r="1198" spans="1:2" s="13" customFormat="1" x14ac:dyDescent="0.35">
      <c r="A1198" s="12"/>
      <c r="B1198"/>
    </row>
    <row r="1199" spans="1:2" s="13" customFormat="1" x14ac:dyDescent="0.35">
      <c r="A1199" s="12"/>
      <c r="B1199"/>
    </row>
    <row r="1200" spans="1:2" s="13" customFormat="1" x14ac:dyDescent="0.35">
      <c r="A1200" s="12"/>
      <c r="B1200"/>
    </row>
    <row r="1201" spans="1:2" s="13" customFormat="1" x14ac:dyDescent="0.35">
      <c r="A1201" s="12"/>
      <c r="B1201"/>
    </row>
    <row r="1202" spans="1:2" s="13" customFormat="1" x14ac:dyDescent="0.35">
      <c r="A1202" s="12"/>
      <c r="B1202"/>
    </row>
    <row r="1203" spans="1:2" s="13" customFormat="1" x14ac:dyDescent="0.35">
      <c r="A1203" s="12"/>
      <c r="B1203"/>
    </row>
    <row r="1204" spans="1:2" s="13" customFormat="1" x14ac:dyDescent="0.35">
      <c r="A1204" s="12"/>
      <c r="B1204"/>
    </row>
    <row r="1205" spans="1:2" s="13" customFormat="1" x14ac:dyDescent="0.35">
      <c r="A1205" s="12"/>
      <c r="B1205"/>
    </row>
    <row r="1206" spans="1:2" s="13" customFormat="1" x14ac:dyDescent="0.35">
      <c r="A1206" s="12"/>
      <c r="B1206"/>
    </row>
    <row r="1207" spans="1:2" s="13" customFormat="1" x14ac:dyDescent="0.35">
      <c r="A1207" s="12"/>
      <c r="B1207"/>
    </row>
    <row r="1208" spans="1:2" s="13" customFormat="1" x14ac:dyDescent="0.35">
      <c r="A1208" s="12"/>
      <c r="B1208"/>
    </row>
    <row r="1209" spans="1:2" s="13" customFormat="1" x14ac:dyDescent="0.35">
      <c r="A1209" s="12"/>
      <c r="B1209"/>
    </row>
    <row r="1210" spans="1:2" s="13" customFormat="1" x14ac:dyDescent="0.35">
      <c r="A1210" s="12"/>
      <c r="B1210"/>
    </row>
    <row r="1211" spans="1:2" s="13" customFormat="1" x14ac:dyDescent="0.35">
      <c r="A1211" s="12"/>
      <c r="B1211"/>
    </row>
    <row r="1212" spans="1:2" s="13" customFormat="1" x14ac:dyDescent="0.35">
      <c r="A1212" s="12"/>
      <c r="B1212"/>
    </row>
    <row r="1213" spans="1:2" s="13" customFormat="1" x14ac:dyDescent="0.35">
      <c r="A1213" s="12"/>
      <c r="B1213"/>
    </row>
    <row r="1214" spans="1:2" s="13" customFormat="1" x14ac:dyDescent="0.35">
      <c r="A1214" s="12"/>
      <c r="B1214"/>
    </row>
    <row r="1215" spans="1:2" s="13" customFormat="1" x14ac:dyDescent="0.35">
      <c r="A1215" s="12"/>
      <c r="B1215"/>
    </row>
    <row r="1216" spans="1:2" s="13" customFormat="1" x14ac:dyDescent="0.35">
      <c r="A1216" s="12"/>
      <c r="B1216"/>
    </row>
    <row r="1217" spans="1:2" s="13" customFormat="1" x14ac:dyDescent="0.35">
      <c r="A1217" s="12"/>
      <c r="B1217"/>
    </row>
    <row r="1218" spans="1:2" s="13" customFormat="1" x14ac:dyDescent="0.35">
      <c r="A1218" s="12"/>
      <c r="B1218"/>
    </row>
    <row r="1219" spans="1:2" s="13" customFormat="1" x14ac:dyDescent="0.35">
      <c r="A1219" s="12"/>
      <c r="B1219"/>
    </row>
    <row r="1220" spans="1:2" s="13" customFormat="1" x14ac:dyDescent="0.35">
      <c r="A1220" s="12"/>
      <c r="B1220"/>
    </row>
    <row r="1221" spans="1:2" s="13" customFormat="1" x14ac:dyDescent="0.35">
      <c r="A1221" s="12"/>
      <c r="B1221"/>
    </row>
    <row r="1222" spans="1:2" s="13" customFormat="1" x14ac:dyDescent="0.35">
      <c r="A1222" s="12"/>
      <c r="B1222"/>
    </row>
    <row r="1223" spans="1:2" s="13" customFormat="1" x14ac:dyDescent="0.35">
      <c r="A1223" s="12"/>
      <c r="B1223"/>
    </row>
    <row r="1224" spans="1:2" s="13" customFormat="1" x14ac:dyDescent="0.35">
      <c r="A1224" s="12"/>
      <c r="B1224"/>
    </row>
    <row r="1225" spans="1:2" s="13" customFormat="1" x14ac:dyDescent="0.35">
      <c r="A1225" s="12"/>
      <c r="B1225"/>
    </row>
    <row r="1226" spans="1:2" s="13" customFormat="1" x14ac:dyDescent="0.35">
      <c r="A1226" s="12"/>
      <c r="B1226"/>
    </row>
    <row r="1227" spans="1:2" s="13" customFormat="1" x14ac:dyDescent="0.35">
      <c r="A1227" s="12"/>
      <c r="B1227"/>
    </row>
    <row r="1228" spans="1:2" s="13" customFormat="1" x14ac:dyDescent="0.35">
      <c r="A1228" s="12"/>
      <c r="B1228"/>
    </row>
    <row r="1229" spans="1:2" s="13" customFormat="1" x14ac:dyDescent="0.35">
      <c r="A1229" s="12"/>
      <c r="B1229"/>
    </row>
    <row r="1230" spans="1:2" s="13" customFormat="1" x14ac:dyDescent="0.35">
      <c r="A1230" s="12"/>
      <c r="B1230"/>
    </row>
    <row r="1231" spans="1:2" s="13" customFormat="1" x14ac:dyDescent="0.35">
      <c r="A1231" s="12"/>
      <c r="B1231"/>
    </row>
    <row r="1232" spans="1:2" s="13" customFormat="1" x14ac:dyDescent="0.35">
      <c r="A1232" s="12"/>
      <c r="B1232"/>
    </row>
    <row r="1233" spans="1:2" s="13" customFormat="1" x14ac:dyDescent="0.35">
      <c r="A1233" s="12"/>
      <c r="B1233"/>
    </row>
    <row r="1234" spans="1:2" s="13" customFormat="1" x14ac:dyDescent="0.35">
      <c r="A1234" s="12"/>
      <c r="B1234"/>
    </row>
    <row r="1235" spans="1:2" s="13" customFormat="1" x14ac:dyDescent="0.35">
      <c r="A1235" s="12"/>
      <c r="B1235"/>
    </row>
    <row r="1236" spans="1:2" s="13" customFormat="1" x14ac:dyDescent="0.35">
      <c r="A1236" s="12"/>
      <c r="B1236"/>
    </row>
    <row r="1237" spans="1:2" s="13" customFormat="1" x14ac:dyDescent="0.35">
      <c r="A1237" s="12"/>
      <c r="B1237"/>
    </row>
    <row r="1238" spans="1:2" s="13" customFormat="1" x14ac:dyDescent="0.35">
      <c r="A1238" s="12"/>
      <c r="B1238"/>
    </row>
    <row r="1239" spans="1:2" s="13" customFormat="1" x14ac:dyDescent="0.35">
      <c r="A1239" s="12"/>
      <c r="B1239"/>
    </row>
    <row r="1240" spans="1:2" s="13" customFormat="1" x14ac:dyDescent="0.35">
      <c r="A1240" s="12"/>
      <c r="B1240"/>
    </row>
    <row r="1241" spans="1:2" s="13" customFormat="1" x14ac:dyDescent="0.35">
      <c r="A1241" s="12"/>
      <c r="B1241"/>
    </row>
    <row r="1242" spans="1:2" s="13" customFormat="1" x14ac:dyDescent="0.35">
      <c r="A1242" s="12"/>
      <c r="B1242"/>
    </row>
    <row r="1243" spans="1:2" s="13" customFormat="1" x14ac:dyDescent="0.35">
      <c r="A1243" s="12"/>
      <c r="B1243"/>
    </row>
    <row r="1244" spans="1:2" s="13" customFormat="1" x14ac:dyDescent="0.35">
      <c r="A1244" s="12"/>
      <c r="B1244"/>
    </row>
    <row r="1245" spans="1:2" s="13" customFormat="1" x14ac:dyDescent="0.35">
      <c r="A1245" s="12"/>
      <c r="B1245"/>
    </row>
    <row r="1246" spans="1:2" s="13" customFormat="1" x14ac:dyDescent="0.35">
      <c r="A1246" s="12"/>
      <c r="B1246"/>
    </row>
    <row r="1247" spans="1:2" s="13" customFormat="1" x14ac:dyDescent="0.35">
      <c r="A1247" s="12"/>
      <c r="B1247"/>
    </row>
    <row r="1248" spans="1:2" s="13" customFormat="1" x14ac:dyDescent="0.35">
      <c r="A1248" s="12"/>
      <c r="B1248"/>
    </row>
    <row r="1249" spans="1:2" s="13" customFormat="1" x14ac:dyDescent="0.35">
      <c r="A1249" s="12"/>
      <c r="B1249"/>
    </row>
    <row r="1250" spans="1:2" s="13" customFormat="1" x14ac:dyDescent="0.35">
      <c r="A1250" s="12"/>
      <c r="B1250"/>
    </row>
    <row r="1251" spans="1:2" s="13" customFormat="1" x14ac:dyDescent="0.35">
      <c r="A1251" s="12"/>
      <c r="B1251"/>
    </row>
    <row r="1252" spans="1:2" s="13" customFormat="1" x14ac:dyDescent="0.35">
      <c r="A1252" s="12"/>
      <c r="B1252"/>
    </row>
    <row r="1253" spans="1:2" s="13" customFormat="1" x14ac:dyDescent="0.35">
      <c r="A1253" s="12"/>
      <c r="B1253"/>
    </row>
    <row r="1254" spans="1:2" s="13" customFormat="1" x14ac:dyDescent="0.35">
      <c r="A1254" s="12"/>
      <c r="B1254"/>
    </row>
    <row r="1255" spans="1:2" s="13" customFormat="1" x14ac:dyDescent="0.35">
      <c r="A1255" s="12"/>
      <c r="B1255"/>
    </row>
    <row r="1256" spans="1:2" s="13" customFormat="1" x14ac:dyDescent="0.35">
      <c r="A1256" s="12"/>
      <c r="B1256"/>
    </row>
    <row r="1257" spans="1:2" s="13" customFormat="1" x14ac:dyDescent="0.35">
      <c r="A1257" s="12"/>
      <c r="B1257"/>
    </row>
    <row r="1258" spans="1:2" s="13" customFormat="1" x14ac:dyDescent="0.35">
      <c r="A1258" s="12"/>
      <c r="B1258"/>
    </row>
    <row r="1259" spans="1:2" s="13" customFormat="1" x14ac:dyDescent="0.35">
      <c r="A1259" s="12"/>
      <c r="B1259"/>
    </row>
    <row r="1260" spans="1:2" s="13" customFormat="1" x14ac:dyDescent="0.35">
      <c r="A1260" s="12"/>
      <c r="B1260"/>
    </row>
    <row r="1261" spans="1:2" s="13" customFormat="1" x14ac:dyDescent="0.35">
      <c r="A1261" s="12"/>
      <c r="B1261"/>
    </row>
    <row r="1262" spans="1:2" s="13" customFormat="1" x14ac:dyDescent="0.35">
      <c r="A1262" s="12"/>
      <c r="B1262"/>
    </row>
    <row r="1263" spans="1:2" s="13" customFormat="1" x14ac:dyDescent="0.35">
      <c r="A1263" s="12"/>
      <c r="B1263"/>
    </row>
    <row r="1264" spans="1:2" s="13" customFormat="1" x14ac:dyDescent="0.35">
      <c r="A1264" s="12"/>
      <c r="B1264"/>
    </row>
    <row r="1265" spans="1:2" s="13" customFormat="1" x14ac:dyDescent="0.35">
      <c r="A1265" s="12"/>
      <c r="B1265"/>
    </row>
    <row r="1266" spans="1:2" s="13" customFormat="1" x14ac:dyDescent="0.35">
      <c r="A1266" s="12"/>
      <c r="B1266"/>
    </row>
    <row r="1267" spans="1:2" s="13" customFormat="1" x14ac:dyDescent="0.35">
      <c r="A1267" s="12"/>
      <c r="B1267"/>
    </row>
    <row r="1268" spans="1:2" s="13" customFormat="1" x14ac:dyDescent="0.35">
      <c r="A1268" s="12"/>
      <c r="B1268"/>
    </row>
    <row r="1269" spans="1:2" s="13" customFormat="1" x14ac:dyDescent="0.35">
      <c r="A1269" s="12"/>
      <c r="B1269"/>
    </row>
    <row r="1270" spans="1:2" s="13" customFormat="1" x14ac:dyDescent="0.35">
      <c r="A1270" s="12"/>
      <c r="B1270"/>
    </row>
    <row r="1271" spans="1:2" s="13" customFormat="1" x14ac:dyDescent="0.35">
      <c r="A1271" s="12"/>
      <c r="B1271"/>
    </row>
    <row r="1272" spans="1:2" s="13" customFormat="1" x14ac:dyDescent="0.35">
      <c r="A1272" s="12"/>
      <c r="B1272"/>
    </row>
    <row r="1273" spans="1:2" s="13" customFormat="1" x14ac:dyDescent="0.35">
      <c r="A1273" s="12"/>
      <c r="B1273"/>
    </row>
    <row r="1274" spans="1:2" s="13" customFormat="1" x14ac:dyDescent="0.35">
      <c r="A1274" s="12"/>
      <c r="B1274"/>
    </row>
    <row r="1275" spans="1:2" s="13" customFormat="1" x14ac:dyDescent="0.35">
      <c r="A1275" s="12"/>
      <c r="B1275"/>
    </row>
    <row r="1276" spans="1:2" s="13" customFormat="1" x14ac:dyDescent="0.35">
      <c r="A1276" s="12"/>
      <c r="B1276"/>
    </row>
    <row r="1277" spans="1:2" s="13" customFormat="1" x14ac:dyDescent="0.35">
      <c r="A1277" s="12"/>
      <c r="B1277"/>
    </row>
    <row r="1278" spans="1:2" s="13" customFormat="1" x14ac:dyDescent="0.35">
      <c r="A1278" s="12"/>
      <c r="B1278"/>
    </row>
    <row r="1279" spans="1:2" s="13" customFormat="1" x14ac:dyDescent="0.35">
      <c r="A1279" s="12"/>
      <c r="B1279"/>
    </row>
    <row r="1280" spans="1:2" s="13" customFormat="1" x14ac:dyDescent="0.35">
      <c r="A1280" s="12"/>
      <c r="B1280"/>
    </row>
    <row r="1281" spans="1:2" s="13" customFormat="1" x14ac:dyDescent="0.35">
      <c r="A1281" s="12"/>
      <c r="B1281"/>
    </row>
    <row r="1282" spans="1:2" s="13" customFormat="1" x14ac:dyDescent="0.35">
      <c r="A1282" s="12"/>
      <c r="B1282"/>
    </row>
    <row r="1283" spans="1:2" s="13" customFormat="1" x14ac:dyDescent="0.35">
      <c r="A1283" s="12"/>
      <c r="B1283"/>
    </row>
    <row r="1284" spans="1:2" s="13" customFormat="1" x14ac:dyDescent="0.35">
      <c r="A1284" s="12"/>
      <c r="B1284"/>
    </row>
    <row r="1285" spans="1:2" s="13" customFormat="1" x14ac:dyDescent="0.35">
      <c r="A1285" s="12"/>
      <c r="B1285"/>
    </row>
    <row r="1286" spans="1:2" s="13" customFormat="1" x14ac:dyDescent="0.35">
      <c r="A1286" s="12"/>
      <c r="B1286"/>
    </row>
    <row r="1287" spans="1:2" s="13" customFormat="1" x14ac:dyDescent="0.35">
      <c r="A1287" s="12"/>
      <c r="B1287"/>
    </row>
    <row r="1288" spans="1:2" s="13" customFormat="1" x14ac:dyDescent="0.35">
      <c r="A1288" s="12"/>
      <c r="B1288"/>
    </row>
    <row r="1289" spans="1:2" s="13" customFormat="1" x14ac:dyDescent="0.35">
      <c r="A1289" s="12"/>
      <c r="B1289"/>
    </row>
    <row r="1290" spans="1:2" s="13" customFormat="1" x14ac:dyDescent="0.35">
      <c r="A1290" s="12"/>
      <c r="B1290"/>
    </row>
    <row r="1291" spans="1:2" s="13" customFormat="1" x14ac:dyDescent="0.35">
      <c r="A1291" s="12"/>
      <c r="B1291"/>
    </row>
    <row r="1292" spans="1:2" s="13" customFormat="1" x14ac:dyDescent="0.35">
      <c r="A1292" s="12"/>
      <c r="B1292"/>
    </row>
    <row r="1293" spans="1:2" s="13" customFormat="1" x14ac:dyDescent="0.35">
      <c r="A1293" s="12"/>
      <c r="B1293"/>
    </row>
    <row r="1294" spans="1:2" s="13" customFormat="1" x14ac:dyDescent="0.35">
      <c r="A1294" s="12"/>
      <c r="B1294"/>
    </row>
    <row r="1295" spans="1:2" s="13" customFormat="1" x14ac:dyDescent="0.35">
      <c r="A1295" s="12"/>
      <c r="B1295"/>
    </row>
    <row r="1296" spans="1:2" s="13" customFormat="1" x14ac:dyDescent="0.35">
      <c r="A1296" s="12"/>
      <c r="B1296"/>
    </row>
    <row r="1297" spans="1:2" s="13" customFormat="1" x14ac:dyDescent="0.35">
      <c r="A1297" s="12"/>
      <c r="B1297"/>
    </row>
    <row r="1298" spans="1:2" s="13" customFormat="1" x14ac:dyDescent="0.35">
      <c r="A1298" s="12"/>
      <c r="B1298"/>
    </row>
    <row r="1299" spans="1:2" s="13" customFormat="1" x14ac:dyDescent="0.35">
      <c r="A1299" s="12"/>
      <c r="B1299"/>
    </row>
    <row r="1300" spans="1:2" s="13" customFormat="1" x14ac:dyDescent="0.35">
      <c r="A1300" s="12"/>
      <c r="B1300"/>
    </row>
    <row r="1301" spans="1:2" s="13" customFormat="1" x14ac:dyDescent="0.35">
      <c r="A1301" s="12"/>
      <c r="B1301"/>
    </row>
    <row r="1302" spans="1:2" s="13" customFormat="1" x14ac:dyDescent="0.35">
      <c r="A1302" s="12"/>
      <c r="B1302"/>
    </row>
    <row r="1303" spans="1:2" s="13" customFormat="1" x14ac:dyDescent="0.35">
      <c r="A1303" s="12"/>
      <c r="B1303"/>
    </row>
    <row r="1304" spans="1:2" s="13" customFormat="1" x14ac:dyDescent="0.35">
      <c r="A1304" s="12"/>
      <c r="B1304"/>
    </row>
    <row r="1305" spans="1:2" s="13" customFormat="1" x14ac:dyDescent="0.35">
      <c r="A1305" s="12"/>
      <c r="B1305"/>
    </row>
    <row r="1306" spans="1:2" s="13" customFormat="1" x14ac:dyDescent="0.35">
      <c r="A1306" s="12"/>
      <c r="B1306"/>
    </row>
    <row r="1307" spans="1:2" s="13" customFormat="1" x14ac:dyDescent="0.35">
      <c r="A1307" s="12"/>
      <c r="B1307"/>
    </row>
    <row r="1308" spans="1:2" s="13" customFormat="1" x14ac:dyDescent="0.35">
      <c r="A1308" s="12"/>
      <c r="B1308"/>
    </row>
    <row r="1309" spans="1:2" s="13" customFormat="1" x14ac:dyDescent="0.35">
      <c r="A1309" s="12"/>
      <c r="B1309"/>
    </row>
    <row r="1310" spans="1:2" s="13" customFormat="1" x14ac:dyDescent="0.35">
      <c r="A1310" s="12"/>
      <c r="B1310"/>
    </row>
    <row r="1311" spans="1:2" s="13" customFormat="1" x14ac:dyDescent="0.35">
      <c r="A1311" s="12"/>
      <c r="B1311"/>
    </row>
    <row r="1312" spans="1:2" s="13" customFormat="1" x14ac:dyDescent="0.35">
      <c r="A1312" s="12"/>
      <c r="B1312"/>
    </row>
    <row r="1313" spans="1:2" s="13" customFormat="1" x14ac:dyDescent="0.35">
      <c r="A1313" s="12"/>
      <c r="B1313"/>
    </row>
    <row r="1314" spans="1:2" s="13" customFormat="1" x14ac:dyDescent="0.35">
      <c r="A1314" s="12"/>
      <c r="B1314"/>
    </row>
    <row r="1315" spans="1:2" s="13" customFormat="1" x14ac:dyDescent="0.35">
      <c r="A1315" s="12"/>
      <c r="B1315"/>
    </row>
    <row r="1316" spans="1:2" s="13" customFormat="1" x14ac:dyDescent="0.35">
      <c r="A1316" s="12"/>
      <c r="B1316"/>
    </row>
    <row r="1317" spans="1:2" s="13" customFormat="1" x14ac:dyDescent="0.35">
      <c r="A1317" s="12"/>
      <c r="B1317"/>
    </row>
    <row r="1318" spans="1:2" s="13" customFormat="1" x14ac:dyDescent="0.35">
      <c r="A1318" s="12"/>
      <c r="B1318"/>
    </row>
    <row r="1319" spans="1:2" s="13" customFormat="1" x14ac:dyDescent="0.35">
      <c r="A1319" s="12"/>
      <c r="B1319"/>
    </row>
    <row r="1320" spans="1:2" s="13" customFormat="1" x14ac:dyDescent="0.35">
      <c r="A1320" s="12"/>
      <c r="B1320"/>
    </row>
    <row r="1321" spans="1:2" s="13" customFormat="1" x14ac:dyDescent="0.35">
      <c r="A1321" s="12"/>
      <c r="B1321"/>
    </row>
    <row r="1322" spans="1:2" s="13" customFormat="1" x14ac:dyDescent="0.35">
      <c r="A1322" s="12"/>
      <c r="B1322"/>
    </row>
    <row r="1323" spans="1:2" s="13" customFormat="1" x14ac:dyDescent="0.35">
      <c r="A1323" s="12"/>
      <c r="B1323"/>
    </row>
    <row r="1324" spans="1:2" s="13" customFormat="1" x14ac:dyDescent="0.35">
      <c r="A1324" s="12"/>
      <c r="B1324"/>
    </row>
    <row r="1325" spans="1:2" s="13" customFormat="1" x14ac:dyDescent="0.35">
      <c r="A1325" s="12"/>
      <c r="B1325"/>
    </row>
    <row r="1326" spans="1:2" s="13" customFormat="1" x14ac:dyDescent="0.35">
      <c r="A1326" s="12"/>
      <c r="B1326"/>
    </row>
    <row r="1327" spans="1:2" s="13" customFormat="1" x14ac:dyDescent="0.35">
      <c r="A1327" s="12"/>
      <c r="B1327"/>
    </row>
    <row r="1328" spans="1:2" s="13" customFormat="1" x14ac:dyDescent="0.35">
      <c r="A1328" s="12"/>
      <c r="B1328"/>
    </row>
    <row r="1329" spans="1:2" s="13" customFormat="1" x14ac:dyDescent="0.35">
      <c r="A1329" s="12"/>
      <c r="B1329"/>
    </row>
    <row r="1330" spans="1:2" s="13" customFormat="1" x14ac:dyDescent="0.35">
      <c r="A1330" s="12"/>
      <c r="B1330"/>
    </row>
    <row r="1331" spans="1:2" s="13" customFormat="1" x14ac:dyDescent="0.35">
      <c r="A1331" s="12"/>
      <c r="B1331"/>
    </row>
    <row r="1332" spans="1:2" s="13" customFormat="1" x14ac:dyDescent="0.35">
      <c r="A1332" s="12"/>
      <c r="B1332"/>
    </row>
    <row r="1333" spans="1:2" s="13" customFormat="1" x14ac:dyDescent="0.35">
      <c r="A1333" s="12"/>
      <c r="B1333"/>
    </row>
    <row r="1334" spans="1:2" s="13" customFormat="1" x14ac:dyDescent="0.35">
      <c r="A1334" s="12"/>
      <c r="B1334"/>
    </row>
    <row r="1335" spans="1:2" s="13" customFormat="1" x14ac:dyDescent="0.35">
      <c r="A1335" s="12"/>
      <c r="B1335"/>
    </row>
    <row r="1336" spans="1:2" s="13" customFormat="1" x14ac:dyDescent="0.35">
      <c r="A1336" s="12"/>
      <c r="B1336"/>
    </row>
    <row r="1337" spans="1:2" s="13" customFormat="1" x14ac:dyDescent="0.35">
      <c r="A1337" s="12"/>
      <c r="B1337"/>
    </row>
    <row r="1338" spans="1:2" s="13" customFormat="1" x14ac:dyDescent="0.35">
      <c r="A1338" s="12"/>
      <c r="B1338"/>
    </row>
    <row r="1339" spans="1:2" s="13" customFormat="1" x14ac:dyDescent="0.35">
      <c r="A1339" s="12"/>
      <c r="B1339"/>
    </row>
    <row r="1340" spans="1:2" s="13" customFormat="1" x14ac:dyDescent="0.35">
      <c r="A1340" s="12"/>
      <c r="B13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Soil1_20240520_LW Modified_Ca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Trine, Lisandra (she/her/hers)</dc:creator>
  <cp:lastModifiedBy>Wang, Lena (she/her/hers)</cp:lastModifiedBy>
  <dcterms:created xsi:type="dcterms:W3CDTF">2024-06-26T23:35:20Z</dcterms:created>
  <dcterms:modified xsi:type="dcterms:W3CDTF">2024-07-01T17:04:19Z</dcterms:modified>
</cp:coreProperties>
</file>