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4" documentId="8_{CD830842-6402-45DB-925E-C18562718981}" xr6:coauthVersionLast="47" xr6:coauthVersionMax="47" xr10:uidLastSave="{455827E2-70E7-4C40-B1CD-4B9E86C050FC}"/>
  <bookViews>
    <workbookView xWindow="-110" yWindow="-110" windowWidth="19420" windowHeight="10300" tabRatio="679" activeTab="1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<sst xmlns="http://schemas.openxmlformats.org/spreadsheetml/2006/main" count="555" uniqueCount="405">
  <si>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</si>
  <si>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</si>
  <si>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</si>
  <si>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</si>
  <si>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</si>
  <si>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</si>
  <si>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</si>
  <si>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</si>
  <si>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</si>
  <si>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</si>
  <si>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</si>
  <si>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</si>
  <si>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</si>
  <si>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</si>
  <si>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</si>
  <si>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</si>
  <si>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</si>
  <si>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</si>
  <si>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</si>
  <si>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</si>
  <si>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</si>
  <si>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</si>
  <si>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</si>
  <si>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</si>
  <si>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</si>
  <si>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</si>
  <si>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</si>
  <si>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</si>
  <si>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</si>
  <si>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</si>
  <si>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</si>
  <si>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</si>
  <si>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</si>
  <si>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</si>
  <si>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</si>
  <si>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</si>
  <si>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</si>
  <si>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</si>
  <si>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</si>
  <si>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</si>
  <si>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</si>
  <si>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</si>
  <si>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</si>
  <si>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</si>
  <si>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</si>
  <si>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</si>
  <si>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</si>
  <si>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</si>
  <si>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</si>
  <si>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</si>
  <si>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</si>
  <si>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</si>
  <si>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</si>
  <si>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</si>
  <si>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</si>
  <si>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</si>
  <si>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</si>
  <si>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</si>
  <si>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</si>
  <si>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</si>
  <si>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</si>
  <si>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</si>
  <si>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</si>
  <si>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</si>
  <si>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</si>
  <si>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</si>
  <si>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</si>
  <si>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</si>
  <si>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</si>
  <si>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</si>
  <si>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</si>
  <si>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</si>
  <si>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</si>
  <si>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</si>
  <si>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</si>
  <si>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</si>
  <si>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</si>
  <si>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</si>
  <si>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</si>
  <si>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</si>
  <si>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</si>
  <si>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</si>
  <si>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</si>
  <si>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</si>
  <si>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</si>
  <si>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</si>
  <si>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</si>
  <si>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</si>
  <si>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</si>
  <si>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</si>
  <si>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</si>
  <si>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</si>
  <si>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</si>
  <si>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</si>
  <si>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</si>
  <si>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</si>
  <si>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</si>
  <si>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</si>
  <si>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</si>
  <si>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</si>
  <si>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</si>
  <si>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</si>
  <si>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</si>
  <si>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</si>
  <si>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</si>
  <si>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</si>
  <si>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</si>
  <si>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</si>
  <si>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</si>
  <si>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</si>
  <si>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</si>
  <si>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</si>
  <si>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</si>
  <si>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</si>
  <si>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</si>
  <si>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</si>
  <si>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</si>
  <si>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</si>
  <si>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</si>
  <si>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</si>
  <si>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</si>
  <si>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</si>
  <si>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</si>
  <si>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</si>
  <si>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</si>
  <si>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</si>
  <si>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</si>
  <si>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</si>
  <si>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</si>
  <si>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</si>
  <si>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</si>
  <si>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</si>
  <si>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</si>
  <si>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</si>
  <si>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</si>
  <si>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</si>
  <si>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</si>
  <si>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</si>
  <si>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</si>
  <si>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</si>
  <si>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</si>
  <si>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</si>
  <si>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</si>
  <si>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</si>
  <si>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</si>
  <si>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</si>
  <si>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</si>
  <si>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</si>
  <si>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</si>
  <si>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</si>
  <si>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</si>
  <si>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</si>
  <si>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</si>
  <si>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</si>
  <si>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</si>
  <si>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</si>
  <si>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</si>
  <si>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</si>
  <si>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</si>
  <si>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</si>
  <si>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</si>
  <si>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</si>
  <si>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</si>
  <si>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</si>
  <si>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</si>
  <si>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</si>
  <si>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</si>
  <si>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</si>
  <si>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</si>
  <si>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</si>
  <si>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</si>
  <si>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</si>
  <si>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</si>
  <si>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</si>
  <si>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</si>
  <si>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</si>
  <si>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</si>
  <si>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</si>
  <si>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</si>
  <si>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</si>
  <si>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</si>
  <si>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</si>
  <si>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</si>
  <si>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</si>
  <si>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</si>
  <si>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</si>
  <si>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</si>
  <si>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</si>
  <si>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</si>
  <si>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</si>
  <si>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</si>
  <si>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</si>
  <si>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</si>
  <si>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</si>
  <si>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</si>
  <si>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</si>
  <si>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</si>
  <si>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</si>
  <si>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</si>
  <si>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</si>
  <si>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</si>
  <si>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</si>
  <si>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</si>
  <si>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</si>
  <si>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</si>
  <si>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</si>
  <si>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</si>
  <si>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</si>
  <si>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</si>
  <si>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</si>
  <si>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</si>
  <si>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</si>
  <si>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</si>
  <si>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</si>
  <si>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</si>
  <si>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</si>
  <si>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</si>
  <si>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</si>
  <si>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</si>
  <si>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</si>
  <si>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</si>
  <si>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</si>
  <si>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</si>
  <si>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</si>
  <si>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</si>
  <si>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</si>
  <si>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</si>
  <si>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</si>
  <si>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</si>
  <si>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</si>
  <si>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</si>
  <si>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</si>
  <si>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</si>
  <si>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</si>
  <si>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</si>
  <si>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</si>
  <si>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</si>
  <si>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</si>
  <si>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</si>
  <si>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</si>
  <si>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</si>
  <si>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</si>
  <si>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</si>
  <si>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</si>
  <si>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</si>
  <si>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</si>
  <si>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</si>
  <si>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</si>
  <si>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</si>
  <si>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</si>
  <si>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</si>
  <si>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</si>
  <si>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</si>
  <si>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</si>
  <si>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</si>
  <si>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</si>
  <si>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</si>
  <si>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</si>
  <si>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</si>
  <si>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</si>
  <si>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</si>
  <si>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</si>
  <si>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</si>
  <si>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</si>
  <si>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</si>
  <si>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</si>
  <si>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</si>
  <si>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</si>
  <si>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</si>
  <si>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</si>
  <si>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</si>
  <si>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</si>
  <si>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</si>
  <si>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</si>
  <si>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</si>
  <si>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</si>
  <si>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</si>
  <si>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</si>
  <si>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</si>
  <si>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</si>
  <si>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</si>
  <si>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</si>
  <si>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</si>
  <si>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</si>
  <si>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</si>
  <si>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</si>
  <si>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</si>
  <si>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</si>
  <si>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</si>
  <si>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</si>
  <si>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</si>
  <si>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</si>
  <si>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</si>
  <si>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</si>
  <si>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</si>
  <si>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</si>
  <si>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</si>
  <si>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</si>
  <si>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</si>
  <si>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</si>
  <si>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</si>
  <si>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</si>
  <si>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</si>
  <si>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</si>
  <si>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</si>
  <si>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</si>
  <si>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</si>
  <si>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</si>
  <si>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</si>
  <si>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</si>
  <si>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</si>
  <si>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</si>
  <si>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</si>
  <si>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</si>
  <si>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</si>
  <si>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</si>
  <si>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</si>
  <si>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</si>
  <si>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</si>
  <si>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</si>
  <si>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</si>
  <si>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</si>
  <si>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</si>
  <si>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</si>
  <si>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</si>
  <si>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</si>
  <si>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</si>
  <si>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</si>
  <si>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</si>
  <si>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</si>
  <si>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</si>
  <si>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</si>
  <si>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</si>
  <si>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</si>
  <si>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</si>
  <si>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</si>
  <si>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</si>
  <si>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</si>
  <si>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</si>
  <si>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</si>
  <si>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</si>
  <si>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</si>
  <si>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</si>
  <si>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</si>
  <si>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</si>
  <si>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</si>
  <si>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</si>
  <si>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</si>
  <si>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</si>
  <si>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</si>
  <si>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</si>
  <si>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</si>
  <si>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</si>
  <si>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</si>
  <si>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</si>
  <si>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</si>
  <si>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</si>
  <si>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</si>
  <si>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</si>
  <si>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</si>
  <si>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</si>
  <si>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</si>
  <si>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</si>
  <si>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</si>
  <si>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</si>
  <si>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>The Kansas ROAR projects investigates soil health practices influences over nitrate leaching</t>
  </si>
  <si>
    <t>Soil Samples collected from 0-8 inches in Kansas farmlands</t>
  </si>
  <si>
    <t>240517</t>
  </si>
  <si>
    <t xml:space="preserve">20240407_S2_J </t>
  </si>
  <si>
    <t xml:space="preserve">20240407_S3_A </t>
  </si>
  <si>
    <t xml:space="preserve">20240407_S3_B </t>
  </si>
  <si>
    <t xml:space="preserve">20240407_S3_C </t>
  </si>
  <si>
    <t xml:space="preserve">20240407_S3_D </t>
  </si>
  <si>
    <t>20240407_S3_E</t>
  </si>
  <si>
    <t>20240407_S3_F</t>
  </si>
  <si>
    <t xml:space="preserve">20240407_S4_A </t>
  </si>
  <si>
    <t>20240407_S4_A _Dup</t>
  </si>
  <si>
    <t xml:space="preserve">20240407_S4_B </t>
  </si>
  <si>
    <t xml:space="preserve">20240407_S4_C </t>
  </si>
  <si>
    <t xml:space="preserve">20240407_S4_D </t>
  </si>
  <si>
    <t xml:space="preserve">20240407_S4_E </t>
  </si>
  <si>
    <t xml:space="preserve">20240407_S4_F </t>
  </si>
  <si>
    <t xml:space="preserve">20240407_S4_G </t>
  </si>
  <si>
    <t xml:space="preserve">20240407_S4_H </t>
  </si>
  <si>
    <t>20240407_S4_I</t>
  </si>
  <si>
    <t>20240407_S4_J</t>
  </si>
  <si>
    <t xml:space="preserve">20240407_SS1_A </t>
  </si>
  <si>
    <t xml:space="preserve">20240407_SS1_B </t>
  </si>
  <si>
    <t xml:space="preserve">20240407_SS1_C </t>
  </si>
  <si>
    <t xml:space="preserve">20240407_SS1_D </t>
  </si>
  <si>
    <t xml:space="preserve">20240407_SS1_E </t>
  </si>
  <si>
    <t xml:space="preserve">20240407_SS1_F </t>
  </si>
  <si>
    <t xml:space="preserve">20240407_SS1_G </t>
  </si>
  <si>
    <t xml:space="preserve">20240407_SS1_H </t>
  </si>
  <si>
    <t xml:space="preserve">20240407_SS1_I </t>
  </si>
  <si>
    <t xml:space="preserve">20240407_SS1_J </t>
  </si>
  <si>
    <t>20240407_SS1_K</t>
  </si>
  <si>
    <t xml:space="preserve">20240407_W1_A </t>
  </si>
  <si>
    <t xml:space="preserve">20240407_W1_B </t>
  </si>
  <si>
    <t xml:space="preserve">20240407_W1_C </t>
  </si>
  <si>
    <t xml:space="preserve">20240407_W1_D </t>
  </si>
  <si>
    <t xml:space="preserve">20240407_W1_E </t>
  </si>
  <si>
    <t xml:space="preserve">20240407_W1_F </t>
  </si>
  <si>
    <t>20240407_W1_F_Dup</t>
  </si>
  <si>
    <t>Kansas_ROAR_4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</si>
</sst>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workbookViewId="0">
      <selection activeCell="C8" sqref="C8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IC15N-240517-10Kansas_ROAR_4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13">
      <c r="B7" s="37" t="s">
        <v>20</v>
      </c>
      <c r="C7" s="621" t="s">
        <v>365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404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51" t="s">
        <v>98</v>
      </c>
      <c r="C34" s="652"/>
      <c r="D34" s="653"/>
    </row>
    <row r="35" spans="2:4" ht="13">
      <c r="B35" s="34" t="s">
        <v>100</v>
      </c>
      <c r="C35" s="656" t="s">
        <v>99</v>
      </c>
      <c r="D35" s="657"/>
    </row>
    <row r="36" spans="2:4" ht="13">
      <c r="B36" s="35" t="s">
        <v>105</v>
      </c>
      <c r="C36" s="658" t="s">
        <v>104</v>
      </c>
      <c r="D36" s="659"/>
    </row>
    <row r="37" spans="2:4" ht="13">
      <c r="B37" s="35" t="s">
        <v>120</v>
      </c>
      <c r="C37" s="658" t="s">
        <v>122</v>
      </c>
      <c r="D37" s="659"/>
    </row>
    <row r="38" spans="2:4" ht="13">
      <c r="B38" s="48" t="s">
        <v>121</v>
      </c>
      <c r="C38" s="658" t="s">
        <v>106</v>
      </c>
      <c r="D38" s="659"/>
    </row>
    <row r="39" spans="2:4" ht="13">
      <c r="B39" s="644" t="s">
        <v>146</v>
      </c>
      <c r="C39" s="660" t="s">
        <v>108</v>
      </c>
      <c r="D39" s="661"/>
    </row>
    <row r="40" spans="2:4" ht="13">
      <c r="B40" s="645" t="s">
        <v>101</v>
      </c>
      <c r="C40" s="664" t="s">
        <v>107</v>
      </c>
      <c r="D40" s="665"/>
    </row>
    <row r="41" spans="2:4" ht="15">
      <c r="B41" s="437" t="s">
        <v>102</v>
      </c>
      <c r="C41" s="666" t="s">
        <v>147</v>
      </c>
      <c r="D41" s="667"/>
    </row>
    <row r="42" spans="2:4" ht="15">
      <c r="B42" s="437" t="s">
        <v>103</v>
      </c>
      <c r="C42" s="666" t="s">
        <v>148</v>
      </c>
      <c r="D42" s="667"/>
    </row>
    <row r="43" spans="2:4" ht="14.5">
      <c r="B43" s="437" t="s">
        <v>179</v>
      </c>
      <c r="C43" s="668" t="s">
        <v>180</v>
      </c>
      <c r="D43" s="669"/>
    </row>
    <row r="44" spans="2:4" ht="13">
      <c r="B44" s="646" t="s">
        <v>340</v>
      </c>
      <c r="C44" s="654" t="s">
        <v>342</v>
      </c>
      <c r="D44" s="655"/>
    </row>
    <row r="45" spans="2:4" ht="13.5" thickBot="1">
      <c r="B45" s="647" t="s">
        <v>341</v>
      </c>
      <c r="C45" s="662" t="s">
        <v>343</v>
      </c>
      <c r="D45" s="66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C45:D45"/>
    <mergeCell ref="C40:D40"/>
    <mergeCell ref="C41:D41"/>
    <mergeCell ref="C42:D42"/>
    <mergeCell ref="C43:D43"/>
    <mergeCell ref="B34:D34"/>
    <mergeCell ref="C44:D44"/>
    <mergeCell ref="C35:D35"/>
    <mergeCell ref="C36:D36"/>
    <mergeCell ref="C37:D37"/>
    <mergeCell ref="C38:D38"/>
    <mergeCell ref="C39:D39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abSelected="1" topLeftCell="A3" workbookViewId="0">
      <selection activeCell="J21" sqref="J21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0" t="str">
        <f>COVER!C2</f>
        <v>IC15N-240517-10Kansas_ROAR_4</v>
      </c>
      <c r="D2" s="671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368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369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370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371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372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373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374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375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376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377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378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379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380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381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382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383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384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385</v>
      </c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386</v>
      </c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387</v>
      </c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388</v>
      </c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389</v>
      </c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390</v>
      </c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391</v>
      </c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392</v>
      </c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393</v>
      </c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394</v>
      </c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395</v>
      </c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396</v>
      </c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397</v>
      </c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398</v>
      </c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399</v>
      </c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400</v>
      </c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401</v>
      </c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402</v>
      </c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403</v>
      </c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opLeftCell="A25" workbookViewId="0">
      <selection activeCell="C4" sqref="C4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IC15N-240517-10Kansas_ROAR_4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 Samples collected from 0-8 inches in Kansas farmlands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2" t="s">
        <v>35</v>
      </c>
      <c r="F10" s="673"/>
      <c r="G10" s="674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240517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IC15N240517-101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IC15N240517-102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IC15N240517-103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IC15N240517-104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IC15N240517-105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IC15N240517-106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IC15N240517-107</v>
      </c>
      <c r="B23" s="179" t="s">
        <v>43</v>
      </c>
      <c r="C23" s="410" t="str">
        <f>IF('Investigator Data'!B4="","","R1-"&amp;'Investigator Data'!B4)</f>
        <v xml:space="preserve">R1-20240407_S2_J </v>
      </c>
      <c r="D23" s="304">
        <f>IF('Investigator Data'!C4="",$D$8,'Investigator Data'!C4)</f>
        <v>30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IC15N240517-108</v>
      </c>
      <c r="B24" s="179" t="s">
        <v>44</v>
      </c>
      <c r="C24" s="182" t="str">
        <f>IF('Investigator Data'!B5="","",'Investigator Data'!B5)</f>
        <v xml:space="preserve">20240407_S3_A </v>
      </c>
      <c r="D24" s="304">
        <f>IF('Investigator Data'!C5="",$D$8,'Investigator Data'!C5)</f>
        <v>30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IC15N240517-109</v>
      </c>
      <c r="B25" s="179" t="s">
        <v>187</v>
      </c>
      <c r="C25" s="182" t="str">
        <f>IF('Investigator Data'!B6="","",'Investigator Data'!B6)</f>
        <v xml:space="preserve">20240407_S3_B </v>
      </c>
      <c r="D25" s="304">
        <f>IF('Investigator Data'!C6="",$D$8,'Investigator Data'!C6)</f>
        <v>30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IC15N240517-1010</v>
      </c>
      <c r="B26" s="179" t="s">
        <v>188</v>
      </c>
      <c r="C26" s="182" t="str">
        <f>IF('Investigator Data'!B7="","",'Investigator Data'!B7)</f>
        <v xml:space="preserve">20240407_S3_C </v>
      </c>
      <c r="D26" s="304">
        <f>IF('Investigator Data'!C7="",$D$8,'Investigator Data'!C7)</f>
        <v>30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IC15N240517-1011</v>
      </c>
      <c r="B27" s="179" t="s">
        <v>189</v>
      </c>
      <c r="C27" s="182" t="str">
        <f>IF('Investigator Data'!B8="","",'Investigator Data'!B8)</f>
        <v xml:space="preserve">20240407_S3_D </v>
      </c>
      <c r="D27" s="304">
        <f>IF('Investigator Data'!C8="",$D$8,'Investigator Data'!C8)</f>
        <v>30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IC15N240517-1012</v>
      </c>
      <c r="B28" s="179" t="s">
        <v>190</v>
      </c>
      <c r="C28" s="182" t="str">
        <f>IF('Investigator Data'!B9="","",'Investigator Data'!B9)</f>
        <v>20240407_S3_E</v>
      </c>
      <c r="D28" s="304">
        <f>IF('Investigator Data'!C9="",$D$8,'Investigator Data'!C9)</f>
        <v>30</v>
      </c>
      <c r="E28" s="465"/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IC15N240517-1013</v>
      </c>
      <c r="B29" s="179" t="s">
        <v>45</v>
      </c>
      <c r="C29" s="182" t="str">
        <f>IF('Investigator Data'!B10="","",'Investigator Data'!B10)</f>
        <v>20240407_S3_F</v>
      </c>
      <c r="D29" s="304">
        <f>IF('Investigator Data'!C10="",$D$8,'Investigator Data'!C10)</f>
        <v>30</v>
      </c>
      <c r="E29" s="465"/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IC15N240517-1014</v>
      </c>
      <c r="B30" s="179" t="s">
        <v>46</v>
      </c>
      <c r="C30" s="182" t="str">
        <f>IF('Investigator Data'!B11="","",'Investigator Data'!B11)</f>
        <v xml:space="preserve">20240407_S4_A </v>
      </c>
      <c r="D30" s="304">
        <f>IF('Investigator Data'!C11="",$D$8,'Investigator Data'!C11)</f>
        <v>30</v>
      </c>
      <c r="E30" s="465"/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IC15N240517-1015</v>
      </c>
      <c r="B31" s="179" t="s">
        <v>47</v>
      </c>
      <c r="C31" s="182" t="str">
        <f>IF('Investigator Data'!B12="","",'Investigator Data'!B12)</f>
        <v>20240407_S4_A _Dup</v>
      </c>
      <c r="D31" s="304">
        <f>IF('Investigator Data'!C12="",$D$8,'Investigator Data'!C12)</f>
        <v>30</v>
      </c>
      <c r="E31" s="465"/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IC15N240517-1016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IC15N240517-1017</v>
      </c>
      <c r="B33" s="179" t="s">
        <v>49</v>
      </c>
      <c r="C33" s="182" t="str">
        <f>IF('Investigator Data'!B13="","",'Investigator Data'!B13)</f>
        <v xml:space="preserve">20240407_S4_B </v>
      </c>
      <c r="D33" s="304">
        <f>IF('Investigator Data'!C13="",$D$8,'Investigator Data'!C13)</f>
        <v>30</v>
      </c>
      <c r="E33" s="465"/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IC15N240517-1018</v>
      </c>
      <c r="B34" s="179" t="s">
        <v>50</v>
      </c>
      <c r="C34" s="182" t="str">
        <f>IF('Investigator Data'!B14="","",'Investigator Data'!B14)</f>
        <v xml:space="preserve">20240407_S4_C </v>
      </c>
      <c r="D34" s="304">
        <f>IF('Investigator Data'!C14="",$D$8,'Investigator Data'!C14)</f>
        <v>30</v>
      </c>
      <c r="E34" s="465"/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IC15N240517-1019</v>
      </c>
      <c r="B35" s="179" t="s">
        <v>51</v>
      </c>
      <c r="C35" s="182" t="str">
        <f>IF('Investigator Data'!B15="","",'Investigator Data'!B15)</f>
        <v xml:space="preserve">20240407_S4_D </v>
      </c>
      <c r="D35" s="304">
        <f>IF('Investigator Data'!C15="",$D$8,'Investigator Data'!C15)</f>
        <v>30</v>
      </c>
      <c r="E35" s="465"/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IC15N240517-1020</v>
      </c>
      <c r="B36" s="179" t="s">
        <v>52</v>
      </c>
      <c r="C36" s="182" t="str">
        <f>IF('Investigator Data'!B16="","",'Investigator Data'!B16)</f>
        <v xml:space="preserve">20240407_S4_E </v>
      </c>
      <c r="D36" s="304">
        <f>IF('Investigator Data'!C16="",$D$8,'Investigator Data'!C16)</f>
        <v>30</v>
      </c>
      <c r="E36" s="465"/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IC15N240517-1021</v>
      </c>
      <c r="B37" s="179" t="s">
        <v>191</v>
      </c>
      <c r="C37" s="410" t="str">
        <f>IF('Investigator Data'!B17="","","R2-"&amp;'Investigator Data'!B17)</f>
        <v xml:space="preserve">R2-20240407_S4_F </v>
      </c>
      <c r="D37" s="304">
        <f>IF('Investigator Data'!C17="",$D$8,'Investigator Data'!C17)</f>
        <v>30</v>
      </c>
      <c r="E37" s="465"/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IC15N240517-1022</v>
      </c>
      <c r="B38" s="179" t="s">
        <v>192</v>
      </c>
      <c r="C38" s="410" t="str">
        <f>IF('Investigator Data'!B17="","","R2-"&amp;'Investigator Data'!B17)</f>
        <v xml:space="preserve">R2-20240407_S4_F </v>
      </c>
      <c r="D38" s="304">
        <f>IF('Investigator Data'!C17="",$D$8,'Investigator Data'!C17)</f>
        <v>30</v>
      </c>
      <c r="E38" s="465"/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IC15N240517-1023</v>
      </c>
      <c r="B39" s="179" t="s">
        <v>193</v>
      </c>
      <c r="C39" s="182" t="str">
        <f>IF('Investigator Data'!B18="","",'Investigator Data'!B18)</f>
        <v xml:space="preserve">20240407_S4_G </v>
      </c>
      <c r="D39" s="304">
        <f>IF('Investigator Data'!C18="",$D$8,'Investigator Data'!C18)</f>
        <v>30</v>
      </c>
      <c r="E39" s="465"/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IC15N240517-1024</v>
      </c>
      <c r="B40" s="179" t="s">
        <v>194</v>
      </c>
      <c r="C40" s="182" t="str">
        <f>IF('Investigator Data'!B19="","",'Investigator Data'!B19)</f>
        <v xml:space="preserve">20240407_S4_H </v>
      </c>
      <c r="D40" s="304">
        <f>IF('Investigator Data'!C19="",$D$8,'Investigator Data'!C19)</f>
        <v>30</v>
      </c>
      <c r="E40" s="465"/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IC15N240517-1025</v>
      </c>
      <c r="B41" s="179" t="s">
        <v>174</v>
      </c>
      <c r="C41" s="182" t="str">
        <f>IF('Investigator Data'!B20="","",'Investigator Data'!B20)</f>
        <v>20240407_S4_I</v>
      </c>
      <c r="D41" s="304">
        <f>IF('Investigator Data'!C20="",$D$8,'Investigator Data'!C20)</f>
        <v>30</v>
      </c>
      <c r="E41" s="465"/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IC15N240517-1026</v>
      </c>
      <c r="B42" s="179" t="s">
        <v>53</v>
      </c>
      <c r="C42" s="182" t="str">
        <f>IF('Investigator Data'!B21="","",'Investigator Data'!B21)</f>
        <v>20240407_S4_J</v>
      </c>
      <c r="D42" s="304">
        <f>IF('Investigator Data'!C21="",$D$8,'Investigator Data'!C21)</f>
        <v>30</v>
      </c>
      <c r="E42" s="465"/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IC15N240517-1027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IC15N240517-1028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IC15N240517-1029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IC15N240517-1030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IC15N240517-1031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IC15N240517-1032</v>
      </c>
      <c r="B48" s="179" t="s">
        <v>59</v>
      </c>
      <c r="C48" s="183" t="str">
        <f>IF('Investigator Data'!B22="","",'Investigator Data'!B22)</f>
        <v xml:space="preserve">20240407_SS1_A </v>
      </c>
      <c r="D48" s="304">
        <f>IF('Investigator Data'!C22="",$D$8,'Investigator Data'!C22)</f>
        <v>30</v>
      </c>
      <c r="E48" s="465"/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IC15N240517-1033</v>
      </c>
      <c r="B49" s="179" t="s">
        <v>195</v>
      </c>
      <c r="C49" s="183" t="str">
        <f>IF('Investigator Data'!B23="","",'Investigator Data'!B23)</f>
        <v xml:space="preserve">20240407_SS1_B </v>
      </c>
      <c r="D49" s="304">
        <f>IF('Investigator Data'!C23="",$D$8,'Investigator Data'!C23)</f>
        <v>30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IC15N240517-1034</v>
      </c>
      <c r="B50" s="179" t="s">
        <v>196</v>
      </c>
      <c r="C50" s="183" t="str">
        <f>IF('Investigator Data'!B24="","",'Investigator Data'!B24)</f>
        <v xml:space="preserve">20240407_SS1_C </v>
      </c>
      <c r="D50" s="304">
        <f>IF('Investigator Data'!C24="",$D$8,'Investigator Data'!C24)</f>
        <v>30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IC15N240517-1035</v>
      </c>
      <c r="B51" s="179" t="s">
        <v>197</v>
      </c>
      <c r="C51" s="183" t="str">
        <f>IF('Investigator Data'!B25="","",'Investigator Data'!B25)</f>
        <v xml:space="preserve">20240407_SS1_D </v>
      </c>
      <c r="D51" s="304">
        <f>IF('Investigator Data'!C25="",$D$8,'Investigator Data'!C25)</f>
        <v>30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IC15N240517-1036</v>
      </c>
      <c r="B52" s="179" t="s">
        <v>198</v>
      </c>
      <c r="C52" s="183" t="str">
        <f>IF('Investigator Data'!B26="","",'Investigator Data'!B26)</f>
        <v xml:space="preserve">20240407_SS1_E </v>
      </c>
      <c r="D52" s="304">
        <f>IF('Investigator Data'!C26="",$D$8,'Investigator Data'!C26)</f>
        <v>30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IC15N240517-1037</v>
      </c>
      <c r="B53" s="179" t="s">
        <v>60</v>
      </c>
      <c r="C53" s="183" t="str">
        <f>IF('Investigator Data'!B27="","",'Investigator Data'!B27)</f>
        <v xml:space="preserve">20240407_SS1_F </v>
      </c>
      <c r="D53" s="304">
        <f>IF('Investigator Data'!C27="",$D$8,'Investigator Data'!C27)</f>
        <v>30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IC15N240517-1038</v>
      </c>
      <c r="B54" s="179" t="s">
        <v>61</v>
      </c>
      <c r="C54" s="183" t="str">
        <f>IF('Investigator Data'!B28="","",'Investigator Data'!B28)</f>
        <v xml:space="preserve">20240407_SS1_G </v>
      </c>
      <c r="D54" s="304">
        <f>IF('Investigator Data'!C28="",$D$8,'Investigator Data'!C28)</f>
        <v>30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IC15N240517-1039</v>
      </c>
      <c r="B55" s="179" t="s">
        <v>62</v>
      </c>
      <c r="C55" s="183" t="str">
        <f>IF('Investigator Data'!B29="","",'Investigator Data'!B29)</f>
        <v xml:space="preserve">20240407_SS1_H </v>
      </c>
      <c r="D55" s="304">
        <f>IF('Investigator Data'!C29="",$D$8,'Investigator Data'!C29)</f>
        <v>30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IC15N240517-1040</v>
      </c>
      <c r="B56" s="179" t="s">
        <v>63</v>
      </c>
      <c r="C56" s="183" t="str">
        <f>IF('Investigator Data'!B30="","",'Investigator Data'!B30)</f>
        <v xml:space="preserve">20240407_SS1_I </v>
      </c>
      <c r="D56" s="304">
        <f>IF('Investigator Data'!C30="",$D$8,'Investigator Data'!C30)</f>
        <v>30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IC15N240517-1041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IC15N240517-1042</v>
      </c>
      <c r="B58" s="179" t="s">
        <v>65</v>
      </c>
      <c r="C58" s="183" t="str">
        <f>IF('Investigator Data'!B31="","",'Investigator Data'!B31)</f>
        <v xml:space="preserve">20240407_SS1_J </v>
      </c>
      <c r="D58" s="304">
        <f>IF('Investigator Data'!C31="",$D$8,'Investigator Data'!C31)</f>
        <v>30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IC15N240517-1043</v>
      </c>
      <c r="B59" s="179" t="s">
        <v>11</v>
      </c>
      <c r="C59" s="183" t="str">
        <f>IF('Investigator Data'!B32="","",'Investigator Data'!B32)</f>
        <v>20240407_SS1_K</v>
      </c>
      <c r="D59" s="304">
        <f>IF('Investigator Data'!C32="",$D$8,'Investigator Data'!C32)</f>
        <v>30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IC15N240517-1044</v>
      </c>
      <c r="B60" s="179" t="s">
        <v>12</v>
      </c>
      <c r="C60" s="183" t="str">
        <f>IF('Investigator Data'!B33="","",'Investigator Data'!B33)</f>
        <v xml:space="preserve">20240407_W1_A </v>
      </c>
      <c r="D60" s="304">
        <f>IF('Investigator Data'!C33="",$D$8,'Investigator Data'!C33)</f>
        <v>30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IC15N240517-1045</v>
      </c>
      <c r="B61" s="179" t="s">
        <v>199</v>
      </c>
      <c r="C61" s="183" t="str">
        <f>IF('Investigator Data'!B34="","",'Investigator Data'!B34)</f>
        <v xml:space="preserve">20240407_W1_B </v>
      </c>
      <c r="D61" s="304">
        <f>IF('Investigator Data'!C34="",$D$8,'Investigator Data'!C34)</f>
        <v>30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IC15N240517-1046</v>
      </c>
      <c r="B62" s="179" t="s">
        <v>200</v>
      </c>
      <c r="C62" s="183" t="str">
        <f>IF('Investigator Data'!B35="","",'Investigator Data'!B35)</f>
        <v xml:space="preserve">20240407_W1_C </v>
      </c>
      <c r="D62" s="304">
        <f>IF('Investigator Data'!C35="",$D$8,'Investigator Data'!C35)</f>
        <v>30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IC15N240517-1047</v>
      </c>
      <c r="B63" s="179" t="s">
        <v>201</v>
      </c>
      <c r="C63" s="183" t="str">
        <f>IF('Investigator Data'!B36="","",'Investigator Data'!B36)</f>
        <v xml:space="preserve">20240407_W1_D </v>
      </c>
      <c r="D63" s="304">
        <f>IF('Investigator Data'!C36="",$D$8,'Investigator Data'!C36)</f>
        <v>30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IC15N240517-1048</v>
      </c>
      <c r="B64" s="179" t="s">
        <v>202</v>
      </c>
      <c r="C64" s="183" t="str">
        <f>IF('Investigator Data'!B37="","",'Investigator Data'!B37)</f>
        <v xml:space="preserve">20240407_W1_E </v>
      </c>
      <c r="D64" s="304">
        <f>IF('Investigator Data'!C37="",$D$8,'Investigator Data'!C37)</f>
        <v>30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IC15N240517-1049</v>
      </c>
      <c r="B65" s="179" t="s">
        <v>13</v>
      </c>
      <c r="C65" s="183" t="str">
        <f>IF('Investigator Data'!B38="","",'Investigator Data'!B38)</f>
        <v xml:space="preserve">20240407_W1_F </v>
      </c>
      <c r="D65" s="304">
        <f>IF('Investigator Data'!C38="",$D$8,'Investigator Data'!C38)</f>
        <v>30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IC15N240517-1050</v>
      </c>
      <c r="B66" s="179" t="s">
        <v>167</v>
      </c>
      <c r="C66" s="183" t="str">
        <f>IF('Investigator Data'!B39="","",'Investigator Data'!B39)</f>
        <v>20240407_W1_F_Dup</v>
      </c>
      <c r="D66" s="304">
        <f>IF('Investigator Data'!C39="",$D$8,'Investigator Data'!C39)</f>
        <v>30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IC15N240517-1051</v>
      </c>
      <c r="B67" s="179" t="s">
        <v>168</v>
      </c>
      <c r="C67" s="410" t="str">
        <f>IF('Investigator Data'!B4="","","R1-"&amp;'Investigator Data'!B4)</f>
        <v xml:space="preserve">R1-20240407_S2_J </v>
      </c>
      <c r="D67" s="304">
        <f>IF('Investigator Data'!C4="",$D$8,'Investigator Data'!C4)</f>
        <v>30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IC15N240517-1052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IC15N240517-1053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IC15N240517-1054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IC15N240517-1055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IC15N240517-1056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IC15N-240517-10Kansas_ROAR_4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20240407_S2_J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20240407_S4_F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20240407_S2_J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20240407_S4_F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5"/>
      <c r="Q38" s="676"/>
      <c r="R38" s="677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R1-20240407_S2_J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R1-20240407_S2_J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R2-20240407_S4_F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R2-20240407_S4_F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IC15N-240517-10Kansas_ROAR_4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R1-20240407_S2_J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20240407_S3_A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20240407_S3_B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20240407_S3_C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20240407_S3_D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20240407_S3_E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20240407_S3_F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20240407_S4_A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>20240407_S4_A _Dup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20240407_S4_B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20240407_S4_C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20240407_S4_D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20240407_S4_E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R2-20240407_S4_F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R2-20240407_S4_F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20240407_S4_G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20240407_S4_H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20240407_S4_I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>20240407_S4_J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20240407_SS1_A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20240407_SS1_B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20240407_SS1_C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20240407_SS1_D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20240407_SS1_E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20240407_SS1_F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20240407_SS1_G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20240407_SS1_H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20240407_SS1_I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 xml:space="preserve">20240407_SS1_J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>20240407_SS1_K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20240407_W1_A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20240407_W1_B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20240407_W1_C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20240407_W1_D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20240407_W1_E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20240407_W1_F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>20240407_W1_F_Dup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R1-20240407_S2_J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IC15N-240517-10Kansas_ROAR_4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IC15N-240517-10Kansas_ROAR_4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43971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8" t="s">
        <v>321</v>
      </c>
      <c r="F27" s="679"/>
    </row>
    <row r="28" spans="1:8">
      <c r="E28" s="620" t="str">
        <f ca="1">TEXT(E24,"yymmdd")</f>
        <v>240521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2016-12-02T18:38:25Z</cp:lastPrinted>
  <dcterms:created xsi:type="dcterms:W3CDTF">2000-03-01T21:58:50Z</dcterms:created>
  <dcterms:modified xsi:type="dcterms:W3CDTF">2024-05-21T15:32:13Z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