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ROAR Soil Health\Data\Isotope\"/>
    </mc:Choice>
  </mc:AlternateContent>
  <xr:revisionPtr revIDLastSave="0" documentId="8_{57EF743A-0386-4B95-B3DF-3F987B61BC4B}" xr6:coauthVersionLast="47" xr6:coauthVersionMax="47" xr10:uidLastSave="{00000000-0000-0000-0000-000000000000}"/>
  <bookViews>
    <workbookView xWindow="28680" yWindow="-120" windowWidth="29040" windowHeight="1752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6395" l="1"/>
  <c r="O5" i="6395"/>
  <c r="O8" i="6395"/>
  <c r="O9" i="6395"/>
  <c r="D32" i="6398"/>
  <c r="D31" i="6398"/>
  <c r="D30" i="6398"/>
  <c r="D32" i="6396"/>
  <c r="D30" i="6396"/>
  <c r="O17" i="6395"/>
  <c r="I16" i="6393" l="1"/>
  <c r="G20" i="6393" l="1"/>
  <c r="H20" i="6393"/>
  <c r="G21" i="6393"/>
  <c r="H21" i="6393"/>
  <c r="G22" i="6393"/>
  <c r="H22" i="6393"/>
  <c r="G23" i="6393"/>
  <c r="H23" i="6393"/>
  <c r="G24" i="6393"/>
  <c r="H24" i="6393"/>
  <c r="G25" i="6393"/>
  <c r="H25" i="6393"/>
  <c r="G26" i="6393"/>
  <c r="H26" i="6393"/>
  <c r="G27" i="6393"/>
  <c r="H27" i="6393"/>
  <c r="G28" i="6393"/>
  <c r="H28" i="6393"/>
  <c r="G29" i="6393"/>
  <c r="H29" i="6393"/>
  <c r="G30" i="6393"/>
  <c r="H30" i="6393"/>
  <c r="G31" i="6393"/>
  <c r="H31" i="6393"/>
  <c r="G32" i="6393"/>
  <c r="H32" i="6393"/>
  <c r="G33" i="6393"/>
  <c r="H33" i="6393"/>
  <c r="G34" i="6393"/>
  <c r="H34" i="6393"/>
  <c r="G35" i="6393"/>
  <c r="H35" i="6393"/>
  <c r="G36" i="6393"/>
  <c r="H36" i="6393"/>
  <c r="G37" i="6393"/>
  <c r="H37" i="6393"/>
  <c r="G38" i="6393"/>
  <c r="H38" i="6393"/>
  <c r="G39" i="6393"/>
  <c r="H39" i="6393"/>
  <c r="G40" i="6393"/>
  <c r="H40" i="6393"/>
  <c r="G41" i="6393"/>
  <c r="H41" i="6393"/>
  <c r="G42" i="6393"/>
  <c r="H42" i="6393"/>
  <c r="G43" i="6393"/>
  <c r="H43" i="6393"/>
  <c r="G44" i="6393"/>
  <c r="H44" i="6393"/>
  <c r="G45" i="6393"/>
  <c r="H45" i="6393"/>
  <c r="G46" i="6393"/>
  <c r="H46" i="6393"/>
  <c r="G47" i="6393"/>
  <c r="H47" i="6393"/>
  <c r="G48" i="6393"/>
  <c r="H48" i="6393"/>
  <c r="G49" i="6393"/>
  <c r="H49" i="6393"/>
  <c r="G50" i="6393"/>
  <c r="H50" i="6393"/>
  <c r="G51" i="6393"/>
  <c r="H51" i="6393"/>
  <c r="G52" i="6393"/>
  <c r="H52" i="6393"/>
  <c r="G53" i="6393"/>
  <c r="H53" i="6393"/>
  <c r="G54" i="6393"/>
  <c r="H54" i="6393"/>
  <c r="G55" i="6393"/>
  <c r="H55" i="6393"/>
  <c r="G56" i="6393"/>
  <c r="H56" i="6393"/>
  <c r="G57" i="6393"/>
  <c r="H57" i="6393"/>
  <c r="G58" i="6393"/>
  <c r="H58" i="6393"/>
  <c r="G59" i="6393"/>
  <c r="H59" i="6393"/>
  <c r="G60" i="6393"/>
  <c r="H60" i="6393"/>
  <c r="G61" i="6393"/>
  <c r="H61" i="6393"/>
  <c r="G62" i="6393"/>
  <c r="H62" i="6393"/>
  <c r="G63" i="6393"/>
  <c r="H63" i="6393"/>
  <c r="G64" i="6393"/>
  <c r="H64" i="6393"/>
  <c r="G65" i="6393"/>
  <c r="H65" i="6393"/>
  <c r="G66" i="6393"/>
  <c r="H66" i="6393"/>
  <c r="G67" i="6393"/>
  <c r="H67" i="6393"/>
  <c r="G68" i="6393"/>
  <c r="H68" i="6393"/>
  <c r="G69" i="6393"/>
  <c r="H69" i="6393"/>
  <c r="G70" i="6393"/>
  <c r="H70" i="6393"/>
  <c r="G71" i="6393"/>
  <c r="H71" i="6393"/>
  <c r="G72" i="6393"/>
  <c r="H72" i="6393"/>
  <c r="G19" i="6393"/>
  <c r="H19" i="6393"/>
  <c r="D12" i="6393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G18" i="6395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G8" i="6395"/>
  <c r="C31" i="6398"/>
  <c r="F8" i="6395" s="1"/>
  <c r="B31" i="6398"/>
  <c r="E8" i="6395" s="1"/>
  <c r="L8" i="6395"/>
  <c r="B32" i="6398"/>
  <c r="E9" i="6395" s="1"/>
  <c r="O41" i="6395"/>
  <c r="C32" i="6398"/>
  <c r="F9" i="6395" s="1"/>
  <c r="G9" i="6395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G16" i="6395"/>
  <c r="E30" i="6396"/>
  <c r="C30" i="6396"/>
  <c r="F16" i="6395" s="1"/>
  <c r="F2" i="6395"/>
  <c r="B1" i="6396"/>
  <c r="H30" i="6398"/>
  <c r="L7" i="6395" s="1"/>
  <c r="B30" i="6396"/>
  <c r="E16" i="6395" s="1"/>
  <c r="G7" i="6395"/>
  <c r="H30" i="6396"/>
  <c r="L16" i="6395" s="1"/>
  <c r="F30" i="6396"/>
  <c r="J16" i="6395" s="1"/>
  <c r="B30" i="6398"/>
  <c r="E7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<sst xmlns="http://schemas.openxmlformats.org/spreadsheetml/2006/main" count="620" uniqueCount="463">
  <si>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</si>
  <si>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</si>
  <si>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</si>
  <si>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</si>
  <si>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</si>
  <si>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</si>
  <si>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</si>
  <si>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</si>
  <si>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</si>
  <si>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</si>
  <si>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</si>
  <si>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</si>
  <si>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</si>
  <si>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</si>
  <si>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</si>
  <si>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</si>
  <si>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</si>
  <si>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</si>
  <si>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</si>
  <si>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</si>
  <si>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</si>
  <si>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</si>
  <si>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</si>
  <si>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</si>
  <si>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</si>
  <si>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</si>
  <si>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</si>
  <si>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</si>
  <si>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</si>
  <si>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</si>
  <si>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</si>
  <si>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</si>
  <si>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</si>
  <si>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</si>
  <si>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</si>
  <si>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</si>
  <si>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</si>
  <si>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</si>
  <si>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</si>
  <si>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</si>
  <si>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</si>
  <si>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</si>
  <si>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</si>
  <si>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</si>
  <si>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</si>
  <si>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</si>
  <si>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</si>
  <si>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</si>
  <si>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</si>
  <si>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</si>
  <si>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</si>
  <si>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</si>
  <si>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</si>
  <si>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</si>
  <si>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</si>
  <si>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</si>
  <si>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</si>
  <si>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</si>
  <si>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</si>
  <si>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</si>
  <si>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</si>
  <si>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</si>
  <si>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</si>
  <si>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</si>
  <si>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</si>
  <si>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</si>
  <si>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</si>
  <si>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</si>
  <si>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</si>
  <si>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</si>
  <si>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</si>
  <si>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</si>
  <si>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</si>
  <si>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</si>
  <si>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</si>
  <si>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</si>
  <si>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</si>
  <si>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</si>
  <si>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</si>
  <si>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</si>
  <si>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</si>
  <si>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</si>
  <si>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</si>
  <si>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</si>
  <si>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</si>
  <si>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</si>
  <si>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</si>
  <si>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</si>
  <si>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</si>
  <si>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</si>
  <si>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</si>
  <si>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</si>
  <si>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</si>
  <si>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</si>
  <si>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</si>
  <si>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</si>
  <si>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</si>
  <si>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</si>
  <si>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</si>
  <si>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</si>
  <si>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</si>
  <si>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</si>
  <si>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</si>
  <si>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</si>
  <si>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</si>
  <si>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</si>
  <si>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</si>
  <si>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</si>
  <si>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</si>
  <si>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</si>
  <si>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</si>
  <si>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</si>
  <si>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</si>
  <si>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</si>
  <si>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</si>
  <si>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</si>
  <si>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</si>
  <si>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</si>
  <si>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</si>
  <si>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</si>
  <si>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</si>
  <si>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</si>
  <si>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</si>
  <si>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</si>
  <si>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</si>
  <si>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</si>
  <si>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</si>
  <si>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</si>
  <si>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</si>
  <si>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</si>
  <si>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</si>
  <si>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</si>
  <si>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</si>
  <si>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</si>
  <si>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</si>
  <si>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</si>
  <si>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</si>
  <si>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</si>
  <si>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</si>
  <si>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</si>
  <si>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</si>
  <si>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</si>
  <si>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</si>
  <si>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</si>
  <si>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</si>
  <si>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</si>
  <si>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</si>
  <si>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</si>
  <si>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</si>
  <si>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</si>
  <si>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</si>
  <si>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</si>
  <si>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</si>
  <si>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</si>
  <si>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</si>
  <si>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</si>
  <si>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</si>
  <si>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</si>
  <si>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</si>
  <si>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</si>
  <si>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</si>
  <si>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</si>
  <si>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</si>
  <si>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</si>
  <si>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</si>
  <si>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</si>
  <si>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</si>
  <si>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</si>
  <si>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</si>
  <si>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</si>
  <si>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</si>
  <si>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</si>
  <si>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</si>
  <si>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</si>
  <si>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</si>
  <si>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</si>
  <si>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</si>
  <si>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</si>
  <si>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</si>
  <si>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</si>
  <si>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</si>
  <si>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</si>
  <si>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</si>
  <si>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</si>
  <si>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</si>
  <si>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</si>
  <si>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</si>
  <si>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</si>
  <si>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</si>
  <si>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</si>
  <si>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</si>
  <si>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</si>
  <si>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</si>
  <si>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</si>
  <si>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</si>
  <si>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</si>
  <si>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</si>
  <si>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</si>
  <si>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</si>
  <si>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</si>
  <si>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</si>
  <si>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</si>
  <si>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</si>
  <si>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</si>
  <si>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</si>
  <si>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</si>
  <si>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</si>
  <si>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</si>
  <si>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</si>
  <si>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</si>
  <si>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</si>
  <si>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</si>
  <si>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</si>
  <si>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</si>
  <si>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</si>
  <si>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</si>
  <si>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</si>
  <si>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</si>
  <si>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</si>
  <si>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</si>
  <si>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</si>
  <si>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</si>
  <si>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</si>
  <si>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</si>
  <si>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</si>
  <si>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</si>
  <si>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</si>
  <si>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</si>
  <si>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</si>
  <si>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</si>
  <si>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</si>
  <si>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</si>
  <si>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</si>
  <si>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</si>
  <si>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</si>
  <si>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</si>
  <si>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</si>
  <si>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</si>
  <si>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</si>
  <si>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</si>
  <si>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</si>
  <si>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</si>
  <si>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</si>
  <si>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</si>
  <si>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</si>
  <si>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</si>
  <si>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</si>
  <si>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</si>
  <si>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</si>
  <si>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</si>
  <si>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</si>
  <si>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</si>
  <si>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</si>
  <si>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</si>
  <si>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</si>
  <si>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</si>
  <si>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</si>
  <si>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</si>
  <si>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</si>
  <si>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</si>
  <si>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</si>
  <si>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</si>
  <si>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</si>
  <si>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</si>
  <si>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</si>
  <si>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</si>
  <si>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</si>
  <si>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</si>
  <si>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</si>
  <si>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</si>
  <si>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</si>
  <si>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</si>
  <si>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</si>
  <si>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</si>
  <si>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</si>
  <si>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</si>
  <si>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</si>
  <si>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</si>
  <si>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</si>
  <si>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</si>
  <si>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</si>
  <si>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</si>
  <si>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</si>
  <si>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</si>
  <si>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</si>
  <si>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</si>
  <si>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</si>
  <si>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</si>
  <si>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</si>
  <si>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</si>
  <si>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</si>
  <si>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</si>
  <si>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</si>
  <si>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</si>
  <si>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</si>
  <si>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</si>
  <si>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</si>
  <si>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</si>
  <si>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</si>
  <si>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</si>
  <si>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</si>
  <si>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</si>
  <si>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</si>
  <si>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</si>
  <si>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</si>
  <si>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</si>
  <si>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</si>
  <si>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</si>
  <si>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</si>
  <si>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</si>
  <si>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</si>
  <si>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</si>
  <si>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</si>
  <si>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</si>
  <si>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</si>
  <si>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</si>
  <si>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</si>
  <si>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</si>
  <si>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</si>
  <si>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</si>
  <si>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</si>
  <si>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</si>
  <si>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</si>
  <si>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</si>
  <si>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</si>
  <si>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</si>
  <si>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</si>
  <si>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</si>
  <si>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</si>
  <si>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</si>
  <si>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</si>
  <si>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</si>
  <si>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</si>
  <si>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</si>
  <si>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</si>
  <si>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</si>
  <si>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</si>
  <si>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</si>
  <si>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</si>
  <si>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</si>
  <si>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</si>
  <si>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</si>
  <si>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</si>
  <si>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</si>
  <si>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</si>
  <si>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</si>
  <si>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</si>
  <si>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</si>
  <si>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</si>
  <si>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</si>
  <si>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</si>
  <si>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</si>
  <si>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</si>
  <si>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</si>
  <si>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</si>
  <si>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</si>
  <si>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</si>
  <si>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</si>
  <si>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</si>
  <si>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</si>
  <si>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</si>
  <si>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</si>
  <si>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</si>
  <si>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</si>
  <si>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and Oregon PINE</t>
  </si>
  <si>
    <t>The Kansas ROAR projects investigates soil health practices influences over nitrate leaching (Soil Samples collected from 0-8 inches in Kansas farmlands)</t>
  </si>
  <si>
    <t>Soil</t>
  </si>
  <si>
    <t>241218</t>
  </si>
  <si>
    <t>KansasROARCarbon-1</t>
  </si>
  <si>
    <t xml:space="preserve">20231120_E1_A </t>
  </si>
  <si>
    <t xml:space="preserve">20231120_E1_B </t>
  </si>
  <si>
    <t xml:space="preserve">20231120_E1_C </t>
  </si>
  <si>
    <t xml:space="preserve">20231120_E1_D </t>
  </si>
  <si>
    <t xml:space="preserve">20231120_E1_E </t>
  </si>
  <si>
    <t xml:space="preserve">20231120_E1_F </t>
  </si>
  <si>
    <t xml:space="preserve">20231120_E1_G </t>
  </si>
  <si>
    <t xml:space="preserve">20231120_E1_H </t>
  </si>
  <si>
    <t xml:space="preserve">20231120_E1_I </t>
  </si>
  <si>
    <t>20231120_E2_A</t>
  </si>
  <si>
    <t xml:space="preserve">20231120_E2_B </t>
  </si>
  <si>
    <t xml:space="preserve">20231120_E2_C </t>
  </si>
  <si>
    <t xml:space="preserve">20231120_E2_D </t>
  </si>
  <si>
    <t xml:space="preserve">20231120_E2_E </t>
  </si>
  <si>
    <t xml:space="preserve">20231120_E2_F </t>
  </si>
  <si>
    <t xml:space="preserve">20231120_E2_G </t>
  </si>
  <si>
    <t xml:space="preserve">20231120_E3_A </t>
  </si>
  <si>
    <t xml:space="preserve">20231120_E3_B </t>
  </si>
  <si>
    <t xml:space="preserve">20231120_E3_C </t>
  </si>
  <si>
    <t xml:space="preserve">20231120_E3_D </t>
  </si>
  <si>
    <t xml:space="preserve">20231120_E3_E </t>
  </si>
  <si>
    <t xml:space="preserve">20231120_E3_F </t>
  </si>
  <si>
    <t xml:space="preserve">20231120_E3_G </t>
  </si>
  <si>
    <t xml:space="preserve">20231120_E3_H </t>
  </si>
  <si>
    <t xml:space="preserve">20231120_E3_I </t>
  </si>
  <si>
    <t xml:space="preserve">20231120_S2_A </t>
  </si>
  <si>
    <t xml:space="preserve">20231120_S2_B </t>
  </si>
  <si>
    <t>20231120_S2_B_Dup</t>
  </si>
  <si>
    <t xml:space="preserve">20231120_S2_C </t>
  </si>
  <si>
    <t xml:space="preserve">20231120_S2_D </t>
  </si>
  <si>
    <t xml:space="preserve">20231120_S2_E </t>
  </si>
  <si>
    <t xml:space="preserve">20231120_S2_F </t>
  </si>
  <si>
    <t xml:space="preserve">20231120_S2_G </t>
  </si>
  <si>
    <t>20231120_S2_H</t>
  </si>
  <si>
    <t xml:space="preserve">20231120_S2_I </t>
  </si>
  <si>
    <t xml:space="preserve">20231120_S2_J </t>
  </si>
  <si>
    <t xml:space="preserve">  / </t>
  </si>
  <si>
    <t>IC15N-241218-10KansasRoarCarbon-1-Run2_1.raw</t>
  </si>
  <si>
    <t>IC15N-241218-10KansasRoarCarbon-1-Run2_2.raw</t>
  </si>
  <si>
    <t>IC15N-241218-10KansasRoarCarbon-1-Run2_3.raw</t>
  </si>
  <si>
    <t>IC15N-241218-10KansasRoarCarbon-1-Run2_4.raw</t>
  </si>
  <si>
    <t>IC15N-241218-10KansasRoarCarbon-1-Run2_5.raw</t>
  </si>
  <si>
    <t>IC15N-241218-10KansasRoarCarbon-1-Run2_6.raw</t>
  </si>
  <si>
    <t>IC15N-241218-10KansasRoarCarbon-1-Run2_7.raw</t>
  </si>
  <si>
    <t>IC15N-241218-10KansasRoarCarbon-1-Run2_8.raw</t>
  </si>
  <si>
    <t>IC15N-241218-10KansasRoarCarbon-1-Run2_9.raw</t>
  </si>
  <si>
    <t>IC15N-241218-10KansasRoarCarbon-1-Run2_10.raw</t>
  </si>
  <si>
    <t>IC15N-241218-10KansasRoarCarbon-1-Run2_11.raw</t>
  </si>
  <si>
    <t>IC15N-241218-10KansasRoarCarbon-1-Run2_12.raw</t>
  </si>
  <si>
    <t>IC15N-241218-10KansasRoarCarbon-1-Run2_13.raw</t>
  </si>
  <si>
    <t>IC15N-241218-10KansasRoarCarbon-1-Run2_14.raw</t>
  </si>
  <si>
    <t>IC15N-241218-10KansasRoarCarbon-1-Run2_15.raw</t>
  </si>
  <si>
    <t>IC15N-241218-10KansasRoarCarbon-1-Run2_16.raw</t>
  </si>
  <si>
    <t>IC15N-241218-10KansasRoarCarbon-1-Run2_17.raw</t>
  </si>
  <si>
    <t>IC15N-241218-10KansasRoarCarbon-1-Run2_18.raw</t>
  </si>
  <si>
    <t>IC15N-241218-10KansasRoarCarbon-1-Run2_19.raw</t>
  </si>
  <si>
    <t>IC15N-241218-10KansasRoarCarbon-1-Run2_20.raw</t>
  </si>
  <si>
    <t>IC15N-241218-10KansasRoarCarbon-1-Run2_21.raw</t>
  </si>
  <si>
    <t>IC15N-241218-10KansasRoarCarbon-1-Run2_22.raw</t>
  </si>
  <si>
    <t>IC15N-241218-10KansasRoarCarbon-1-Run2_23.raw</t>
  </si>
  <si>
    <t>IC15N-241218-10KansasRoarCarbon-1-Run2_24.raw</t>
  </si>
  <si>
    <t>IC15N-241218-10KansasRoarCarbon-1-Run2_25.raw</t>
  </si>
  <si>
    <t>IC15N-241218-10KansasRoarCarbon-1-Run2_26.raw</t>
  </si>
  <si>
    <t>IC15N-241218-10KansasRoarCarbon-1-Run2_27.raw</t>
  </si>
  <si>
    <t>IC15N-241218-10KansasRoarCarbon-1-Run2_28.raw</t>
  </si>
  <si>
    <t>IC15N-241218-10KansasRoarCarbon-1-Run2_29.raw</t>
  </si>
  <si>
    <t>IC15N-241218-10KansasRoarCarbon-1-Run2_30.raw</t>
  </si>
  <si>
    <t>IC15N-241218-10KansasRoarCarbon-1-Run2_31.raw</t>
  </si>
  <si>
    <t>IC15N-241218-10KansasRoarCarbon-1-Run2_32.raw</t>
  </si>
  <si>
    <t>IC15N-241218-10KansasRoarCarbon-1-Run2_33.raw</t>
  </si>
  <si>
    <t>IC15N-241218-10KansasRoarCarbon-1-Run2_34.raw</t>
  </si>
  <si>
    <t>IC15N-241218-10KansasRoarCarbon-1-Run2_35.raw</t>
  </si>
  <si>
    <t>IC15N-241218-10KansasRoarCarbon-1-Run2_36.raw</t>
  </si>
  <si>
    <t>IC15N-241218-10KansasRoarCarbon-1-Run2_37.raw</t>
  </si>
  <si>
    <t>IC15N-241218-10KansasRoarCarbon-1-Run2_38.raw</t>
  </si>
  <si>
    <t>IC15N-241218-10KansasRoarCarbon-1-Run2_39.raw</t>
  </si>
  <si>
    <t>IC15N-241218-10KansasRoarCarbon-1-Run2_40.raw</t>
  </si>
  <si>
    <t>IC15N-241218-10KansasRoarCarbon-1-Run2_41.raw</t>
  </si>
  <si>
    <t>IC15N-241218-10KansasRoarCarbon-1-Run2_42.raw</t>
  </si>
  <si>
    <t>IC15N-241218-10KansasRoarCarbon-1-Run2_43.raw</t>
  </si>
  <si>
    <t>IC15N-241218-10KansasRoarCarbon-1-Run2_44.raw</t>
  </si>
  <si>
    <t>IC15N-241218-10KansasRoarCarbon-1-Run2_45.raw</t>
  </si>
  <si>
    <t>IC15N-241218-10KansasRoarCarbon-1-Run2_46.raw</t>
  </si>
  <si>
    <t>IC15N-241218-10KansasRoarCarbon-1-Run2_47.raw</t>
  </si>
  <si>
    <t>IC15N-241218-10KansasRoarCarbon-1-Run2_48.raw</t>
  </si>
  <si>
    <t>IC15N-241218-10KansasRoarCarbon-1-Run2_49.raw</t>
  </si>
  <si>
    <t>IC15N-241218-10KansasRoarCarbon-1-Run2_50.raw</t>
  </si>
  <si>
    <t>IC15N-241218-10KansasRoarCarbon-1-Run2_51.raw</t>
  </si>
  <si>
    <t>IC15N-241218-10KansasRoarCarbon-1-Run2_52.raw</t>
  </si>
  <si>
    <t>IC15N-241218-10KansasRoarCarbon-1-Run2_53.raw</t>
  </si>
  <si>
    <t>IC15N-241218-10KansasRoarCarbon-1-Run2_54.raw</t>
  </si>
  <si>
    <t>IC15N-241218-10KansasRoarCarbon-1-Run2_55.raw</t>
  </si>
  <si>
    <t>IC15N-241218-10KansasRoarCarbon-1-Run2_56.raw</t>
  </si>
  <si>
    <t>Isotope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</si>
</sst>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3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19" borderId="49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25"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24" dataDxfId="22" headerRowBorderDxfId="23" tableBorderDxfId="21" totalsRowBorderDxfId="20" headerRowCellStyle="Accent3">
  <autoFilter ref="E1:K16" xr:uid="{B118AAE5-6314-4991-BDCF-17CA9FBC3FF9}"/>
  <tableColumns count="7">
    <tableColumn id="1" xr3:uid="{5D36B30D-77B8-4D5D-9895-480D061267C8}" name="Last Name" dataDxfId="19"/>
    <tableColumn id="2" xr3:uid="{A6E9D35F-FE71-4119-B014-9E48C54984B4}" name="First Name" dataDxfId="18"/>
    <tableColumn id="3" xr3:uid="{3999A4BB-7307-470B-A6E4-445EE30963B1}" name="Branch" dataDxfId="17"/>
    <tableColumn id="4" xr3:uid="{7CB69ADB-FD93-4D3B-B155-F71BE7E3770F}" name="ID Number" dataDxfId="16"/>
    <tableColumn id="5" xr3:uid="{940639FA-9D60-4218-AF21-AAC1E4B69678}" name="Address" dataDxfId="15"/>
    <tableColumn id="6" xr3:uid="{6B88A187-DB08-469F-9EAA-D4B0D564CB1A}" name="email Address" dataDxfId="14"/>
    <tableColumn id="7" xr3:uid="{2758765F-F6B7-49E9-A496-3CB036C89C91}" name="Phone" dataDxf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5" workbookViewId="0">
      <selection activeCell="G19" sqref="G19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7" t="str">
        <f>"IC"&amp;C15&amp;"-"&amp;C23&amp;"-"&amp;C22&amp;C8</f>
        <v>IC13C-241218-10KansasROARCarbon-1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363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361</v>
      </c>
      <c r="C6" s="620" t="s">
        <v>364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365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9" t="s">
        <v>368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9" t="s">
        <v>273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4.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5" t="s">
        <v>326</v>
      </c>
      <c r="D14" s="15"/>
      <c r="E14" s="15"/>
      <c r="F14" s="15"/>
      <c r="G14" s="15"/>
      <c r="H14" s="15"/>
      <c r="I14" s="15"/>
    </row>
    <row r="15" spans="2:16" ht="13">
      <c r="B15" s="37" t="s">
        <v>178</v>
      </c>
      <c r="C15" s="619" t="s">
        <v>322</v>
      </c>
      <c r="D15" s="15"/>
      <c r="E15" s="15"/>
      <c r="F15" s="15"/>
      <c r="G15" s="15"/>
      <c r="H15" s="15"/>
      <c r="I15" s="15"/>
    </row>
    <row r="16" spans="2:16" ht="13">
      <c r="B16" s="37" t="s">
        <v>333</v>
      </c>
      <c r="C16" s="619"/>
      <c r="D16" s="15"/>
      <c r="E16" s="15"/>
      <c r="F16" s="15"/>
      <c r="G16" s="15"/>
      <c r="H16" s="15"/>
      <c r="I16" s="15"/>
    </row>
    <row r="17" spans="2:9" ht="13">
      <c r="B17" s="37" t="s">
        <v>332</v>
      </c>
      <c r="C17" s="619"/>
      <c r="D17" s="15"/>
      <c r="E17" s="15"/>
      <c r="F17" s="15"/>
      <c r="G17" s="15"/>
      <c r="H17" s="15"/>
      <c r="I17" s="15"/>
    </row>
    <row r="18" spans="2:9" ht="13">
      <c r="B18" s="37" t="s">
        <v>334</v>
      </c>
      <c r="C18" s="619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9" t="s">
        <v>366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9" t="s">
        <v>319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9" t="s">
        <v>319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367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2" t="s">
        <v>98</v>
      </c>
      <c r="C34" s="663"/>
      <c r="D34" s="664"/>
    </row>
    <row r="35" spans="2:4" ht="13">
      <c r="B35" s="34" t="s">
        <v>100</v>
      </c>
      <c r="C35" s="667" t="s">
        <v>99</v>
      </c>
      <c r="D35" s="668"/>
    </row>
    <row r="36" spans="2:4" ht="13">
      <c r="B36" s="35" t="s">
        <v>105</v>
      </c>
      <c r="C36" s="669" t="s">
        <v>104</v>
      </c>
      <c r="D36" s="670"/>
    </row>
    <row r="37" spans="2:4" ht="13">
      <c r="B37" s="35" t="s">
        <v>120</v>
      </c>
      <c r="C37" s="669" t="s">
        <v>122</v>
      </c>
      <c r="D37" s="670"/>
    </row>
    <row r="38" spans="2:4" ht="13">
      <c r="B38" s="48" t="s">
        <v>121</v>
      </c>
      <c r="C38" s="669" t="s">
        <v>106</v>
      </c>
      <c r="D38" s="670"/>
    </row>
    <row r="39" spans="2:4" ht="13">
      <c r="B39" s="642" t="s">
        <v>146</v>
      </c>
      <c r="C39" s="671" t="s">
        <v>108</v>
      </c>
      <c r="D39" s="672"/>
    </row>
    <row r="40" spans="2:4" ht="13">
      <c r="B40" s="643" t="s">
        <v>101</v>
      </c>
      <c r="C40" s="656" t="s">
        <v>107</v>
      </c>
      <c r="D40" s="657"/>
    </row>
    <row r="41" spans="2:4" ht="15">
      <c r="B41" s="435" t="s">
        <v>102</v>
      </c>
      <c r="C41" s="658" t="s">
        <v>147</v>
      </c>
      <c r="D41" s="659"/>
    </row>
    <row r="42" spans="2:4" ht="15">
      <c r="B42" s="435" t="s">
        <v>103</v>
      </c>
      <c r="C42" s="658" t="s">
        <v>148</v>
      </c>
      <c r="D42" s="659"/>
    </row>
    <row r="43" spans="2:4" ht="14.5">
      <c r="B43" s="435" t="s">
        <v>179</v>
      </c>
      <c r="C43" s="660" t="s">
        <v>180</v>
      </c>
      <c r="D43" s="661"/>
    </row>
    <row r="44" spans="2:4" ht="13">
      <c r="B44" s="644" t="s">
        <v>340</v>
      </c>
      <c r="C44" s="665" t="s">
        <v>342</v>
      </c>
      <c r="D44" s="666"/>
    </row>
    <row r="45" spans="2:4" ht="13.5" thickBot="1">
      <c r="B45" s="645" t="s">
        <v>341</v>
      </c>
      <c r="C45" s="654" t="s">
        <v>343</v>
      </c>
      <c r="D45" s="655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E4" sqref="E4:E17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38" t="s">
        <v>10</v>
      </c>
      <c r="C2" s="673" t="str">
        <f>COVER!C2</f>
        <v>IC13C-241218-10KansasROARCarbon-1</v>
      </c>
      <c r="D2" s="674"/>
      <c r="E2" s="576"/>
      <c r="F2" s="409"/>
      <c r="G2" s="409"/>
      <c r="H2" s="428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6" t="s">
        <v>21</v>
      </c>
      <c r="C3" s="436" t="s">
        <v>161</v>
      </c>
      <c r="D3" s="437" t="s">
        <v>67</v>
      </c>
      <c r="E3" s="437" t="s">
        <v>182</v>
      </c>
      <c r="F3" s="650" t="s">
        <v>68</v>
      </c>
      <c r="G3" s="650" t="s">
        <v>183</v>
      </c>
      <c r="H3" s="650" t="s">
        <v>253</v>
      </c>
      <c r="I3" s="594"/>
      <c r="J3" s="23"/>
    </row>
    <row r="4" spans="1:17" s="22" customFormat="1">
      <c r="A4" s="417" t="s">
        <v>74</v>
      </c>
      <c r="B4" s="572" t="s">
        <v>369</v>
      </c>
      <c r="C4" s="572">
        <v>25</v>
      </c>
      <c r="D4" s="415">
        <f>IF(COUNT('ISIRF RAW'!M12,'ISIRF RAW'!M56)=0,"",AVERAGE('ISIRF RAW'!M12,'ISIRF RAW'!M56))</f>
        <v>1.1411966017499999</v>
      </c>
      <c r="E4" s="415">
        <f>IF(COUNT('ISIRF RAW'!O12,'ISIRF RAW'!O56)=0,"",AVERAGE('ISIRF RAW'!O12,'ISIRF RAW'!O56))</f>
        <v>-15.719503251440198</v>
      </c>
      <c r="F4" s="651">
        <f>IF(COUNT('ISIRF RAW'!J12,'ISIRF RAW'!J56)=0,"",AVERAGE('ISIRF RAW'!J12,'ISIRF RAW'!J56))</f>
        <v>0.12701933825</v>
      </c>
      <c r="G4" s="651">
        <f>IF(COUNT('ISIRF RAW'!L12,'ISIRF RAW'!L56)=0,"", AVERAGE('ISIRF RAW'!L12,'ISIRF RAW'!L56))</f>
        <v>6.3937194618360653</v>
      </c>
      <c r="H4" s="652">
        <f t="shared" ref="H4" si="0">D4/F4</f>
        <v>8.9844319571551523</v>
      </c>
      <c r="I4" s="592"/>
    </row>
    <row r="5" spans="1:17" s="22" customFormat="1">
      <c r="A5" s="416">
        <v>2</v>
      </c>
      <c r="B5" s="572" t="s">
        <v>370</v>
      </c>
      <c r="C5" s="572">
        <v>25</v>
      </c>
      <c r="D5" s="415">
        <f>IF(COUNT('ISIRF RAW'!M13)=0,"",'ISIRF RAW'!M13)</f>
        <v>1.7192542395000001</v>
      </c>
      <c r="E5" s="415">
        <f>IF(COUNT('ISIRF RAW'!O13)=0,"",'ISIRF RAW'!O13)</f>
        <v>-15.955670595971759</v>
      </c>
      <c r="F5" s="651">
        <f>IF(COUNT('ISIRF RAW'!J13)=0,"",'ISIRF RAW'!J13)</f>
        <v>0.15858289450000002</v>
      </c>
      <c r="G5" s="651">
        <f>IF(COUNT('ISIRF RAW'!L13)=0,"",'ISIRF RAW'!L13)</f>
        <v>6.2715658174962385</v>
      </c>
      <c r="H5" s="652">
        <f t="shared" ref="H5:H39" si="1">D5/F5</f>
        <v>10.841359939359664</v>
      </c>
      <c r="I5" s="592"/>
    </row>
    <row r="6" spans="1:17" s="22" customFormat="1">
      <c r="A6" s="416">
        <v>3</v>
      </c>
      <c r="B6" s="572" t="s">
        <v>371</v>
      </c>
      <c r="C6" s="572">
        <v>25</v>
      </c>
      <c r="D6" s="415">
        <f>IF(COUNT('ISIRF RAW'!M14)=0,"",'ISIRF RAW'!M14)</f>
        <v>1.733245806</v>
      </c>
      <c r="E6" s="415">
        <f>IF(COUNT('ISIRF RAW'!O14)=0,"",'ISIRF RAW'!O14)</f>
        <v>-16.071319917455611</v>
      </c>
      <c r="F6" s="651">
        <f>IF(COUNT('ISIRF RAW'!J14)=0,"",'ISIRF RAW'!J14)</f>
        <v>0.15648188929999998</v>
      </c>
      <c r="G6" s="651">
        <f>IF(COUNT('ISIRF RAW'!L14)=0,"",'ISIRF RAW'!L14)</f>
        <v>6.3383259739365192</v>
      </c>
      <c r="H6" s="652">
        <f t="shared" si="1"/>
        <v>11.076334863756021</v>
      </c>
      <c r="I6" s="592"/>
    </row>
    <row r="7" spans="1:17" s="22" customFormat="1">
      <c r="A7" s="416">
        <v>4</v>
      </c>
      <c r="B7" s="572" t="s">
        <v>372</v>
      </c>
      <c r="C7" s="572">
        <v>25</v>
      </c>
      <c r="D7" s="415">
        <f>IF(COUNT('ISIRF RAW'!M15)=0,"",'ISIRF RAW'!M15)</f>
        <v>1.445585364</v>
      </c>
      <c r="E7" s="415">
        <f>IF(COUNT('ISIRF RAW'!O15)=0,"",'ISIRF RAW'!O15)</f>
        <v>-17.619104550831374</v>
      </c>
      <c r="F7" s="651">
        <f>IF(COUNT('ISIRF RAW'!J15)=0,"",'ISIRF RAW'!J15)</f>
        <v>0.13283799290000001</v>
      </c>
      <c r="G7" s="651">
        <f>IF(COUNT('ISIRF RAW'!L15)=0,"",'ISIRF RAW'!L15)</f>
        <v>7.0377274434881354</v>
      </c>
      <c r="H7" s="652">
        <f t="shared" si="1"/>
        <v>10.882318623168537</v>
      </c>
      <c r="I7" s="592"/>
    </row>
    <row r="8" spans="1:17" s="22" customFormat="1">
      <c r="A8" s="416">
        <v>5</v>
      </c>
      <c r="B8" s="572" t="s">
        <v>373</v>
      </c>
      <c r="C8" s="572">
        <v>25</v>
      </c>
      <c r="D8" s="415">
        <f>IF(COUNT('ISIRF RAW'!M16)=0,"",'ISIRF RAW'!M16)</f>
        <v>1.5185571074999999</v>
      </c>
      <c r="E8" s="415">
        <f>IF(COUNT('ISIRF RAW'!O16)=0,"",'ISIRF RAW'!O16)</f>
        <v>-15.209871793914891</v>
      </c>
      <c r="F8" s="651">
        <f>IF(COUNT('ISIRF RAW'!J16)=0,"",'ISIRF RAW'!J16)</f>
        <v>0.14962917249999999</v>
      </c>
      <c r="G8" s="651">
        <f>IF(COUNT('ISIRF RAW'!L16)=0,"",'ISIRF RAW'!L16)</f>
        <v>6.684792381240511</v>
      </c>
      <c r="H8" s="652">
        <f t="shared" si="1"/>
        <v>10.148803753492656</v>
      </c>
      <c r="I8" s="592"/>
    </row>
    <row r="9" spans="1:17" s="22" customFormat="1">
      <c r="A9" s="416">
        <v>6</v>
      </c>
      <c r="B9" s="572" t="s">
        <v>374</v>
      </c>
      <c r="C9" s="572">
        <v>25</v>
      </c>
      <c r="D9" s="415">
        <f>IF(COUNT('ISIRF RAW'!M17)=0,"",'ISIRF RAW'!M17)</f>
        <v>1.718735208</v>
      </c>
      <c r="E9" s="415">
        <f>IF(COUNT('ISIRF RAW'!O17)=0,"",'ISIRF RAW'!O17)</f>
        <v>-15.343966717599645</v>
      </c>
      <c r="F9" s="651">
        <f>IF(COUNT('ISIRF RAW'!J17)=0,"",'ISIRF RAW'!J17)</f>
        <v>0.17066367439999999</v>
      </c>
      <c r="G9" s="651">
        <f>IF(COUNT('ISIRF RAW'!L17)=0,"",'ISIRF RAW'!L17)</f>
        <v>5.6522862133367582</v>
      </c>
      <c r="H9" s="652">
        <f t="shared" si="1"/>
        <v>10.070890680413008</v>
      </c>
      <c r="I9" s="592"/>
    </row>
    <row r="10" spans="1:17" s="22" customFormat="1">
      <c r="A10" s="416">
        <v>7</v>
      </c>
      <c r="B10" s="572" t="s">
        <v>375</v>
      </c>
      <c r="C10" s="572">
        <v>25</v>
      </c>
      <c r="D10" s="415">
        <f>IF(COUNT('ISIRF RAW'!M18)=0,"",'ISIRF RAW'!M18)</f>
        <v>1.461538851</v>
      </c>
      <c r="E10" s="415">
        <f>IF(COUNT('ISIRF RAW'!O18)=0,"",'ISIRF RAW'!O18)</f>
        <v>-16.813001460033732</v>
      </c>
      <c r="F10" s="651">
        <f>IF(COUNT('ISIRF RAW'!J18)=0,"",'ISIRF RAW'!J18)</f>
        <v>0.13967637699999999</v>
      </c>
      <c r="G10" s="651">
        <f>IF(COUNT('ISIRF RAW'!L18)=0,"",'ISIRF RAW'!L18)</f>
        <v>7.3003323211112612</v>
      </c>
      <c r="H10" s="652">
        <f t="shared" si="1"/>
        <v>10.463751153854743</v>
      </c>
      <c r="I10" s="592"/>
    </row>
    <row r="11" spans="1:17" s="22" customFormat="1">
      <c r="A11" s="416">
        <v>8</v>
      </c>
      <c r="B11" s="572" t="s">
        <v>376</v>
      </c>
      <c r="C11" s="572">
        <v>25</v>
      </c>
      <c r="D11" s="415">
        <f>IF(COUNT('ISIRF RAW'!M19)=0,"",'ISIRF RAW'!M19)</f>
        <v>1.2755315174999999</v>
      </c>
      <c r="E11" s="415">
        <f>IF(COUNT('ISIRF RAW'!O19)=0,"",'ISIRF RAW'!O19)</f>
        <v>-15.452775902487057</v>
      </c>
      <c r="F11" s="651">
        <f>IF(COUNT('ISIRF RAW'!J19)=0,"",'ISIRF RAW'!J19)</f>
        <v>0.13985258489999999</v>
      </c>
      <c r="G11" s="651">
        <f>IF(COUNT('ISIRF RAW'!L19)=0,"",'ISIRF RAW'!L19)</f>
        <v>6.312644803102434</v>
      </c>
      <c r="H11" s="652">
        <f t="shared" si="1"/>
        <v>9.1205430232988132</v>
      </c>
      <c r="I11" s="592"/>
    </row>
    <row r="12" spans="1:17" s="22" customFormat="1">
      <c r="A12" s="416">
        <v>9</v>
      </c>
      <c r="B12" s="572" t="s">
        <v>377</v>
      </c>
      <c r="C12" s="572">
        <v>25</v>
      </c>
      <c r="D12" s="415">
        <f>IF(COUNT('ISIRF RAW'!M20)=0,"",'ISIRF RAW'!M20)</f>
        <v>1.4653670564999999</v>
      </c>
      <c r="E12" s="415">
        <f>IF(COUNT('ISIRF RAW'!O20)=0,"",'ISIRF RAW'!O20)</f>
        <v>-15.435387461569064</v>
      </c>
      <c r="F12" s="651">
        <f>IF(COUNT('ISIRF RAW'!J20)=0,"",'ISIRF RAW'!J20)</f>
        <v>0.1362205101</v>
      </c>
      <c r="G12" s="651">
        <f>IF(COUNT('ISIRF RAW'!L20)=0,"",'ISIRF RAW'!L20)</f>
        <v>6.462859957639183</v>
      </c>
      <c r="H12" s="652">
        <f t="shared" si="1"/>
        <v>10.757315880143661</v>
      </c>
      <c r="I12" s="592"/>
    </row>
    <row r="13" spans="1:17" s="22" customFormat="1">
      <c r="A13" s="416">
        <v>10</v>
      </c>
      <c r="B13" s="572" t="s">
        <v>378</v>
      </c>
      <c r="C13" s="572">
        <v>25</v>
      </c>
      <c r="D13" s="415">
        <f>IF(COUNT('ISIRF RAW'!M22)=0,"",'ISIRF RAW'!M22)</f>
        <v>1.688360259</v>
      </c>
      <c r="E13" s="415">
        <f>IF(COUNT('ISIRF RAW'!O22)=0,"",'ISIRF RAW'!O22)</f>
        <v>-15.95176864641234</v>
      </c>
      <c r="F13" s="651">
        <f>IF(COUNT('ISIRF RAW'!J22)=0,"",'ISIRF RAW'!J22)</f>
        <v>0.14888724449999999</v>
      </c>
      <c r="G13" s="651">
        <f>IF(COUNT('ISIRF RAW'!L22)=0,"",'ISIRF RAW'!L22)</f>
        <v>6.5435796511657296</v>
      </c>
      <c r="H13" s="652">
        <f t="shared" si="1"/>
        <v>11.339858324800954</v>
      </c>
      <c r="I13" s="592"/>
    </row>
    <row r="14" spans="1:17" s="22" customFormat="1">
      <c r="A14" s="416">
        <v>11</v>
      </c>
      <c r="B14" s="572" t="s">
        <v>379</v>
      </c>
      <c r="C14" s="572">
        <v>25</v>
      </c>
      <c r="D14" s="415">
        <f>IF(COUNT('ISIRF RAW'!M23)=0,"",'ISIRF RAW'!M23)</f>
        <v>1.6730836485</v>
      </c>
      <c r="E14" s="415">
        <f>IF(COUNT('ISIRF RAW'!O23)=0,"",'ISIRF RAW'!O23)</f>
        <v>-16.639474603536769</v>
      </c>
      <c r="F14" s="651">
        <f>IF(COUNT('ISIRF RAW'!J23)=0,"",'ISIRF RAW'!J23)</f>
        <v>0.1467634756</v>
      </c>
      <c r="G14" s="651">
        <f>IF(COUNT('ISIRF RAW'!L23)=0,"",'ISIRF RAW'!L23)</f>
        <v>6.2482806744574448</v>
      </c>
      <c r="H14" s="652">
        <f t="shared" si="1"/>
        <v>11.399863907965395</v>
      </c>
      <c r="I14" s="592"/>
    </row>
    <row r="15" spans="1:17" s="22" customFormat="1">
      <c r="A15" s="416">
        <v>12</v>
      </c>
      <c r="B15" s="572" t="s">
        <v>380</v>
      </c>
      <c r="C15" s="572">
        <v>25</v>
      </c>
      <c r="D15" s="415">
        <f>IF(COUNT('ISIRF RAW'!M24)=0,"",'ISIRF RAW'!M24)</f>
        <v>1.7940300585</v>
      </c>
      <c r="E15" s="415">
        <f>IF(COUNT('ISIRF RAW'!O24)=0,"",'ISIRF RAW'!O24)</f>
        <v>-16.821782905820029</v>
      </c>
      <c r="F15" s="651">
        <f>IF(COUNT('ISIRF RAW'!J24)=0,"",'ISIRF RAW'!J24)</f>
        <v>0.16600638999999998</v>
      </c>
      <c r="G15" s="651">
        <f>IF(COUNT('ISIRF RAW'!L24)=0,"",'ISIRF RAW'!L24)</f>
        <v>5.9142676671140739</v>
      </c>
      <c r="H15" s="652">
        <f t="shared" si="1"/>
        <v>10.806993986797739</v>
      </c>
      <c r="I15" s="592"/>
    </row>
    <row r="16" spans="1:17" s="22" customFormat="1">
      <c r="A16" s="416">
        <v>13</v>
      </c>
      <c r="B16" s="572" t="s">
        <v>381</v>
      </c>
      <c r="C16" s="572">
        <v>25</v>
      </c>
      <c r="D16" s="415">
        <f>IF(COUNT('ISIRF RAW'!M25)=0,"",'ISIRF RAW'!M25)</f>
        <v>1.9522436729999999</v>
      </c>
      <c r="E16" s="415">
        <f>IF(COUNT('ISIRF RAW'!O25)=0,"",'ISIRF RAW'!O25)</f>
        <v>-16.126239145620005</v>
      </c>
      <c r="F16" s="651">
        <f>IF(COUNT('ISIRF RAW'!J25)=0,"",'ISIRF RAW'!J25)</f>
        <v>0.17256317869999999</v>
      </c>
      <c r="G16" s="651">
        <f>IF(COUNT('ISIRF RAW'!L25)=0,"",'ISIRF RAW'!L25)</f>
        <v>6.1569323562721756</v>
      </c>
      <c r="H16" s="652">
        <f t="shared" si="1"/>
        <v>11.313211124801795</v>
      </c>
      <c r="I16" s="592"/>
    </row>
    <row r="17" spans="1:9" s="22" customFormat="1">
      <c r="A17" s="417" t="s">
        <v>162</v>
      </c>
      <c r="B17" s="572" t="s">
        <v>382</v>
      </c>
      <c r="C17" s="572">
        <v>25</v>
      </c>
      <c r="D17" s="415">
        <f>IF(COUNT('ISIRF RAW'!M26,'ISIRF RAW'!M27)=0,"",AVERAGE('ISIRF RAW'!M26,'ISIRF RAW'!M27))</f>
        <v>1.60572236625</v>
      </c>
      <c r="E17" s="415">
        <f>IF(COUNT('ISIRF RAW'!O26,'ISIRF RAW'!O27)=0,"",AVERAGE('ISIRF RAW'!O26,'ISIRF RAW'!O27))</f>
        <v>-16.264211371663301</v>
      </c>
      <c r="F17" s="651">
        <f>IF(COUNT('ISIRF RAW'!J26,'ISIRF RAW'!J27)=0,"",AVERAGE('ISIRF RAW'!J26,'ISIRF RAW'!J27))</f>
        <v>0.15413343424999998</v>
      </c>
      <c r="G17" s="651">
        <f>IF(COUNT('ISIRF RAW'!L26,'ISIRF RAW'!L27)=0,"", AVERAGE('ISIRF RAW'!L26,'ISIRF RAW'!L27))</f>
        <v>6.6710103109035934</v>
      </c>
      <c r="H17" s="652">
        <f t="shared" si="1"/>
        <v>10.417742095109389</v>
      </c>
      <c r="I17" s="592"/>
    </row>
    <row r="18" spans="1:9" s="22" customFormat="1">
      <c r="A18" s="416">
        <v>15</v>
      </c>
      <c r="B18" s="572" t="s">
        <v>383</v>
      </c>
      <c r="C18" s="572">
        <v>25</v>
      </c>
      <c r="D18" s="415">
        <f>IF(COUNT('ISIRF RAW'!M28)=0,"",'ISIRF RAW'!M28)</f>
        <v>1.5647741234999999</v>
      </c>
      <c r="E18" s="415">
        <f>IF(COUNT('ISIRF RAW'!O28)=0,"",'ISIRF RAW'!O28)</f>
        <v>-15.703339082358953</v>
      </c>
      <c r="F18" s="651">
        <f>IF(COUNT('ISIRF RAW'!J28)=0,"",'ISIRF RAW'!J28)</f>
        <v>0.148141101</v>
      </c>
      <c r="G18" s="651">
        <f>IF(COUNT('ISIRF RAW'!L28)=0,"",'ISIRF RAW'!L28)</f>
        <v>6.5012983489829397</v>
      </c>
      <c r="H18" s="652">
        <f t="shared" si="1"/>
        <v>10.562727784100916</v>
      </c>
      <c r="I18" s="592"/>
    </row>
    <row r="19" spans="1:9" s="22" customFormat="1">
      <c r="A19" s="416">
        <v>16</v>
      </c>
      <c r="B19" s="572" t="s">
        <v>384</v>
      </c>
      <c r="C19" s="572">
        <v>25</v>
      </c>
      <c r="D19" s="415">
        <f>IF(COUNT('ISIRF RAW'!M29)=0,"",'ISIRF RAW'!M29)</f>
        <v>1.7346561975000001</v>
      </c>
      <c r="E19" s="415">
        <f>IF(COUNT('ISIRF RAW'!O29)=0,"",'ISIRF RAW'!O29)</f>
        <v>-15.821541390161231</v>
      </c>
      <c r="F19" s="651">
        <f>IF(COUNT('ISIRF RAW'!J29)=0,"",'ISIRF RAW'!J29)</f>
        <v>0.14744638660000001</v>
      </c>
      <c r="G19" s="651">
        <f>IF(COUNT('ISIRF RAW'!L29)=0,"",'ISIRF RAW'!L29)</f>
        <v>6.9290812689563097</v>
      </c>
      <c r="H19" s="652">
        <f t="shared" ref="H19" si="2">D19/F19</f>
        <v>11.764657225584394</v>
      </c>
      <c r="I19" s="592"/>
    </row>
    <row r="20" spans="1:9" s="22" customFormat="1">
      <c r="A20" s="416">
        <v>17</v>
      </c>
      <c r="B20" s="572" t="s">
        <v>385</v>
      </c>
      <c r="C20" s="572">
        <v>25</v>
      </c>
      <c r="D20" s="415">
        <f>IF(COUNT('ISIRF RAW'!M30)=0,"",'ISIRF RAW'!M30)</f>
        <v>1.2932872230000001</v>
      </c>
      <c r="E20" s="415">
        <f>IF(COUNT('ISIRF RAW'!O30)=0,"",'ISIRF RAW'!O30)</f>
        <v>-16.447897671132303</v>
      </c>
      <c r="F20" s="651">
        <f>IF(COUNT('ISIRF RAW'!J30)=0,"",'ISIRF RAW'!J30)</f>
        <v>0.13218037490000001</v>
      </c>
      <c r="G20" s="651">
        <f>IF(COUNT('ISIRF RAW'!L30)=0,"",'ISIRF RAW'!L30)</f>
        <v>6.1051014368447944</v>
      </c>
      <c r="H20" s="652">
        <f t="shared" si="1"/>
        <v>9.7842605150607724</v>
      </c>
      <c r="I20" s="592"/>
    </row>
    <row r="21" spans="1:9" s="22" customFormat="1">
      <c r="A21" s="416">
        <v>18</v>
      </c>
      <c r="B21" s="572" t="s">
        <v>386</v>
      </c>
      <c r="C21" s="572">
        <v>25</v>
      </c>
      <c r="D21" s="415">
        <f>IF(COUNT('ISIRF RAW'!M31)=0,"",'ISIRF RAW'!M31)</f>
        <v>1.5628474859999999</v>
      </c>
      <c r="E21" s="415">
        <f>IF(COUNT('ISIRF RAW'!O31)=0,"",'ISIRF RAW'!O31)</f>
        <v>-16.688286756757257</v>
      </c>
      <c r="F21" s="651">
        <f>IF(COUNT('ISIRF RAW'!J31)=0,"",'ISIRF RAW'!J31)</f>
        <v>0.1583105732</v>
      </c>
      <c r="G21" s="651">
        <f>IF(COUNT('ISIRF RAW'!L31)=0,"",'ISIRF RAW'!L31)</f>
        <v>5.6933914935244649</v>
      </c>
      <c r="H21" s="652">
        <f t="shared" si="1"/>
        <v>9.8720347883877153</v>
      </c>
      <c r="I21" s="592"/>
    </row>
    <row r="22" spans="1:9" s="22" customFormat="1">
      <c r="A22" s="416">
        <v>19</v>
      </c>
      <c r="B22" s="572" t="s">
        <v>387</v>
      </c>
      <c r="C22" s="572">
        <v>25</v>
      </c>
      <c r="D22" s="415">
        <f>IF(COUNT('ISIRF RAW'!M37)=0,"",'ISIRF RAW'!M37)</f>
        <v>1.6605461130000001</v>
      </c>
      <c r="E22" s="415">
        <f>IF(COUNT('ISIRF RAW'!O37)=0,"",'ISIRF RAW'!O37)</f>
        <v>-16.03043165687242</v>
      </c>
      <c r="F22" s="651">
        <f>IF(COUNT('ISIRF RAW'!J37)=0,"",'ISIRF RAW'!J37)</f>
        <v>0.1446498239</v>
      </c>
      <c r="G22" s="651">
        <f>IF(COUNT('ISIRF RAW'!L37)=0,"",'ISIRF RAW'!L37)</f>
        <v>5.7411799794342677</v>
      </c>
      <c r="H22" s="652">
        <f t="shared" si="1"/>
        <v>11.479765880309516</v>
      </c>
      <c r="I22" s="592"/>
    </row>
    <row r="23" spans="1:9" s="22" customFormat="1">
      <c r="A23" s="416">
        <v>20</v>
      </c>
      <c r="B23" s="572" t="s">
        <v>388</v>
      </c>
      <c r="C23" s="572">
        <v>25</v>
      </c>
      <c r="D23" s="415">
        <f>IF(COUNT('ISIRF RAW'!M38)=0,"",'ISIRF RAW'!M38)</f>
        <v>1.8030847904999998</v>
      </c>
      <c r="E23" s="415">
        <f>IF(COUNT('ISIRF RAW'!O38)=0,"",'ISIRF RAW'!O38)</f>
        <v>-16.621503596289493</v>
      </c>
      <c r="F23" s="651">
        <f>IF(COUNT('ISIRF RAW'!J38)=0,"",'ISIRF RAW'!J38)</f>
        <v>0.1709351526</v>
      </c>
      <c r="G23" s="651">
        <f>IF(COUNT('ISIRF RAW'!L38)=0,"",'ISIRF RAW'!L38)</f>
        <v>5.7480133039607031</v>
      </c>
      <c r="H23" s="652">
        <f t="shared" si="1"/>
        <v>10.548355695562176</v>
      </c>
      <c r="I23" s="592"/>
    </row>
    <row r="24" spans="1:9" s="22" customFormat="1">
      <c r="A24" s="416">
        <v>21</v>
      </c>
      <c r="B24" s="572" t="s">
        <v>389</v>
      </c>
      <c r="C24" s="572">
        <v>25</v>
      </c>
      <c r="D24" s="415">
        <f>IF(COUNT('ISIRF RAW'!M39)=0,"",'ISIRF RAW'!M39)</f>
        <v>1.6072065735000001</v>
      </c>
      <c r="E24" s="415">
        <f>IF(COUNT('ISIRF RAW'!O39)=0,"",'ISIRF RAW'!O39)</f>
        <v>-15.61387223376132</v>
      </c>
      <c r="F24" s="651">
        <f>IF(COUNT('ISIRF RAW'!J39)=0,"",'ISIRF RAW'!J39)</f>
        <v>0.1484151085</v>
      </c>
      <c r="G24" s="651">
        <f>IF(COUNT('ISIRF RAW'!L39)=0,"",'ISIRF RAW'!L39)</f>
        <v>5.9942775461688118</v>
      </c>
      <c r="H24" s="652">
        <f t="shared" si="1"/>
        <v>10.829130468883497</v>
      </c>
      <c r="I24" s="592"/>
    </row>
    <row r="25" spans="1:9" s="22" customFormat="1">
      <c r="A25" s="416">
        <v>22</v>
      </c>
      <c r="B25" s="572" t="s">
        <v>390</v>
      </c>
      <c r="C25" s="572">
        <v>25</v>
      </c>
      <c r="D25" s="415">
        <f>IF(COUNT('ISIRF RAW'!M40)=0,"",'ISIRF RAW'!M40)</f>
        <v>1.1686101</v>
      </c>
      <c r="E25" s="415">
        <f>IF(COUNT('ISIRF RAW'!O40)=0,"",'ISIRF RAW'!O40)</f>
        <v>-15.36437569216309</v>
      </c>
      <c r="F25" s="651">
        <f>IF(COUNT('ISIRF RAW'!J40)=0,"",'ISIRF RAW'!J40)</f>
        <v>0.1185676823</v>
      </c>
      <c r="G25" s="651">
        <f>IF(COUNT('ISIRF RAW'!L40)=0,"",'ISIRF RAW'!L40)</f>
        <v>7.0780091120204691</v>
      </c>
      <c r="H25" s="652">
        <f t="shared" si="1"/>
        <v>9.8560592341105409</v>
      </c>
      <c r="I25" s="592"/>
    </row>
    <row r="26" spans="1:9" s="22" customFormat="1">
      <c r="A26" s="416">
        <v>23</v>
      </c>
      <c r="B26" s="572" t="s">
        <v>391</v>
      </c>
      <c r="C26" s="572">
        <v>25</v>
      </c>
      <c r="D26" s="415">
        <f>IF(COUNT('ISIRF RAW'!M41)=0,"",'ISIRF RAW'!M41)</f>
        <v>1.3511299875</v>
      </c>
      <c r="E26" s="415">
        <f>IF(COUNT('ISIRF RAW'!O41)=0,"",'ISIRF RAW'!O41)</f>
        <v>-17.160515671298846</v>
      </c>
      <c r="F26" s="651">
        <f>IF(COUNT('ISIRF RAW'!J41)=0,"",'ISIRF RAW'!J41)</f>
        <v>0.14455371049999999</v>
      </c>
      <c r="G26" s="651">
        <f>IF(COUNT('ISIRF RAW'!L41)=0,"",'ISIRF RAW'!L41)</f>
        <v>5.6096198067730816</v>
      </c>
      <c r="H26" s="652">
        <f t="shared" si="1"/>
        <v>9.3469063009627842</v>
      </c>
      <c r="I26" s="592"/>
    </row>
    <row r="27" spans="1:9" s="22" customFormat="1">
      <c r="A27" s="416">
        <v>24</v>
      </c>
      <c r="B27" s="572" t="s">
        <v>392</v>
      </c>
      <c r="C27" s="572">
        <v>25</v>
      </c>
      <c r="D27" s="415">
        <f>IF(COUNT('ISIRF RAW'!M42)=0,"",'ISIRF RAW'!M42)</f>
        <v>1.625389389</v>
      </c>
      <c r="E27" s="415">
        <f>IF(COUNT('ISIRF RAW'!O42)=0,"",'ISIRF RAW'!O42)</f>
        <v>-15.282616967126199</v>
      </c>
      <c r="F27" s="651">
        <f>IF(COUNT('ISIRF RAW'!J42)=0,"",'ISIRF RAW'!J42)</f>
        <v>0.1563208572</v>
      </c>
      <c r="G27" s="651">
        <f>IF(COUNT('ISIRF RAW'!L42)=0,"",'ISIRF RAW'!L42)</f>
        <v>6.5049535872764634</v>
      </c>
      <c r="H27" s="652">
        <f t="shared" si="1"/>
        <v>10.397776842538962</v>
      </c>
      <c r="I27" s="592"/>
    </row>
    <row r="28" spans="1:9" s="22" customFormat="1">
      <c r="A28" s="416">
        <v>25</v>
      </c>
      <c r="B28" s="572" t="s">
        <v>393</v>
      </c>
      <c r="C28" s="572">
        <v>25</v>
      </c>
      <c r="D28" s="415">
        <f>IF(COUNT('ISIRF RAW'!M43)=0,"",'ISIRF RAW'!M43)</f>
        <v>1.2703709145000002</v>
      </c>
      <c r="E28" s="415">
        <f>IF(COUNT('ISIRF RAW'!O43)=0,"",'ISIRF RAW'!O43)</f>
        <v>-15.238685408851085</v>
      </c>
      <c r="F28" s="651">
        <f>IF(COUNT('ISIRF RAW'!J43)=0,"",'ISIRF RAW'!J43)</f>
        <v>0.13262215929999999</v>
      </c>
      <c r="G28" s="651">
        <f>IF(COUNT('ISIRF RAW'!L43)=0,"",'ISIRF RAW'!L43)</f>
        <v>6.1588026057822676</v>
      </c>
      <c r="H28" s="652">
        <f t="shared" si="1"/>
        <v>9.5788737056100715</v>
      </c>
      <c r="I28" s="592"/>
    </row>
    <row r="29" spans="1:9" s="22" customFormat="1">
      <c r="A29" s="416">
        <v>26</v>
      </c>
      <c r="B29" s="572" t="s">
        <v>394</v>
      </c>
      <c r="C29" s="572">
        <v>25</v>
      </c>
      <c r="D29" s="415">
        <f>IF(COUNT('ISIRF RAW'!M44)=0,"",'ISIRF RAW'!M44)</f>
        <v>1.6537940609999999</v>
      </c>
      <c r="E29" s="415">
        <f>IF(COUNT('ISIRF RAW'!O44)=0,"",'ISIRF RAW'!O44)</f>
        <v>-18.753999885854064</v>
      </c>
      <c r="F29" s="651">
        <f>IF(COUNT('ISIRF RAW'!J44)=0,"",'ISIRF RAW'!J44)</f>
        <v>0.17149750029999999</v>
      </c>
      <c r="G29" s="651">
        <f>IF(COUNT('ISIRF RAW'!L44)=0,"",'ISIRF RAW'!L44)</f>
        <v>6.3752968063857649</v>
      </c>
      <c r="H29" s="652">
        <f t="shared" si="1"/>
        <v>9.643254613665059</v>
      </c>
      <c r="I29" s="592"/>
    </row>
    <row r="30" spans="1:9" s="22" customFormat="1">
      <c r="A30" s="416">
        <v>27</v>
      </c>
      <c r="B30" s="572" t="s">
        <v>395</v>
      </c>
      <c r="C30" s="572">
        <v>25</v>
      </c>
      <c r="D30" s="415">
        <f>IF(COUNT('ISIRF RAW'!M45)=0,"",'ISIRF RAW'!M45)</f>
        <v>1.187044539</v>
      </c>
      <c r="E30" s="415">
        <f>IF(COUNT('ISIRF RAW'!O45)=0,"",'ISIRF RAW'!O45)</f>
        <v>-17.754909598794949</v>
      </c>
      <c r="F30" s="651">
        <f>IF(COUNT('ISIRF RAW'!J45)=0,"",'ISIRF RAW'!J45)</f>
        <v>0.12938549839999999</v>
      </c>
      <c r="G30" s="651">
        <f>IF(COUNT('ISIRF RAW'!L45)=0,"",'ISIRF RAW'!L45)</f>
        <v>5.9868546575103458</v>
      </c>
      <c r="H30" s="652">
        <f t="shared" si="1"/>
        <v>9.1744790079194836</v>
      </c>
      <c r="I30" s="592"/>
    </row>
    <row r="31" spans="1:9" s="22" customFormat="1">
      <c r="A31" s="417">
        <v>28</v>
      </c>
      <c r="B31" s="572" t="s">
        <v>396</v>
      </c>
      <c r="C31" s="572">
        <v>25</v>
      </c>
      <c r="D31" s="415">
        <f>IF(COUNT('ISIRF RAW'!M47)=0,"",'ISIRF RAW'!M47)</f>
        <v>1.2617135804999999</v>
      </c>
      <c r="E31" s="415">
        <f>IF(COUNT('ISIRF RAW'!O47)=0,"",'ISIRF RAW'!O47)</f>
        <v>-16.901109651704726</v>
      </c>
      <c r="F31" s="651">
        <f>IF(COUNT('ISIRF RAW'!J47)=0,"",'ISIRF RAW'!J47)</f>
        <v>0.12841930579999999</v>
      </c>
      <c r="G31" s="651">
        <f>IF(COUNT('ISIRF RAW'!L47)=0,"",'ISIRF RAW'!L47)</f>
        <v>6.2641052851589043</v>
      </c>
      <c r="H31" s="652">
        <f t="shared" si="1"/>
        <v>9.8249525072576738</v>
      </c>
      <c r="I31" s="592"/>
    </row>
    <row r="32" spans="1:9" s="22" customFormat="1">
      <c r="A32" s="416">
        <v>29</v>
      </c>
      <c r="B32" s="572" t="s">
        <v>397</v>
      </c>
      <c r="C32" s="572">
        <v>25</v>
      </c>
      <c r="D32" s="415">
        <f>IF(COUNT('ISIRF RAW'!M48)=0,"",'ISIRF RAW'!M48)</f>
        <v>1.5060455699999999</v>
      </c>
      <c r="E32" s="415">
        <f>IF(COUNT('ISIRF RAW'!O48)=0,"",'ISIRF RAW'!O48)</f>
        <v>-16.635108799896052</v>
      </c>
      <c r="F32" s="651">
        <f>IF(COUNT('ISIRF RAW'!J48)=0,"",'ISIRF RAW'!J48)</f>
        <v>0.14506715839999998</v>
      </c>
      <c r="G32" s="651">
        <f>IF(COUNT('ISIRF RAW'!L48)=0,"",'ISIRF RAW'!L48)</f>
        <v>6.4660873237592087</v>
      </c>
      <c r="H32" s="652">
        <f t="shared" si="1"/>
        <v>10.381712764010411</v>
      </c>
      <c r="I32" s="592"/>
    </row>
    <row r="33" spans="1:9" s="22" customFormat="1">
      <c r="A33" s="416">
        <v>30</v>
      </c>
      <c r="B33" s="572" t="s">
        <v>398</v>
      </c>
      <c r="C33" s="572">
        <v>25</v>
      </c>
      <c r="D33" s="415">
        <f>IF(COUNT('ISIRF RAW'!M49)=0,"",'ISIRF RAW'!M49)</f>
        <v>1.5654788549999998</v>
      </c>
      <c r="E33" s="415">
        <f>IF(COUNT('ISIRF RAW'!O49)=0,"",'ISIRF RAW'!O49)</f>
        <v>-18.884298313051488</v>
      </c>
      <c r="F33" s="651">
        <f>IF(COUNT('ISIRF RAW'!J49)=0,"",'ISIRF RAW'!J49)</f>
        <v>0.15828359399999997</v>
      </c>
      <c r="G33" s="651">
        <f>IF(COUNT('ISIRF RAW'!L49)=0,"",'ISIRF RAW'!L49)</f>
        <v>6.5561799989622616</v>
      </c>
      <c r="H33" s="652">
        <f t="shared" si="1"/>
        <v>9.8903418569077992</v>
      </c>
      <c r="I33" s="592"/>
    </row>
    <row r="34" spans="1:9" s="22" customFormat="1">
      <c r="A34" s="416">
        <v>31</v>
      </c>
      <c r="B34" s="572" t="s">
        <v>399</v>
      </c>
      <c r="C34" s="572">
        <v>25</v>
      </c>
      <c r="D34" s="415">
        <f>IF(COUNT('ISIRF RAW'!M50)=0,"",'ISIRF RAW'!M50)</f>
        <v>1.2486792975000001</v>
      </c>
      <c r="E34" s="415">
        <f>IF(COUNT('ISIRF RAW'!O50)=0,"",'ISIRF RAW'!O50)</f>
        <v>-16.18432348814121</v>
      </c>
      <c r="F34" s="651">
        <f>IF(COUNT('ISIRF RAW'!J50)=0,"",'ISIRF RAW'!J50)</f>
        <v>0.1252829738</v>
      </c>
      <c r="G34" s="651">
        <f>IF(COUNT('ISIRF RAW'!L50)=0,"",'ISIRF RAW'!L50)</f>
        <v>6.4610102341950295</v>
      </c>
      <c r="H34" s="652">
        <f t="shared" si="1"/>
        <v>9.9668714720435538</v>
      </c>
      <c r="I34" s="592"/>
    </row>
    <row r="35" spans="1:9" s="22" customFormat="1">
      <c r="A35" s="416">
        <v>32</v>
      </c>
      <c r="B35" s="572" t="s">
        <v>400</v>
      </c>
      <c r="C35" s="572">
        <v>25</v>
      </c>
      <c r="D35" s="415">
        <f>IF(COUNT('ISIRF RAW'!M51)=0,"",'ISIRF RAW'!M51)</f>
        <v>1.3047012734999999</v>
      </c>
      <c r="E35" s="415">
        <f>IF(COUNT('ISIRF RAW'!O51)=0,"",'ISIRF RAW'!O51)</f>
        <v>-16.268505173511379</v>
      </c>
      <c r="F35" s="651">
        <f>IF(COUNT('ISIRF RAW'!J51)=0,"",'ISIRF RAW'!J51)</f>
        <v>0.12909800130000001</v>
      </c>
      <c r="G35" s="651">
        <f>IF(COUNT('ISIRF RAW'!L51)=0,"",'ISIRF RAW'!L51)</f>
        <v>6.7027264222308318</v>
      </c>
      <c r="H35" s="652">
        <f t="shared" si="1"/>
        <v>10.106285615283184</v>
      </c>
      <c r="I35" s="592"/>
    </row>
    <row r="36" spans="1:9" s="22" customFormat="1">
      <c r="A36" s="416">
        <v>33</v>
      </c>
      <c r="B36" s="572" t="s">
        <v>401</v>
      </c>
      <c r="C36" s="572">
        <v>25</v>
      </c>
      <c r="D36" s="415">
        <f>IF(COUNT('ISIRF RAW'!M52)=0,"",'ISIRF RAW'!M52)</f>
        <v>1.632445989</v>
      </c>
      <c r="E36" s="415">
        <f>IF(COUNT('ISIRF RAW'!O52)=0,"",'ISIRF RAW'!O52)</f>
        <v>-16.679386933175476</v>
      </c>
      <c r="F36" s="651">
        <f>IF(COUNT('ISIRF RAW'!J52)=0,"",'ISIRF RAW'!J52)</f>
        <v>0.14844630319999999</v>
      </c>
      <c r="G36" s="651">
        <f>IF(COUNT('ISIRF RAW'!L52)=0,"",'ISIRF RAW'!L52)</f>
        <v>6.5106334252791811</v>
      </c>
      <c r="H36" s="652">
        <f t="shared" si="1"/>
        <v>10.996878694921923</v>
      </c>
      <c r="I36" s="592"/>
    </row>
    <row r="37" spans="1:9" s="22" customFormat="1">
      <c r="A37" s="417">
        <v>34</v>
      </c>
      <c r="B37" s="572" t="s">
        <v>402</v>
      </c>
      <c r="C37" s="572">
        <v>25</v>
      </c>
      <c r="D37" s="415">
        <f>IF(COUNT('ISIRF RAW'!M53)=0,"",'ISIRF RAW'!M53)</f>
        <v>1.6554402914999999</v>
      </c>
      <c r="E37" s="415">
        <f>IF(COUNT('ISIRF RAW'!O53)=0,"",'ISIRF RAW'!O53)</f>
        <v>-16.044963896002194</v>
      </c>
      <c r="F37" s="651">
        <f>IF(COUNT('ISIRF RAW'!J53)=0,"",'ISIRF RAW'!J53)</f>
        <v>0.15570960969999997</v>
      </c>
      <c r="G37" s="651">
        <f>IF(COUNT('ISIRF RAW'!L53)=0,"",'ISIRF RAW'!L53)</f>
        <v>5.8464985308927133</v>
      </c>
      <c r="H37" s="652">
        <f t="shared" si="1"/>
        <v>10.631587187775221</v>
      </c>
      <c r="I37" s="592"/>
    </row>
    <row r="38" spans="1:9" s="22" customFormat="1">
      <c r="A38" s="417">
        <v>35</v>
      </c>
      <c r="B38" s="461" t="s">
        <v>403</v>
      </c>
      <c r="C38" s="572">
        <v>25</v>
      </c>
      <c r="D38" s="415">
        <f>IF(COUNT('ISIRF RAW'!M54)=0,"",'ISIRF RAW'!M54)</f>
        <v>1.2345623834999999</v>
      </c>
      <c r="E38" s="415">
        <f>IF(COUNT('ISIRF RAW'!O54)=0,"",'ISIRF RAW'!O54)</f>
        <v>-16.448151255395469</v>
      </c>
      <c r="F38" s="651">
        <f>IF(COUNT('ISIRF RAW'!J54)=0,"",'ISIRF RAW'!J54)</f>
        <v>0.11935429459999999</v>
      </c>
      <c r="G38" s="651">
        <f>IF(COUNT('ISIRF RAW'!L54)=0,"",'ISIRF RAW'!L54)</f>
        <v>7.2145536672677464</v>
      </c>
      <c r="H38" s="651">
        <f t="shared" si="1"/>
        <v>10.343677934987351</v>
      </c>
      <c r="I38" s="592"/>
    </row>
    <row r="39" spans="1:9" s="22" customFormat="1" ht="13" thickBot="1">
      <c r="A39" s="418">
        <v>36</v>
      </c>
      <c r="B39" s="432" t="s">
        <v>404</v>
      </c>
      <c r="C39" s="432">
        <v>25</v>
      </c>
      <c r="D39" s="419">
        <f>IF(COUNT('ISIRF RAW'!M55)=0,"",'ISIRF RAW'!M55)</f>
        <v>1.6782210389999999</v>
      </c>
      <c r="E39" s="419">
        <f>IF(COUNT('ISIRF RAW'!O55)=0,"",'ISIRF RAW'!O55)</f>
        <v>-16.342283956953516</v>
      </c>
      <c r="F39" s="653">
        <f>IF(COUNT('ISIRF RAW'!J55)=0,"",'ISIRF RAW'!J55)</f>
        <v>0.14624328289999999</v>
      </c>
      <c r="G39" s="653">
        <f>IF(COUNT('ISIRF RAW'!L55)=0,"",'ISIRF RAW'!L55)</f>
        <v>6.5622193373750273</v>
      </c>
      <c r="H39" s="653">
        <f t="shared" si="1"/>
        <v>11.475542710208128</v>
      </c>
      <c r="I39" s="593"/>
    </row>
    <row r="40" spans="1:9" s="22" customFormat="1" ht="13" thickTop="1">
      <c r="B40" s="433"/>
      <c r="C40" s="433"/>
      <c r="D40" s="420"/>
      <c r="E40" s="420"/>
      <c r="F40" s="420"/>
      <c r="G40" s="420"/>
      <c r="H40" s="420"/>
      <c r="I40" s="421"/>
    </row>
    <row r="41" spans="1:9" s="22" customFormat="1">
      <c r="B41" s="433"/>
      <c r="C41" s="433"/>
      <c r="D41" s="420"/>
      <c r="E41" s="420"/>
      <c r="F41" s="420"/>
      <c r="G41" s="420"/>
      <c r="H41" s="420"/>
      <c r="I41" s="421"/>
    </row>
    <row r="42" spans="1:9" s="22" customFormat="1">
      <c r="B42" s="433"/>
      <c r="C42" s="433"/>
      <c r="D42" s="420"/>
      <c r="E42" s="420"/>
      <c r="F42" s="420"/>
      <c r="G42" s="420"/>
      <c r="H42" s="420"/>
      <c r="I42" s="421"/>
    </row>
    <row r="43" spans="1:9" s="22" customFormat="1">
      <c r="B43" s="433"/>
      <c r="C43" s="433"/>
      <c r="D43" s="420"/>
      <c r="E43" s="420"/>
      <c r="F43" s="420"/>
      <c r="G43" s="420"/>
      <c r="H43" s="420"/>
      <c r="I43" s="421"/>
    </row>
    <row r="44" spans="1:9" s="22" customFormat="1">
      <c r="B44" s="433"/>
      <c r="C44" s="433"/>
      <c r="D44" s="420"/>
      <c r="E44" s="420"/>
      <c r="F44" s="420"/>
      <c r="G44" s="420"/>
      <c r="H44" s="420"/>
      <c r="I44" s="421"/>
    </row>
    <row r="45" spans="1:9" s="22" customFormat="1">
      <c r="B45" s="433"/>
      <c r="C45" s="433"/>
      <c r="D45" s="420"/>
      <c r="E45" s="420"/>
      <c r="F45" s="420"/>
      <c r="G45" s="420"/>
      <c r="H45" s="420"/>
      <c r="I45" s="421"/>
    </row>
    <row r="46" spans="1:9" s="22" customFormat="1">
      <c r="B46" s="420"/>
      <c r="C46" s="420"/>
      <c r="D46" s="420"/>
      <c r="E46" s="420"/>
      <c r="F46" s="420"/>
      <c r="G46" s="420"/>
      <c r="H46" s="420"/>
      <c r="I46" s="421"/>
    </row>
    <row r="47" spans="1:9" s="22" customFormat="1">
      <c r="B47" s="420"/>
      <c r="C47" s="420"/>
      <c r="D47" s="420"/>
      <c r="E47" s="420"/>
      <c r="F47" s="420"/>
      <c r="G47" s="420"/>
      <c r="H47" s="420"/>
      <c r="I47" s="421"/>
    </row>
    <row r="48" spans="1:9" s="22" customFormat="1">
      <c r="B48" s="420"/>
      <c r="C48" s="420"/>
      <c r="D48" s="420"/>
      <c r="E48" s="420"/>
      <c r="F48" s="420"/>
      <c r="G48" s="420"/>
      <c r="H48" s="420"/>
      <c r="I48" s="421"/>
    </row>
    <row r="49" spans="2:11" s="22" customFormat="1">
      <c r="B49" s="420"/>
      <c r="C49" s="420"/>
      <c r="D49" s="420"/>
      <c r="E49" s="420"/>
      <c r="F49" s="420"/>
      <c r="G49" s="420"/>
      <c r="H49" s="420"/>
      <c r="I49" s="421"/>
    </row>
    <row r="50" spans="2:11" s="22" customFormat="1">
      <c r="B50" s="420"/>
      <c r="C50" s="420"/>
      <c r="D50" s="420"/>
      <c r="E50" s="420"/>
      <c r="F50" s="420"/>
      <c r="G50" s="420"/>
      <c r="H50" s="420"/>
      <c r="I50" s="421"/>
    </row>
    <row r="51" spans="2:11" s="22" customFormat="1">
      <c r="B51" s="420"/>
      <c r="C51" s="420"/>
      <c r="D51" s="420"/>
      <c r="E51" s="420"/>
      <c r="F51" s="420"/>
      <c r="G51" s="420"/>
      <c r="H51" s="420"/>
      <c r="I51" s="421"/>
    </row>
    <row r="52" spans="2:11" s="22" customFormat="1">
      <c r="B52" s="420"/>
      <c r="C52" s="420"/>
      <c r="D52" s="420"/>
      <c r="E52" s="420"/>
      <c r="F52" s="420"/>
      <c r="G52" s="420"/>
      <c r="H52" s="420"/>
      <c r="I52" s="421"/>
    </row>
    <row r="53" spans="2:11" s="22" customFormat="1">
      <c r="B53" s="420"/>
      <c r="C53" s="420"/>
      <c r="D53" s="420"/>
      <c r="E53" s="420"/>
      <c r="F53" s="420"/>
      <c r="G53" s="420"/>
      <c r="H53" s="420"/>
      <c r="I53" s="421"/>
    </row>
    <row r="54" spans="2:11" s="22" customFormat="1">
      <c r="B54" s="420"/>
      <c r="C54" s="420"/>
      <c r="D54" s="420"/>
      <c r="E54" s="420"/>
      <c r="F54" s="420"/>
      <c r="G54" s="420"/>
      <c r="H54" s="420"/>
      <c r="I54" s="421"/>
    </row>
    <row r="55" spans="2:11" s="22" customFormat="1">
      <c r="B55" s="420"/>
      <c r="C55" s="420"/>
      <c r="D55" s="420"/>
      <c r="E55" s="420"/>
      <c r="F55" s="420"/>
      <c r="G55" s="420"/>
      <c r="H55" s="420"/>
      <c r="I55" s="421"/>
    </row>
    <row r="56" spans="2:11" s="22" customFormat="1">
      <c r="B56" s="420"/>
      <c r="C56" s="420"/>
      <c r="D56" s="420"/>
      <c r="E56" s="420"/>
      <c r="F56" s="420"/>
      <c r="G56" s="420"/>
      <c r="H56" s="420"/>
      <c r="I56" s="421"/>
    </row>
    <row r="57" spans="2:11" s="22" customFormat="1">
      <c r="B57" s="420"/>
      <c r="C57" s="420"/>
      <c r="D57" s="420"/>
      <c r="E57" s="420"/>
      <c r="F57" s="420"/>
      <c r="G57" s="420"/>
      <c r="H57" s="420"/>
      <c r="I57" s="421"/>
    </row>
    <row r="58" spans="2:11" s="22" customFormat="1">
      <c r="B58" s="420"/>
      <c r="C58" s="420"/>
      <c r="D58" s="420"/>
      <c r="E58" s="420"/>
      <c r="F58" s="420"/>
      <c r="G58" s="420"/>
      <c r="H58" s="420"/>
      <c r="I58" s="421"/>
    </row>
    <row r="59" spans="2:11" s="22" customFormat="1">
      <c r="B59" s="420"/>
      <c r="C59" s="420"/>
      <c r="D59" s="420"/>
      <c r="E59" s="420"/>
      <c r="F59" s="420"/>
      <c r="G59" s="420"/>
      <c r="H59" s="420"/>
      <c r="I59" s="421"/>
    </row>
    <row r="60" spans="2:11" s="22" customFormat="1">
      <c r="B60" s="420"/>
      <c r="C60" s="420"/>
      <c r="D60" s="420"/>
      <c r="E60" s="420"/>
      <c r="F60" s="420"/>
      <c r="G60" s="420"/>
      <c r="H60" s="420"/>
      <c r="I60" s="421"/>
    </row>
    <row r="61" spans="2:11" s="22" customFormat="1">
      <c r="B61" s="420"/>
      <c r="C61" s="420"/>
      <c r="D61" s="420"/>
      <c r="E61" s="420"/>
      <c r="F61" s="420"/>
      <c r="G61" s="420"/>
      <c r="H61" s="420"/>
      <c r="I61" s="421"/>
    </row>
    <row r="62" spans="2:11" s="22" customFormat="1">
      <c r="B62" s="420"/>
      <c r="C62" s="420"/>
      <c r="D62" s="420"/>
      <c r="E62" s="420"/>
      <c r="F62" s="420"/>
      <c r="G62" s="420"/>
      <c r="H62" s="420"/>
      <c r="I62" s="421"/>
    </row>
    <row r="63" spans="2:11" s="22" customFormat="1">
      <c r="B63" s="420"/>
      <c r="C63" s="420"/>
      <c r="D63" s="420"/>
      <c r="E63" s="420"/>
      <c r="F63" s="420"/>
      <c r="G63" s="420"/>
      <c r="H63" s="420"/>
      <c r="I63" s="421"/>
      <c r="K63" s="15"/>
    </row>
    <row r="64" spans="2:11" s="22" customFormat="1">
      <c r="B64" s="420"/>
      <c r="C64" s="420"/>
      <c r="D64" s="420"/>
      <c r="E64" s="420"/>
      <c r="F64" s="420"/>
      <c r="G64" s="420"/>
      <c r="H64" s="420"/>
      <c r="I64" s="421"/>
      <c r="K64" s="15"/>
    </row>
    <row r="65" spans="2:11" s="22" customFormat="1">
      <c r="B65" s="420"/>
      <c r="C65" s="420"/>
      <c r="D65" s="420"/>
      <c r="E65" s="420"/>
      <c r="F65" s="420"/>
      <c r="G65" s="420"/>
      <c r="H65" s="420"/>
      <c r="I65" s="421"/>
      <c r="K65" s="15"/>
    </row>
    <row r="66" spans="2:11" s="22" customFormat="1">
      <c r="B66" s="420"/>
      <c r="C66" s="420"/>
      <c r="D66" s="420"/>
      <c r="E66" s="420"/>
      <c r="F66" s="420"/>
      <c r="G66" s="420"/>
      <c r="H66" s="420"/>
      <c r="I66" s="421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31" workbookViewId="0">
      <selection activeCell="C17" sqref="C17:C72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IC13C-241218-10KansasROARCarbon-1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2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3" t="str">
        <f>COVER!C19</f>
        <v>Soil</v>
      </c>
      <c r="D4" s="347"/>
      <c r="E4" s="429" t="s">
        <v>9</v>
      </c>
      <c r="F4" s="430" t="s">
        <v>175</v>
      </c>
      <c r="G4" s="431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3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3" t="str">
        <f>COVER!C15</f>
        <v>13C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3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4" t="s">
        <v>249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4" t="s">
        <v>255</v>
      </c>
      <c r="D10" s="640">
        <f>VLOOKUP(C10,Tables!A2:C17,3,FALSE)</f>
        <v>1</v>
      </c>
      <c r="E10" s="675" t="s">
        <v>35</v>
      </c>
      <c r="F10" s="676"/>
      <c r="G10" s="677"/>
      <c r="T10" s="2"/>
    </row>
    <row r="11" spans="1:50" ht="14.5">
      <c r="A11" s="169" t="s">
        <v>126</v>
      </c>
      <c r="B11" s="162"/>
      <c r="C11" s="634" t="s">
        <v>254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241218</v>
      </c>
      <c r="T11" s="2"/>
    </row>
    <row r="12" spans="1:50" ht="14.5">
      <c r="A12" s="169" t="s">
        <v>181</v>
      </c>
      <c r="B12" s="162"/>
      <c r="C12" s="634" t="s">
        <v>355</v>
      </c>
      <c r="D12" s="640">
        <f>VLOOKUP(C12,Tables!A2:C17,3,FALSE)</f>
        <v>2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166</v>
      </c>
      <c r="B13" s="162"/>
      <c r="C13" s="634" t="s">
        <v>176</v>
      </c>
      <c r="D13" s="434" t="s">
        <v>177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" thickBot="1">
      <c r="A14" s="173" t="s">
        <v>252</v>
      </c>
      <c r="B14" s="174"/>
      <c r="C14" s="635"/>
      <c r="D14" s="349">
        <v>5</v>
      </c>
      <c r="E14" s="171" t="s">
        <v>235</v>
      </c>
      <c r="F14" s="172"/>
      <c r="G14" s="633" t="str">
        <f>COVER!C15</f>
        <v>13C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3"/>
      <c r="I16" s="574">
        <f>((20.009-20)/20)*100</f>
        <v>4.5000000000001705E-2</v>
      </c>
      <c r="J16" s="575"/>
      <c r="K16" s="573"/>
    </row>
    <row r="17" spans="1:20" ht="13">
      <c r="A17" s="178" t="str">
        <f>"IC"&amp;COVER!C$15&amp;COVER!C$23&amp;"-"&amp;COVER!C$22&amp;F17</f>
        <v>IC13C241218-101</v>
      </c>
      <c r="B17" s="179" t="s">
        <v>37</v>
      </c>
      <c r="C17" s="180" t="s">
        <v>34</v>
      </c>
      <c r="D17" s="303"/>
      <c r="E17" s="463"/>
      <c r="F17" s="181">
        <v>1</v>
      </c>
      <c r="G17"/>
      <c r="H17" s="33"/>
      <c r="I17" s="33" t="s">
        <v>405</v>
      </c>
      <c r="J17" s="350"/>
      <c r="K17" s="33"/>
      <c r="T17" s="2"/>
    </row>
    <row r="18" spans="1:20" ht="13">
      <c r="A18" s="178" t="str">
        <f>"IC"&amp;COVER!C$15&amp;COVER!C$23&amp;"-"&amp;COVER!C$22&amp;F18</f>
        <v>IC13C241218-102</v>
      </c>
      <c r="B18" s="179" t="s">
        <v>38</v>
      </c>
      <c r="C18" s="180" t="s">
        <v>34</v>
      </c>
      <c r="D18" s="303"/>
      <c r="E18" s="463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IC13C241218-103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1.1910000000000001</v>
      </c>
      <c r="F19" s="181">
        <f t="shared" ref="F19:F72" si="0">F18+1</f>
        <v>3</v>
      </c>
      <c r="G19">
        <f>D19-D19*0.1</f>
        <v>1.08</v>
      </c>
      <c r="H19" s="33">
        <f>D19+D19*0.1</f>
        <v>1.3199999999999998</v>
      </c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IC13C241218-104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1.0609999999999999</v>
      </c>
      <c r="F20" s="181">
        <f t="shared" si="0"/>
        <v>4</v>
      </c>
      <c r="G20">
        <f t="shared" ref="G20:G72" si="1">D20-D20*0.1</f>
        <v>0.9</v>
      </c>
      <c r="H20" s="33">
        <f t="shared" ref="H20:H72" si="2">D20+D20*0.1</f>
        <v>1.1000000000000001</v>
      </c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IC13C241218-105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1.6339999999999999</v>
      </c>
      <c r="F21" s="181">
        <f t="shared" si="0"/>
        <v>5</v>
      </c>
      <c r="G21">
        <f t="shared" si="1"/>
        <v>1.35</v>
      </c>
      <c r="H21" s="33">
        <f t="shared" si="2"/>
        <v>1.65</v>
      </c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IC13C241218-106</v>
      </c>
      <c r="B22" s="179" t="s">
        <v>42</v>
      </c>
      <c r="C22" s="180" t="str">
        <f>C12</f>
        <v>NBS 1572 Citrus Leaf</v>
      </c>
      <c r="D22" s="303">
        <f>D12</f>
        <v>2</v>
      </c>
      <c r="E22" s="463">
        <v>1.97</v>
      </c>
      <c r="F22" s="181">
        <f t="shared" si="0"/>
        <v>6</v>
      </c>
      <c r="G22">
        <f t="shared" si="1"/>
        <v>1.8</v>
      </c>
      <c r="H22" s="33">
        <f t="shared" si="2"/>
        <v>2.2000000000000002</v>
      </c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IC13C241218-107</v>
      </c>
      <c r="B23" s="179" t="s">
        <v>43</v>
      </c>
      <c r="C23" s="410" t="str">
        <f>IF('Investigator Data'!B4="","","R1-"&amp;'Investigator Data'!B4)</f>
        <v xml:space="preserve">R1-20231120_E1_A </v>
      </c>
      <c r="D23" s="304">
        <f>IF('Investigator Data'!C4="",$D$8,'Investigator Data'!C4)</f>
        <v>25</v>
      </c>
      <c r="E23" s="463">
        <v>25.035</v>
      </c>
      <c r="F23" s="181">
        <f t="shared" si="0"/>
        <v>7</v>
      </c>
      <c r="G23">
        <f t="shared" si="1"/>
        <v>22.5</v>
      </c>
      <c r="H23" s="33">
        <f t="shared" si="2"/>
        <v>27.5</v>
      </c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IC13C241218-108</v>
      </c>
      <c r="B24" s="179" t="s">
        <v>44</v>
      </c>
      <c r="C24" s="182" t="str">
        <f>IF('Investigator Data'!B5="","",'Investigator Data'!B5)</f>
        <v xml:space="preserve">20231120_E1_B </v>
      </c>
      <c r="D24" s="304">
        <f>IF('Investigator Data'!C5="",$D$8,'Investigator Data'!C5)</f>
        <v>25</v>
      </c>
      <c r="E24" s="463">
        <v>24.274999999999999</v>
      </c>
      <c r="F24" s="181">
        <f t="shared" si="0"/>
        <v>8</v>
      </c>
      <c r="G24">
        <f t="shared" si="1"/>
        <v>22.5</v>
      </c>
      <c r="H24" s="33">
        <f t="shared" si="2"/>
        <v>27.5</v>
      </c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IC13C241218-109</v>
      </c>
      <c r="B25" s="179" t="s">
        <v>187</v>
      </c>
      <c r="C25" s="182" t="str">
        <f>IF('Investigator Data'!B6="","",'Investigator Data'!B6)</f>
        <v xml:space="preserve">20231120_E1_C </v>
      </c>
      <c r="D25" s="304">
        <f>IF('Investigator Data'!C6="",$D$8,'Investigator Data'!C6)</f>
        <v>25</v>
      </c>
      <c r="E25" s="463">
        <v>26.052</v>
      </c>
      <c r="F25" s="181">
        <f t="shared" si="0"/>
        <v>9</v>
      </c>
      <c r="G25">
        <f t="shared" si="1"/>
        <v>22.5</v>
      </c>
      <c r="H25" s="33">
        <f t="shared" si="2"/>
        <v>27.5</v>
      </c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IC13C241218-1010</v>
      </c>
      <c r="B26" s="179" t="s">
        <v>188</v>
      </c>
      <c r="C26" s="182" t="str">
        <f>IF('Investigator Data'!B7="","",'Investigator Data'!B7)</f>
        <v xml:space="preserve">20231120_E1_D </v>
      </c>
      <c r="D26" s="304">
        <f>IF('Investigator Data'!C7="",$D$8,'Investigator Data'!C7)</f>
        <v>25</v>
      </c>
      <c r="E26" s="463">
        <v>24.437999999999999</v>
      </c>
      <c r="F26" s="181">
        <f t="shared" si="0"/>
        <v>10</v>
      </c>
      <c r="G26">
        <f t="shared" si="1"/>
        <v>22.5</v>
      </c>
      <c r="H26" s="33">
        <f t="shared" si="2"/>
        <v>27.5</v>
      </c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IC13C241218-1011</v>
      </c>
      <c r="B27" s="179" t="s">
        <v>189</v>
      </c>
      <c r="C27" s="182" t="str">
        <f>IF('Investigator Data'!B8="","",'Investigator Data'!B8)</f>
        <v xml:space="preserve">20231120_E1_E </v>
      </c>
      <c r="D27" s="304">
        <f>IF('Investigator Data'!C8="",$D$8,'Investigator Data'!C8)</f>
        <v>25</v>
      </c>
      <c r="E27" s="463">
        <v>25.015000000000001</v>
      </c>
      <c r="F27" s="181">
        <f t="shared" si="0"/>
        <v>11</v>
      </c>
      <c r="G27">
        <f t="shared" si="1"/>
        <v>22.5</v>
      </c>
      <c r="H27" s="33">
        <f t="shared" si="2"/>
        <v>27.5</v>
      </c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IC13C241218-1012</v>
      </c>
      <c r="B28" s="179" t="s">
        <v>190</v>
      </c>
      <c r="C28" s="182" t="str">
        <f>IF('Investigator Data'!B9="","",'Investigator Data'!B9)</f>
        <v xml:space="preserve">20231120_E1_F </v>
      </c>
      <c r="D28" s="304">
        <f>IF('Investigator Data'!C9="",$D$8,'Investigator Data'!C9)</f>
        <v>25</v>
      </c>
      <c r="E28" s="463">
        <v>24.393999999999998</v>
      </c>
      <c r="F28" s="181">
        <f t="shared" si="0"/>
        <v>12</v>
      </c>
      <c r="G28">
        <f t="shared" si="1"/>
        <v>22.5</v>
      </c>
      <c r="H28" s="33">
        <f t="shared" si="2"/>
        <v>27.5</v>
      </c>
      <c r="T28" s="2"/>
    </row>
    <row r="29" spans="1:20" ht="13">
      <c r="A29" s="178" t="str">
        <f>"IC"&amp;COVER!C$15&amp;COVER!C$23&amp;"-"&amp;COVER!C$22&amp;F29</f>
        <v>IC13C241218-1013</v>
      </c>
      <c r="B29" s="179" t="s">
        <v>45</v>
      </c>
      <c r="C29" s="182" t="str">
        <f>IF('Investigator Data'!B10="","",'Investigator Data'!B10)</f>
        <v xml:space="preserve">20231120_E1_G </v>
      </c>
      <c r="D29" s="304">
        <f>IF('Investigator Data'!C10="",$D$8,'Investigator Data'!C10)</f>
        <v>25</v>
      </c>
      <c r="E29" s="463">
        <v>24.509</v>
      </c>
      <c r="F29" s="181">
        <f t="shared" si="0"/>
        <v>13</v>
      </c>
      <c r="G29">
        <f t="shared" si="1"/>
        <v>22.5</v>
      </c>
      <c r="H29" s="33">
        <f t="shared" si="2"/>
        <v>27.5</v>
      </c>
      <c r="T29" s="2"/>
    </row>
    <row r="30" spans="1:20" ht="13">
      <c r="A30" s="178" t="str">
        <f>"IC"&amp;COVER!C$15&amp;COVER!C$23&amp;"-"&amp;COVER!C$22&amp;F30</f>
        <v>IC13C241218-1014</v>
      </c>
      <c r="B30" s="179" t="s">
        <v>46</v>
      </c>
      <c r="C30" s="182" t="str">
        <f>IF('Investigator Data'!B11="","",'Investigator Data'!B11)</f>
        <v xml:space="preserve">20231120_E1_H </v>
      </c>
      <c r="D30" s="304">
        <f>IF('Investigator Data'!C11="",$D$8,'Investigator Data'!C11)</f>
        <v>25</v>
      </c>
      <c r="E30" s="463">
        <v>25.802</v>
      </c>
      <c r="F30" s="181">
        <f t="shared" si="0"/>
        <v>14</v>
      </c>
      <c r="G30">
        <f t="shared" si="1"/>
        <v>22.5</v>
      </c>
      <c r="H30" s="33">
        <f t="shared" si="2"/>
        <v>27.5</v>
      </c>
      <c r="T30" s="2"/>
    </row>
    <row r="31" spans="1:20" ht="13">
      <c r="A31" s="178" t="str">
        <f>"IC"&amp;COVER!C$15&amp;COVER!C$23&amp;"-"&amp;COVER!C$22&amp;F31</f>
        <v>IC13C241218-1015</v>
      </c>
      <c r="B31" s="179" t="s">
        <v>47</v>
      </c>
      <c r="C31" s="182" t="str">
        <f>IF('Investigator Data'!B12="","",'Investigator Data'!B12)</f>
        <v xml:space="preserve">20231120_E1_I </v>
      </c>
      <c r="D31" s="304">
        <f>IF('Investigator Data'!C12="",$D$8,'Investigator Data'!C12)</f>
        <v>25</v>
      </c>
      <c r="E31" s="463">
        <v>24.381</v>
      </c>
      <c r="F31" s="181">
        <f t="shared" si="0"/>
        <v>15</v>
      </c>
      <c r="G31">
        <f t="shared" si="1"/>
        <v>22.5</v>
      </c>
      <c r="H31" s="33">
        <f t="shared" si="2"/>
        <v>27.5</v>
      </c>
      <c r="T31" s="2"/>
    </row>
    <row r="32" spans="1:20" ht="13">
      <c r="A32" s="178" t="str">
        <f>"IC"&amp;COVER!C$15&amp;COVER!C$23&amp;"-"&amp;COVER!C$22&amp;F32</f>
        <v>IC13C241218-1016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1.1519999999999999</v>
      </c>
      <c r="F32" s="181">
        <f t="shared" si="0"/>
        <v>16</v>
      </c>
      <c r="G32">
        <f t="shared" si="1"/>
        <v>1.08</v>
      </c>
      <c r="H32" s="33">
        <f t="shared" si="2"/>
        <v>1.3199999999999998</v>
      </c>
      <c r="T32" s="2"/>
    </row>
    <row r="33" spans="1:20" ht="13">
      <c r="A33" s="178" t="str">
        <f>"IC"&amp;COVER!C$15&amp;COVER!C$23&amp;"-"&amp;COVER!C$22&amp;F33</f>
        <v>IC13C241218-1017</v>
      </c>
      <c r="B33" s="179" t="s">
        <v>49</v>
      </c>
      <c r="C33" s="182" t="str">
        <f>IF('Investigator Data'!B13="","",'Investigator Data'!B13)</f>
        <v>20231120_E2_A</v>
      </c>
      <c r="D33" s="304">
        <f>IF('Investigator Data'!C13="",$D$8,'Investigator Data'!C13)</f>
        <v>25</v>
      </c>
      <c r="E33" s="463">
        <v>24.44</v>
      </c>
      <c r="F33" s="181">
        <f t="shared" si="0"/>
        <v>17</v>
      </c>
      <c r="G33">
        <f t="shared" si="1"/>
        <v>22.5</v>
      </c>
      <c r="H33" s="33">
        <f t="shared" si="2"/>
        <v>27.5</v>
      </c>
      <c r="T33" s="2"/>
    </row>
    <row r="34" spans="1:20" ht="13">
      <c r="A34" s="178" t="str">
        <f>"IC"&amp;COVER!C$15&amp;COVER!C$23&amp;"-"&amp;COVER!C$22&amp;F34</f>
        <v>IC13C241218-1018</v>
      </c>
      <c r="B34" s="179" t="s">
        <v>50</v>
      </c>
      <c r="C34" s="182" t="str">
        <f>IF('Investigator Data'!B14="","",'Investigator Data'!B14)</f>
        <v xml:space="preserve">20231120_E2_B </v>
      </c>
      <c r="D34" s="304">
        <f>IF('Investigator Data'!C14="",$D$8,'Investigator Data'!C14)</f>
        <v>25</v>
      </c>
      <c r="E34" s="463">
        <v>24.635999999999999</v>
      </c>
      <c r="F34" s="181">
        <f t="shared" si="0"/>
        <v>18</v>
      </c>
      <c r="G34">
        <f t="shared" si="1"/>
        <v>22.5</v>
      </c>
      <c r="H34" s="33">
        <f t="shared" si="2"/>
        <v>27.5</v>
      </c>
      <c r="T34" s="2"/>
    </row>
    <row r="35" spans="1:20" ht="13">
      <c r="A35" s="178" t="str">
        <f>"IC"&amp;COVER!C$15&amp;COVER!C$23&amp;"-"&amp;COVER!C$22&amp;F35</f>
        <v>IC13C241218-1019</v>
      </c>
      <c r="B35" s="179" t="s">
        <v>51</v>
      </c>
      <c r="C35" s="182" t="str">
        <f>IF('Investigator Data'!B15="","",'Investigator Data'!B15)</f>
        <v xml:space="preserve">20231120_E2_C </v>
      </c>
      <c r="D35" s="304">
        <f>IF('Investigator Data'!C15="",$D$8,'Investigator Data'!C15)</f>
        <v>25</v>
      </c>
      <c r="E35" s="463">
        <v>24.483000000000001</v>
      </c>
      <c r="F35" s="181">
        <f t="shared" si="0"/>
        <v>19</v>
      </c>
      <c r="G35">
        <f t="shared" si="1"/>
        <v>22.5</v>
      </c>
      <c r="H35" s="33">
        <f t="shared" si="2"/>
        <v>27.5</v>
      </c>
      <c r="T35" s="2"/>
    </row>
    <row r="36" spans="1:20" ht="13">
      <c r="A36" s="178" t="str">
        <f>"IC"&amp;COVER!C$15&amp;COVER!C$23&amp;"-"&amp;COVER!C$22&amp;F36</f>
        <v>IC13C241218-1020</v>
      </c>
      <c r="B36" s="179" t="s">
        <v>52</v>
      </c>
      <c r="C36" s="182" t="str">
        <f>IF('Investigator Data'!B16="","",'Investigator Data'!B16)</f>
        <v xml:space="preserve">20231120_E2_D </v>
      </c>
      <c r="D36" s="304">
        <f>IF('Investigator Data'!C16="",$D$8,'Investigator Data'!C16)</f>
        <v>25</v>
      </c>
      <c r="E36" s="463">
        <v>25.087</v>
      </c>
      <c r="F36" s="181">
        <f t="shared" si="0"/>
        <v>20</v>
      </c>
      <c r="G36">
        <f t="shared" si="1"/>
        <v>22.5</v>
      </c>
      <c r="H36" s="33">
        <f t="shared" si="2"/>
        <v>27.5</v>
      </c>
      <c r="T36" s="2"/>
    </row>
    <row r="37" spans="1:20" ht="13">
      <c r="A37" s="178" t="str">
        <f>"IC"&amp;COVER!C$15&amp;COVER!C$23&amp;"-"&amp;COVER!C$22&amp;F37</f>
        <v>IC13C241218-1021</v>
      </c>
      <c r="B37" s="179" t="s">
        <v>191</v>
      </c>
      <c r="C37" s="410" t="str">
        <f>IF('Investigator Data'!B17="","","R2-"&amp;'Investigator Data'!B17)</f>
        <v xml:space="preserve">R2-20231120_E2_E </v>
      </c>
      <c r="D37" s="304">
        <f>IF('Investigator Data'!C17="",$D$8,'Investigator Data'!C17)</f>
        <v>25</v>
      </c>
      <c r="E37" s="463">
        <v>24.876999999999999</v>
      </c>
      <c r="F37" s="181">
        <f t="shared" si="0"/>
        <v>21</v>
      </c>
      <c r="G37">
        <f t="shared" si="1"/>
        <v>22.5</v>
      </c>
      <c r="H37" s="33">
        <f t="shared" si="2"/>
        <v>27.5</v>
      </c>
      <c r="T37" s="2"/>
    </row>
    <row r="38" spans="1:20" ht="13">
      <c r="A38" s="178" t="str">
        <f>"IC"&amp;COVER!C$15&amp;COVER!C$23&amp;"-"&amp;COVER!C$22&amp;F38</f>
        <v>IC13C241218-1022</v>
      </c>
      <c r="B38" s="179" t="s">
        <v>192</v>
      </c>
      <c r="C38" s="410" t="str">
        <f>IF('Investigator Data'!B17="","","R2-"&amp;'Investigator Data'!B17)</f>
        <v xml:space="preserve">R2-20231120_E2_E </v>
      </c>
      <c r="D38" s="304">
        <f>IF('Investigator Data'!C17="",$D$8,'Investigator Data'!C17)</f>
        <v>25</v>
      </c>
      <c r="E38" s="463">
        <v>24.824000000000002</v>
      </c>
      <c r="F38" s="181">
        <f t="shared" si="0"/>
        <v>22</v>
      </c>
      <c r="G38">
        <f t="shared" si="1"/>
        <v>22.5</v>
      </c>
      <c r="H38" s="33">
        <f t="shared" si="2"/>
        <v>27.5</v>
      </c>
      <c r="T38" s="2"/>
    </row>
    <row r="39" spans="1:20" ht="13">
      <c r="A39" s="178" t="str">
        <f>"IC"&amp;COVER!C$15&amp;COVER!C$23&amp;"-"&amp;COVER!C$22&amp;F39</f>
        <v>IC13C241218-1023</v>
      </c>
      <c r="B39" s="179" t="s">
        <v>193</v>
      </c>
      <c r="C39" s="182" t="str">
        <f>IF('Investigator Data'!B18="","",'Investigator Data'!B18)</f>
        <v xml:space="preserve">20231120_E2_F </v>
      </c>
      <c r="D39" s="304">
        <f>IF('Investigator Data'!C18="",$D$8,'Investigator Data'!C18)</f>
        <v>25</v>
      </c>
      <c r="E39" s="463">
        <v>24.309000000000001</v>
      </c>
      <c r="F39" s="181">
        <f t="shared" si="0"/>
        <v>23</v>
      </c>
      <c r="G39">
        <f t="shared" si="1"/>
        <v>22.5</v>
      </c>
      <c r="H39" s="33">
        <f t="shared" si="2"/>
        <v>27.5</v>
      </c>
      <c r="T39" s="2"/>
    </row>
    <row r="40" spans="1:20" ht="13">
      <c r="A40" s="178" t="str">
        <f>"IC"&amp;COVER!C$15&amp;COVER!C$23&amp;"-"&amp;COVER!C$22&amp;F40</f>
        <v>IC13C241218-1024</v>
      </c>
      <c r="B40" s="179" t="s">
        <v>194</v>
      </c>
      <c r="C40" s="182" t="str">
        <f>IF('Investigator Data'!B19="","",'Investigator Data'!B19)</f>
        <v xml:space="preserve">20231120_E2_G </v>
      </c>
      <c r="D40" s="304">
        <f>IF('Investigator Data'!C19="",$D$8,'Investigator Data'!C19)</f>
        <v>25</v>
      </c>
      <c r="E40" s="463">
        <v>24.257000000000001</v>
      </c>
      <c r="F40" s="181">
        <f t="shared" si="0"/>
        <v>24</v>
      </c>
      <c r="G40">
        <f t="shared" si="1"/>
        <v>22.5</v>
      </c>
      <c r="H40" s="33">
        <f t="shared" si="2"/>
        <v>27.5</v>
      </c>
      <c r="T40" s="2"/>
    </row>
    <row r="41" spans="1:20" ht="13">
      <c r="A41" s="178" t="str">
        <f>"IC"&amp;COVER!C$15&amp;COVER!C$23&amp;"-"&amp;COVER!C$22&amp;F41</f>
        <v>IC13C241218-1025</v>
      </c>
      <c r="B41" s="179" t="s">
        <v>174</v>
      </c>
      <c r="C41" s="182" t="str">
        <f>IF('Investigator Data'!B20="","",'Investigator Data'!B20)</f>
        <v xml:space="preserve">20231120_E3_A </v>
      </c>
      <c r="D41" s="304">
        <f>IF('Investigator Data'!C20="",$D$8,'Investigator Data'!C20)</f>
        <v>25</v>
      </c>
      <c r="E41" s="463">
        <v>25.152999999999999</v>
      </c>
      <c r="F41" s="181">
        <f t="shared" si="0"/>
        <v>25</v>
      </c>
      <c r="G41">
        <f t="shared" si="1"/>
        <v>22.5</v>
      </c>
      <c r="H41" s="33">
        <f t="shared" si="2"/>
        <v>27.5</v>
      </c>
      <c r="T41" s="2"/>
    </row>
    <row r="42" spans="1:20" ht="13">
      <c r="A42" s="178" t="str">
        <f>"IC"&amp;COVER!C$15&amp;COVER!C$23&amp;"-"&amp;COVER!C$22&amp;F42</f>
        <v>IC13C241218-1026</v>
      </c>
      <c r="B42" s="179" t="s">
        <v>53</v>
      </c>
      <c r="C42" s="182" t="str">
        <f>IF('Investigator Data'!B21="","",'Investigator Data'!B21)</f>
        <v xml:space="preserve">20231120_E3_B </v>
      </c>
      <c r="D42" s="304">
        <f>IF('Investigator Data'!C21="",$D$8,'Investigator Data'!C21)</f>
        <v>25</v>
      </c>
      <c r="E42" s="463">
        <v>25.344999999999999</v>
      </c>
      <c r="F42" s="181">
        <f t="shared" si="0"/>
        <v>26</v>
      </c>
      <c r="G42">
        <f t="shared" si="1"/>
        <v>22.5</v>
      </c>
      <c r="H42" s="33">
        <f t="shared" si="2"/>
        <v>27.5</v>
      </c>
      <c r="T42" s="2"/>
    </row>
    <row r="43" spans="1:20" ht="13">
      <c r="A43" s="178" t="str">
        <f>"IC"&amp;COVER!C$15&amp;COVER!C$23&amp;"-"&amp;COVER!C$22&amp;F43</f>
        <v>IC13C241218-1027</v>
      </c>
      <c r="B43" s="179" t="s">
        <v>54</v>
      </c>
      <c r="C43" s="180" t="s">
        <v>34</v>
      </c>
      <c r="D43" s="303"/>
      <c r="E43" s="463"/>
      <c r="F43" s="181">
        <f>F42+1</f>
        <v>27</v>
      </c>
      <c r="G43">
        <f t="shared" si="1"/>
        <v>0</v>
      </c>
      <c r="H43" s="33">
        <f t="shared" si="2"/>
        <v>0</v>
      </c>
      <c r="T43" s="2"/>
    </row>
    <row r="44" spans="1:20" ht="13">
      <c r="A44" s="178" t="str">
        <f>"IC"&amp;COVER!C$15&amp;COVER!C$23&amp;"-"&amp;COVER!C$22&amp;F44</f>
        <v>IC13C241218-1028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1.0880000000000001</v>
      </c>
      <c r="F44" s="181">
        <f t="shared" si="0"/>
        <v>28</v>
      </c>
      <c r="G44">
        <f t="shared" si="1"/>
        <v>1.08</v>
      </c>
      <c r="H44" s="33">
        <f t="shared" si="2"/>
        <v>1.3199999999999998</v>
      </c>
      <c r="T44" s="2"/>
    </row>
    <row r="45" spans="1:20" ht="13">
      <c r="A45" s="178" t="str">
        <f>"IC"&amp;COVER!C$15&amp;COVER!C$23&amp;"-"&amp;COVER!C$22&amp;F45</f>
        <v>IC13C241218-1029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1.075</v>
      </c>
      <c r="F45" s="181">
        <f t="shared" si="0"/>
        <v>29</v>
      </c>
      <c r="G45">
        <f t="shared" si="1"/>
        <v>0.9</v>
      </c>
      <c r="H45" s="33">
        <f t="shared" si="2"/>
        <v>1.1000000000000001</v>
      </c>
      <c r="T45" s="2"/>
    </row>
    <row r="46" spans="1:20" ht="13">
      <c r="A46" s="178" t="str">
        <f>"IC"&amp;COVER!C$15&amp;COVER!C$23&amp;"-"&amp;COVER!C$22&amp;F46</f>
        <v>IC13C241218-1030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1.607</v>
      </c>
      <c r="F46" s="181">
        <f t="shared" si="0"/>
        <v>30</v>
      </c>
      <c r="G46">
        <f t="shared" si="1"/>
        <v>1.35</v>
      </c>
      <c r="H46" s="33">
        <f t="shared" si="2"/>
        <v>1.65</v>
      </c>
      <c r="T46" s="2"/>
    </row>
    <row r="47" spans="1:20" ht="13">
      <c r="A47" s="178" t="str">
        <f>"IC"&amp;COVER!C$15&amp;COVER!C$23&amp;"-"&amp;COVER!C$22&amp;F47</f>
        <v>IC13C241218-1031</v>
      </c>
      <c r="B47" s="179" t="s">
        <v>58</v>
      </c>
      <c r="C47" s="180" t="str">
        <f>C12</f>
        <v>NBS 1572 Citrus Leaf</v>
      </c>
      <c r="D47" s="303">
        <f>$D$12</f>
        <v>2</v>
      </c>
      <c r="E47" s="463">
        <v>1.9079999999999999</v>
      </c>
      <c r="F47" s="181">
        <f t="shared" si="0"/>
        <v>31</v>
      </c>
      <c r="G47">
        <f t="shared" si="1"/>
        <v>1.8</v>
      </c>
      <c r="H47" s="33">
        <f t="shared" si="2"/>
        <v>2.2000000000000002</v>
      </c>
      <c r="T47" s="2"/>
    </row>
    <row r="48" spans="1:20" ht="13">
      <c r="A48" s="178" t="str">
        <f>"IC"&amp;COVER!C$15&amp;COVER!C$23&amp;"-"&amp;COVER!C$22&amp;F48</f>
        <v>IC13C241218-1032</v>
      </c>
      <c r="B48" s="179" t="s">
        <v>59</v>
      </c>
      <c r="C48" s="183" t="str">
        <f>IF('Investigator Data'!B22="","",'Investigator Data'!B22)</f>
        <v xml:space="preserve">20231120_E3_C </v>
      </c>
      <c r="D48" s="304">
        <f>IF('Investigator Data'!C22="",$D$8,'Investigator Data'!C22)</f>
        <v>25</v>
      </c>
      <c r="E48" s="463">
        <v>24.297999999999998</v>
      </c>
      <c r="F48" s="181">
        <f t="shared" si="0"/>
        <v>32</v>
      </c>
      <c r="G48">
        <f t="shared" si="1"/>
        <v>22.5</v>
      </c>
      <c r="H48" s="33">
        <f t="shared" si="2"/>
        <v>27.5</v>
      </c>
      <c r="T48" s="2"/>
    </row>
    <row r="49" spans="1:20" ht="13">
      <c r="A49" s="178" t="str">
        <f>"IC"&amp;COVER!C$15&amp;COVER!C$23&amp;"-"&amp;COVER!C$22&amp;F49</f>
        <v>IC13C241218-1033</v>
      </c>
      <c r="B49" s="179" t="s">
        <v>195</v>
      </c>
      <c r="C49" s="183" t="str">
        <f>IF('Investigator Data'!B23="","",'Investigator Data'!B23)</f>
        <v xml:space="preserve">20231120_E3_D </v>
      </c>
      <c r="D49" s="304">
        <f>IF('Investigator Data'!C23="",$D$8,'Investigator Data'!C23)</f>
        <v>25</v>
      </c>
      <c r="E49" s="463">
        <v>25.091999999999999</v>
      </c>
      <c r="F49" s="181">
        <f t="shared" si="0"/>
        <v>33</v>
      </c>
      <c r="G49">
        <f t="shared" si="1"/>
        <v>22.5</v>
      </c>
      <c r="H49" s="33">
        <f t="shared" si="2"/>
        <v>27.5</v>
      </c>
      <c r="T49" s="2"/>
    </row>
    <row r="50" spans="1:20" ht="13">
      <c r="A50" s="178" t="str">
        <f>"IC"&amp;COVER!C$15&amp;COVER!C$23&amp;"-"&amp;COVER!C$22&amp;F50</f>
        <v>IC13C241218-1034</v>
      </c>
      <c r="B50" s="179" t="s">
        <v>196</v>
      </c>
      <c r="C50" s="183" t="str">
        <f>IF('Investigator Data'!B24="","",'Investigator Data'!B24)</f>
        <v xml:space="preserve">20231120_E3_E </v>
      </c>
      <c r="D50" s="304">
        <f>IF('Investigator Data'!C24="",$D$8,'Investigator Data'!C24)</f>
        <v>25</v>
      </c>
      <c r="E50" s="463">
        <v>25.885999999999999</v>
      </c>
      <c r="F50" s="181">
        <f t="shared" si="0"/>
        <v>34</v>
      </c>
      <c r="G50">
        <f t="shared" si="1"/>
        <v>22.5</v>
      </c>
      <c r="H50" s="33">
        <f t="shared" si="2"/>
        <v>27.5</v>
      </c>
      <c r="T50" s="2"/>
    </row>
    <row r="51" spans="1:20" ht="13">
      <c r="A51" s="178" t="str">
        <f>"IC"&amp;COVER!C$15&amp;COVER!C$23&amp;"-"&amp;COVER!C$22&amp;F51</f>
        <v>IC13C241218-1035</v>
      </c>
      <c r="B51" s="179" t="s">
        <v>197</v>
      </c>
      <c r="C51" s="183" t="str">
        <f>IF('Investigator Data'!B25="","",'Investigator Data'!B25)</f>
        <v xml:space="preserve">20231120_E3_F </v>
      </c>
      <c r="D51" s="304">
        <f>IF('Investigator Data'!C25="",$D$8,'Investigator Data'!C25)</f>
        <v>25</v>
      </c>
      <c r="E51" s="463">
        <v>25.902000000000001</v>
      </c>
      <c r="F51" s="181">
        <f t="shared" si="0"/>
        <v>35</v>
      </c>
      <c r="G51">
        <f t="shared" si="1"/>
        <v>22.5</v>
      </c>
      <c r="H51" s="33">
        <f t="shared" si="2"/>
        <v>27.5</v>
      </c>
      <c r="T51" s="2"/>
    </row>
    <row r="52" spans="1:20" ht="13">
      <c r="A52" s="178" t="str">
        <f>"IC"&amp;COVER!C$15&amp;COVER!C$23&amp;"-"&amp;COVER!C$22&amp;F52</f>
        <v>IC13C241218-1036</v>
      </c>
      <c r="B52" s="179" t="s">
        <v>198</v>
      </c>
      <c r="C52" s="183" t="str">
        <f>IF('Investigator Data'!B26="","",'Investigator Data'!B26)</f>
        <v xml:space="preserve">20231120_E3_G </v>
      </c>
      <c r="D52" s="304">
        <f>IF('Investigator Data'!C26="",$D$8,'Investigator Data'!C26)</f>
        <v>25</v>
      </c>
      <c r="E52" s="463">
        <v>25.771000000000001</v>
      </c>
      <c r="F52" s="181">
        <f t="shared" si="0"/>
        <v>36</v>
      </c>
      <c r="G52">
        <f t="shared" si="1"/>
        <v>22.5</v>
      </c>
      <c r="H52" s="33">
        <f t="shared" si="2"/>
        <v>27.5</v>
      </c>
      <c r="T52" s="2"/>
    </row>
    <row r="53" spans="1:20" ht="13">
      <c r="A53" s="178" t="str">
        <f>"IC"&amp;COVER!C$15&amp;COVER!C$23&amp;"-"&amp;COVER!C$22&amp;F53</f>
        <v>IC13C241218-1037</v>
      </c>
      <c r="B53" s="179" t="s">
        <v>60</v>
      </c>
      <c r="C53" s="183" t="str">
        <f>IF('Investigator Data'!B27="","",'Investigator Data'!B27)</f>
        <v xml:space="preserve">20231120_E3_H </v>
      </c>
      <c r="D53" s="304">
        <f>IF('Investigator Data'!C27="",$D$8,'Investigator Data'!C27)</f>
        <v>25</v>
      </c>
      <c r="E53" s="463">
        <v>25.09</v>
      </c>
      <c r="F53" s="181">
        <f t="shared" si="0"/>
        <v>37</v>
      </c>
      <c r="G53">
        <f t="shared" si="1"/>
        <v>22.5</v>
      </c>
      <c r="H53" s="33">
        <f t="shared" si="2"/>
        <v>27.5</v>
      </c>
      <c r="T53" s="2"/>
    </row>
    <row r="54" spans="1:20" ht="13">
      <c r="A54" s="178" t="str">
        <f>"IC"&amp;COVER!C$15&amp;COVER!C$23&amp;"-"&amp;COVER!C$22&amp;F54</f>
        <v>IC13C241218-1038</v>
      </c>
      <c r="B54" s="179" t="s">
        <v>61</v>
      </c>
      <c r="C54" s="183" t="str">
        <f>IF('Investigator Data'!B28="","",'Investigator Data'!B28)</f>
        <v xml:space="preserve">20231120_E3_I </v>
      </c>
      <c r="D54" s="304">
        <f>IF('Investigator Data'!C28="",$D$8,'Investigator Data'!C28)</f>
        <v>25</v>
      </c>
      <c r="E54" s="463">
        <v>25.611999999999998</v>
      </c>
      <c r="F54" s="181">
        <f t="shared" si="0"/>
        <v>38</v>
      </c>
      <c r="G54">
        <f t="shared" si="1"/>
        <v>22.5</v>
      </c>
      <c r="H54" s="33">
        <f t="shared" si="2"/>
        <v>27.5</v>
      </c>
      <c r="T54" s="2"/>
    </row>
    <row r="55" spans="1:20" ht="13">
      <c r="A55" s="178" t="str">
        <f>"IC"&amp;COVER!C$15&amp;COVER!C$23&amp;"-"&amp;COVER!C$22&amp;F55</f>
        <v>IC13C241218-1039</v>
      </c>
      <c r="B55" s="179" t="s">
        <v>62</v>
      </c>
      <c r="C55" s="183" t="str">
        <f>IF('Investigator Data'!B29="","",'Investigator Data'!B29)</f>
        <v xml:space="preserve">20231120_S2_A </v>
      </c>
      <c r="D55" s="304">
        <f>IF('Investigator Data'!C29="",$D$8,'Investigator Data'!C29)</f>
        <v>25</v>
      </c>
      <c r="E55" s="463">
        <v>25.896000000000001</v>
      </c>
      <c r="F55" s="181">
        <f t="shared" si="0"/>
        <v>39</v>
      </c>
      <c r="G55">
        <f t="shared" si="1"/>
        <v>22.5</v>
      </c>
      <c r="H55" s="33">
        <f t="shared" si="2"/>
        <v>27.5</v>
      </c>
      <c r="T55" s="2"/>
    </row>
    <row r="56" spans="1:20" ht="13">
      <c r="A56" s="178" t="str">
        <f>"IC"&amp;COVER!C$15&amp;COVER!C$23&amp;"-"&amp;COVER!C$22&amp;F56</f>
        <v>IC13C241218-1040</v>
      </c>
      <c r="B56" s="179" t="s">
        <v>63</v>
      </c>
      <c r="C56" s="183" t="str">
        <f>IF('Investigator Data'!B30="","",'Investigator Data'!B30)</f>
        <v xml:space="preserve">20231120_S2_B </v>
      </c>
      <c r="D56" s="304">
        <f>IF('Investigator Data'!C30="",$D$8,'Investigator Data'!C30)</f>
        <v>25</v>
      </c>
      <c r="E56" s="463">
        <v>24.954000000000001</v>
      </c>
      <c r="F56" s="181">
        <f t="shared" si="0"/>
        <v>40</v>
      </c>
      <c r="G56">
        <f t="shared" si="1"/>
        <v>22.5</v>
      </c>
      <c r="H56" s="33">
        <f t="shared" si="2"/>
        <v>27.5</v>
      </c>
      <c r="T56" s="2"/>
    </row>
    <row r="57" spans="1:20" ht="13">
      <c r="A57" s="178" t="str">
        <f>"IC"&amp;COVER!C$15&amp;COVER!C$23&amp;"-"&amp;COVER!C$22&amp;F57</f>
        <v>IC13C241218-1041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1.155</v>
      </c>
      <c r="F57" s="181">
        <f t="shared" si="0"/>
        <v>41</v>
      </c>
      <c r="G57">
        <f t="shared" si="1"/>
        <v>1.08</v>
      </c>
      <c r="H57" s="33">
        <f t="shared" si="2"/>
        <v>1.3199999999999998</v>
      </c>
      <c r="T57" s="2"/>
    </row>
    <row r="58" spans="1:20" ht="13">
      <c r="A58" s="178" t="str">
        <f>"IC"&amp;COVER!C$15&amp;COVER!C$23&amp;"-"&amp;COVER!C$22&amp;F58</f>
        <v>IC13C241218-1042</v>
      </c>
      <c r="B58" s="179" t="s">
        <v>65</v>
      </c>
      <c r="C58" s="183" t="str">
        <f>IF('Investigator Data'!B31="","",'Investigator Data'!B31)</f>
        <v>20231120_S2_B_Dup</v>
      </c>
      <c r="D58" s="304">
        <f>IF('Investigator Data'!C31="",$D$8,'Investigator Data'!C31)</f>
        <v>25</v>
      </c>
      <c r="E58" s="463">
        <v>25.31</v>
      </c>
      <c r="F58" s="181">
        <f t="shared" si="0"/>
        <v>42</v>
      </c>
      <c r="G58">
        <f t="shared" si="1"/>
        <v>22.5</v>
      </c>
      <c r="H58" s="33">
        <f t="shared" si="2"/>
        <v>27.5</v>
      </c>
      <c r="T58" s="2"/>
    </row>
    <row r="59" spans="1:20" ht="13">
      <c r="A59" s="178" t="str">
        <f>"IC"&amp;COVER!C$15&amp;COVER!C$23&amp;"-"&amp;COVER!C$22&amp;F59</f>
        <v>IC13C241218-1043</v>
      </c>
      <c r="B59" s="179" t="s">
        <v>11</v>
      </c>
      <c r="C59" s="183" t="str">
        <f>IF('Investigator Data'!B32="","",'Investigator Data'!B32)</f>
        <v xml:space="preserve">20231120_S2_C </v>
      </c>
      <c r="D59" s="304">
        <f>IF('Investigator Data'!C32="",$D$8,'Investigator Data'!C32)</f>
        <v>25</v>
      </c>
      <c r="E59" s="463">
        <v>24.462</v>
      </c>
      <c r="F59" s="181">
        <f t="shared" si="0"/>
        <v>43</v>
      </c>
      <c r="G59">
        <f t="shared" si="1"/>
        <v>22.5</v>
      </c>
      <c r="H59" s="33">
        <f t="shared" si="2"/>
        <v>27.5</v>
      </c>
      <c r="T59" s="2"/>
    </row>
    <row r="60" spans="1:20" ht="13">
      <c r="A60" s="178" t="str">
        <f>"IC"&amp;COVER!C$15&amp;COVER!C$23&amp;"-"&amp;COVER!C$22&amp;F60</f>
        <v>IC13C241218-1044</v>
      </c>
      <c r="B60" s="179" t="s">
        <v>12</v>
      </c>
      <c r="C60" s="183" t="str">
        <f>IF('Investigator Data'!B33="","",'Investigator Data'!B33)</f>
        <v xml:space="preserve">20231120_S2_D </v>
      </c>
      <c r="D60" s="304">
        <f>IF('Investigator Data'!C33="",$D$8,'Investigator Data'!C33)</f>
        <v>25</v>
      </c>
      <c r="E60" s="463">
        <v>25.257999999999999</v>
      </c>
      <c r="F60" s="181">
        <f t="shared" si="0"/>
        <v>44</v>
      </c>
      <c r="G60">
        <f t="shared" si="1"/>
        <v>22.5</v>
      </c>
      <c r="H60" s="33">
        <f t="shared" si="2"/>
        <v>27.5</v>
      </c>
      <c r="T60" s="2"/>
    </row>
    <row r="61" spans="1:20" ht="13">
      <c r="A61" s="178" t="str">
        <f>"IC"&amp;COVER!C$15&amp;COVER!C$23&amp;"-"&amp;COVER!C$22&amp;F61</f>
        <v>IC13C241218-1045</v>
      </c>
      <c r="B61" s="179" t="s">
        <v>199</v>
      </c>
      <c r="C61" s="183" t="str">
        <f>IF('Investigator Data'!B34="","",'Investigator Data'!B34)</f>
        <v xml:space="preserve">20231120_S2_E </v>
      </c>
      <c r="D61" s="304">
        <f>IF('Investigator Data'!C34="",$D$8,'Investigator Data'!C34)</f>
        <v>25</v>
      </c>
      <c r="E61" s="463">
        <v>25.324999999999999</v>
      </c>
      <c r="F61" s="181">
        <f t="shared" si="0"/>
        <v>45</v>
      </c>
      <c r="G61">
        <f t="shared" si="1"/>
        <v>22.5</v>
      </c>
      <c r="H61" s="33">
        <f t="shared" si="2"/>
        <v>27.5</v>
      </c>
      <c r="T61" s="2"/>
    </row>
    <row r="62" spans="1:20" ht="13">
      <c r="A62" s="178" t="str">
        <f>"IC"&amp;COVER!C$15&amp;COVER!C$23&amp;"-"&amp;COVER!C$22&amp;F62</f>
        <v>IC13C241218-1046</v>
      </c>
      <c r="B62" s="179" t="s">
        <v>200</v>
      </c>
      <c r="C62" s="183" t="str">
        <f>IF('Investigator Data'!B35="","",'Investigator Data'!B35)</f>
        <v xml:space="preserve">20231120_S2_F </v>
      </c>
      <c r="D62" s="304">
        <f>IF('Investigator Data'!C35="",$D$8,'Investigator Data'!C35)</f>
        <v>25</v>
      </c>
      <c r="E62" s="463">
        <v>24.765999999999998</v>
      </c>
      <c r="F62" s="181">
        <f t="shared" si="0"/>
        <v>46</v>
      </c>
      <c r="G62">
        <f t="shared" si="1"/>
        <v>22.5</v>
      </c>
      <c r="H62" s="33">
        <f t="shared" si="2"/>
        <v>27.5</v>
      </c>
      <c r="T62" s="2"/>
    </row>
    <row r="63" spans="1:20" ht="13">
      <c r="A63" s="178" t="str">
        <f>"IC"&amp;COVER!C$15&amp;COVER!C$23&amp;"-"&amp;COVER!C$22&amp;F63</f>
        <v>IC13C241218-1047</v>
      </c>
      <c r="B63" s="179" t="s">
        <v>201</v>
      </c>
      <c r="C63" s="183" t="str">
        <f>IF('Investigator Data'!B36="","",'Investigator Data'!B36)</f>
        <v xml:space="preserve">20231120_S2_G </v>
      </c>
      <c r="D63" s="304">
        <f>IF('Investigator Data'!C36="",$D$8,'Investigator Data'!C36)</f>
        <v>25</v>
      </c>
      <c r="E63" s="463">
        <v>24.949000000000002</v>
      </c>
      <c r="F63" s="181">
        <f t="shared" si="0"/>
        <v>47</v>
      </c>
      <c r="G63">
        <f t="shared" si="1"/>
        <v>22.5</v>
      </c>
      <c r="H63" s="33">
        <f t="shared" si="2"/>
        <v>27.5</v>
      </c>
      <c r="T63" s="2"/>
    </row>
    <row r="64" spans="1:20" ht="13">
      <c r="A64" s="178" t="str">
        <f>"IC"&amp;COVER!C$15&amp;COVER!C$23&amp;"-"&amp;COVER!C$22&amp;F64</f>
        <v>IC13C241218-1048</v>
      </c>
      <c r="B64" s="179" t="s">
        <v>202</v>
      </c>
      <c r="C64" s="183" t="str">
        <f>IF('Investigator Data'!B37="","",'Investigator Data'!B37)</f>
        <v>20231120_S2_H</v>
      </c>
      <c r="D64" s="304">
        <f>IF('Investigator Data'!C37="",$D$8,'Investigator Data'!C37)</f>
        <v>25</v>
      </c>
      <c r="E64" s="463">
        <v>25.83</v>
      </c>
      <c r="F64" s="181">
        <f t="shared" si="0"/>
        <v>48</v>
      </c>
      <c r="G64">
        <f t="shared" si="1"/>
        <v>22.5</v>
      </c>
      <c r="H64" s="33">
        <f t="shared" si="2"/>
        <v>27.5</v>
      </c>
      <c r="T64" s="2"/>
    </row>
    <row r="65" spans="1:20" ht="13">
      <c r="A65" s="178" t="str">
        <f>"IC"&amp;COVER!C$15&amp;COVER!C$23&amp;"-"&amp;COVER!C$22&amp;F65</f>
        <v>IC13C241218-1049</v>
      </c>
      <c r="B65" s="179" t="s">
        <v>13</v>
      </c>
      <c r="C65" s="183" t="str">
        <f>IF('Investigator Data'!B38="","",'Investigator Data'!B38)</f>
        <v xml:space="preserve">20231120_S2_I </v>
      </c>
      <c r="D65" s="304">
        <f>IF('Investigator Data'!C38="",$D$8,'Investigator Data'!C38)</f>
        <v>25</v>
      </c>
      <c r="E65" s="463">
        <v>26.013999999999999</v>
      </c>
      <c r="F65" s="181">
        <f t="shared" si="0"/>
        <v>49</v>
      </c>
      <c r="G65">
        <f t="shared" si="1"/>
        <v>22.5</v>
      </c>
      <c r="H65" s="33">
        <f t="shared" si="2"/>
        <v>27.5</v>
      </c>
      <c r="T65" s="2"/>
    </row>
    <row r="66" spans="1:20" ht="13">
      <c r="A66" s="178" t="str">
        <f>"IC"&amp;COVER!C$15&amp;COVER!C$23&amp;"-"&amp;COVER!C$22&amp;F66</f>
        <v>IC13C241218-1050</v>
      </c>
      <c r="B66" s="179" t="s">
        <v>167</v>
      </c>
      <c r="C66" s="183" t="str">
        <f>IF('Investigator Data'!B39="","",'Investigator Data'!B39)</f>
        <v xml:space="preserve">20231120_S2_J </v>
      </c>
      <c r="D66" s="304">
        <f>IF('Investigator Data'!C39="",$D$8,'Investigator Data'!C39)</f>
        <v>25</v>
      </c>
      <c r="E66" s="463">
        <v>26.116</v>
      </c>
      <c r="F66" s="181">
        <f t="shared" si="0"/>
        <v>50</v>
      </c>
      <c r="G66">
        <f t="shared" si="1"/>
        <v>22.5</v>
      </c>
      <c r="H66" s="33">
        <f t="shared" si="2"/>
        <v>27.5</v>
      </c>
    </row>
    <row r="67" spans="1:20" ht="13">
      <c r="A67" s="178" t="str">
        <f>"IC"&amp;COVER!C$15&amp;COVER!C$23&amp;"-"&amp;COVER!C$22&amp;F67</f>
        <v>IC13C241218-1051</v>
      </c>
      <c r="B67" s="179" t="s">
        <v>168</v>
      </c>
      <c r="C67" s="410" t="str">
        <f>IF('Investigator Data'!B4="","","R1-"&amp;'Investigator Data'!B4)</f>
        <v xml:space="preserve">R1-20231120_E1_A </v>
      </c>
      <c r="D67" s="304">
        <f>IF('Investigator Data'!C4="",$D$8,'Investigator Data'!C4)</f>
        <v>25</v>
      </c>
      <c r="E67" s="463">
        <v>25.306000000000001</v>
      </c>
      <c r="F67" s="181">
        <f t="shared" si="0"/>
        <v>51</v>
      </c>
      <c r="G67">
        <f t="shared" si="1"/>
        <v>22.5</v>
      </c>
      <c r="H67" s="33">
        <f t="shared" si="2"/>
        <v>27.5</v>
      </c>
    </row>
    <row r="68" spans="1:20" ht="13">
      <c r="A68" s="178" t="str">
        <f>"IC"&amp;COVER!C$15&amp;COVER!C$23&amp;"-"&amp;COVER!C$22&amp;F68</f>
        <v>IC13C241218-1052</v>
      </c>
      <c r="B68" s="179" t="s">
        <v>169</v>
      </c>
      <c r="C68" s="180" t="s">
        <v>34</v>
      </c>
      <c r="D68" s="303"/>
      <c r="E68" s="463"/>
      <c r="F68" s="181">
        <f t="shared" si="0"/>
        <v>52</v>
      </c>
      <c r="G68">
        <f t="shared" si="1"/>
        <v>0</v>
      </c>
      <c r="H68" s="33">
        <f t="shared" si="2"/>
        <v>0</v>
      </c>
    </row>
    <row r="69" spans="1:20" ht="13">
      <c r="A69" s="178" t="str">
        <f>"IC"&amp;COVER!C$15&amp;COVER!C$23&amp;"-"&amp;COVER!C$22&amp;F69</f>
        <v>IC13C241218-1053</v>
      </c>
      <c r="B69" s="179" t="s">
        <v>170</v>
      </c>
      <c r="C69" s="180" t="str">
        <f>$C$9</f>
        <v>ISIRF Ulva</v>
      </c>
      <c r="D69" s="303">
        <f>$D$9</f>
        <v>1.2</v>
      </c>
      <c r="E69" s="464">
        <v>1.131</v>
      </c>
      <c r="F69" s="181">
        <f t="shared" si="0"/>
        <v>53</v>
      </c>
      <c r="G69">
        <f t="shared" si="1"/>
        <v>1.08</v>
      </c>
      <c r="H69" s="33">
        <f t="shared" si="2"/>
        <v>1.3199999999999998</v>
      </c>
    </row>
    <row r="70" spans="1:20" ht="13">
      <c r="A70" s="178" t="str">
        <f>"IC"&amp;COVER!C$15&amp;COVER!C$23&amp;"-"&amp;COVER!C$22&amp;F70</f>
        <v>IC13C241218-1054</v>
      </c>
      <c r="B70" s="179" t="s">
        <v>171</v>
      </c>
      <c r="C70" s="180" t="str">
        <f>$C$10</f>
        <v>ISIRF Chitin</v>
      </c>
      <c r="D70" s="303">
        <f>$D$10</f>
        <v>1</v>
      </c>
      <c r="E70" s="464">
        <v>1.0429999999999999</v>
      </c>
      <c r="F70" s="181">
        <f t="shared" si="0"/>
        <v>54</v>
      </c>
      <c r="G70">
        <f t="shared" si="1"/>
        <v>0.9</v>
      </c>
      <c r="H70" s="33">
        <f t="shared" si="2"/>
        <v>1.1000000000000001</v>
      </c>
    </row>
    <row r="71" spans="1:20" ht="13">
      <c r="A71" s="178" t="str">
        <f>"IC"&amp;COVER!C$15&amp;COVER!C$23&amp;"-"&amp;COVER!C$22&amp;F71</f>
        <v>IC13C241218-1055</v>
      </c>
      <c r="B71" s="179" t="s">
        <v>172</v>
      </c>
      <c r="C71" s="180" t="str">
        <f>$C$11</f>
        <v>ISIRF Bamboo</v>
      </c>
      <c r="D71" s="303">
        <f>$D$11</f>
        <v>1.5</v>
      </c>
      <c r="E71" s="463">
        <v>1.375</v>
      </c>
      <c r="F71" s="181">
        <f t="shared" si="0"/>
        <v>55</v>
      </c>
      <c r="G71">
        <f t="shared" si="1"/>
        <v>1.35</v>
      </c>
      <c r="H71" s="33">
        <f t="shared" si="2"/>
        <v>1.65</v>
      </c>
    </row>
    <row r="72" spans="1:20" ht="13">
      <c r="A72" s="440" t="str">
        <f>"IC"&amp;COVER!C$15&amp;COVER!C$23&amp;"-"&amp;COVER!C$22&amp;F72</f>
        <v>IC13C241218-1056</v>
      </c>
      <c r="B72" s="441" t="s">
        <v>173</v>
      </c>
      <c r="C72" s="442" t="str">
        <f>C12</f>
        <v>NBS 1572 Citrus Leaf</v>
      </c>
      <c r="D72" s="443">
        <f>$D$12</f>
        <v>2</v>
      </c>
      <c r="E72" s="465">
        <v>2.0579999999999998</v>
      </c>
      <c r="F72" s="444">
        <f t="shared" si="0"/>
        <v>56</v>
      </c>
      <c r="G72">
        <f t="shared" si="1"/>
        <v>1.8</v>
      </c>
      <c r="H72" s="33">
        <f t="shared" si="2"/>
        <v>2.2000000000000002</v>
      </c>
    </row>
    <row r="73" spans="1:20" ht="13">
      <c r="B73" s="439"/>
    </row>
    <row r="74" spans="1:20" ht="13">
      <c r="B74" s="439"/>
    </row>
    <row r="75" spans="1:20" ht="13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17:E18">
    <cfRule type="expression" dxfId="12" priority="3" stopIfTrue="1">
      <formula>C17=""</formula>
    </cfRule>
  </conditionalFormatting>
  <conditionalFormatting sqref="E23:E72">
    <cfRule type="expression" dxfId="11" priority="1" stopIfTrue="1">
      <formula>C23=""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S13" sqref="S13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IC13C-241218-10KansasROARCarbon-1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>
        <f>IF(SUM(L7:L11)&lt;2,"",SQRT((SUMPRODUCT(F6:F11,L6:L11))/SUM(L6:L11)))</f>
        <v>0.17473889829176162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-27.186978450055932</v>
      </c>
      <c r="F6" s="133">
        <f>'ISIRF 13C'!C33</f>
        <v>2.0004514153497783E-3</v>
      </c>
      <c r="G6" s="107">
        <f>'ISIRF 13C'!D33</f>
        <v>4.4726406242283523E-2</v>
      </c>
      <c r="H6" s="106">
        <f>'ISIRF 13C'!D7</f>
        <v>43.692042301333338</v>
      </c>
      <c r="I6" s="108">
        <f>'ISIRF 13C'!E33</f>
        <v>43.227823217500003</v>
      </c>
      <c r="J6" s="108">
        <f>'ISIRF 13C'!F33</f>
        <v>0.13692439812396928</v>
      </c>
      <c r="K6" s="391">
        <f>'ISIRF 13C'!G33</f>
        <v>8.5600648246183242E-3</v>
      </c>
      <c r="L6" s="400">
        <f>'ISIRF 13C'!H33</f>
        <v>3</v>
      </c>
      <c r="M6" s="82" t="s">
        <v>89</v>
      </c>
      <c r="N6" s="83"/>
      <c r="O6" s="84">
        <f>AVERAGE(K6:K11)</f>
        <v>2.2113240115507263E-2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-12.884712223944646</v>
      </c>
      <c r="F7" s="99">
        <f>'ISIRF 13C'!C30</f>
        <v>5.3241153074970397E-2</v>
      </c>
      <c r="G7" s="100">
        <f>'ISIRF 13C'!D30</f>
        <v>0.2307404452517382</v>
      </c>
      <c r="H7" s="101">
        <f>'ISIRF 13C'!D4</f>
        <v>33.294437556499993</v>
      </c>
      <c r="I7" s="99">
        <f>'ISIRF 13C'!E30</f>
        <v>32.919907518900004</v>
      </c>
      <c r="J7" s="99">
        <f>'ISIRF 13C'!F30</f>
        <v>0.46872627942245648</v>
      </c>
      <c r="K7" s="100">
        <f>'ISIRF 13C'!G30</f>
        <v>2.0797016917763353E-2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-21.22972966479788</v>
      </c>
      <c r="F8" s="106">
        <f>'ISIRF 13C'!C31</f>
        <v>1.40718669336399E-2</v>
      </c>
      <c r="G8" s="377">
        <f>'ISIRF 13C'!D31</f>
        <v>0.11862490014174891</v>
      </c>
      <c r="H8" s="378">
        <f>'ISIRF 13C'!D5</f>
        <v>44.925158736166672</v>
      </c>
      <c r="I8" s="103">
        <f>'ISIRF 13C'!E31</f>
        <v>46.502137613499997</v>
      </c>
      <c r="J8" s="103">
        <f>'ISIRF 13C'!F31</f>
        <v>4.9663234530329046</v>
      </c>
      <c r="K8" s="104">
        <f>'ISIRF 13C'!G31</f>
        <v>4.7923064711147025E-2</v>
      </c>
      <c r="L8" s="402">
        <f>'ISIRF 13C'!H31</f>
        <v>3</v>
      </c>
      <c r="M8" s="73" t="s">
        <v>223</v>
      </c>
      <c r="N8" s="74"/>
      <c r="O8" s="75">
        <f>IF(COUNT(E6:E7)=0,"",D6-E6)</f>
        <v>-0.10894143077514329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-30.272638554925305</v>
      </c>
      <c r="F9" s="103">
        <f>'ISIRF 13C'!C32</f>
        <v>1.6526408955083303E-2</v>
      </c>
      <c r="G9" s="104">
        <f>'ISIRF 13C'!D32</f>
        <v>0.12855508140514441</v>
      </c>
      <c r="H9" s="378">
        <f>'ISIRF 13C'!D6</f>
        <v>45.850178489166666</v>
      </c>
      <c r="I9" s="381">
        <f>'ISIRF 13C'!E32</f>
        <v>44.581453655499992</v>
      </c>
      <c r="J9" s="106">
        <f>'ISIRF 13C'!F32</f>
        <v>0.22450832773021204</v>
      </c>
      <c r="K9" s="106">
        <f>'ISIRF 13C'!G32</f>
        <v>1.0628255892404667E-2</v>
      </c>
      <c r="L9" s="403">
        <f>'ISIRF 13C'!H32</f>
        <v>3</v>
      </c>
      <c r="M9" s="96" t="s">
        <v>89</v>
      </c>
      <c r="N9" s="97"/>
      <c r="O9" s="98">
        <f>(H6-I6)</f>
        <v>0.46421908383333488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20231120_E1_A </v>
      </c>
      <c r="D10" s="101"/>
      <c r="E10" s="99">
        <f>'ISIRF 13C'!B28</f>
        <v>-15.719503251440198</v>
      </c>
      <c r="F10" s="99">
        <f>'ISIRF 13C'!C28</f>
        <v>4.8451031881041315E-2</v>
      </c>
      <c r="G10" s="100">
        <f>'ISIRF 13C'!D28</f>
        <v>0.2201159509918382</v>
      </c>
      <c r="H10" s="101"/>
      <c r="I10" s="99">
        <f>'ISIRF 13C'!E28</f>
        <v>1.1411966017499999</v>
      </c>
      <c r="J10" s="99">
        <f>'ISIRF 13C'!F28</f>
        <v>2.2497039213591153E-3</v>
      </c>
      <c r="K10" s="100">
        <f>'ISIRF 13C'!G28</f>
        <v>4.1562552661134039E-2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20231120_E2_E </v>
      </c>
      <c r="D11" s="101"/>
      <c r="E11" s="99">
        <f>'ISIRF 13C'!B29</f>
        <v>-16.264211371663301</v>
      </c>
      <c r="F11" s="99">
        <f>'ISIRF 13C'!C29</f>
        <v>4.4351137661390705E-2</v>
      </c>
      <c r="G11" s="100">
        <f>'ISIRF 13C'!D29</f>
        <v>0.21059709794152129</v>
      </c>
      <c r="H11" s="101"/>
      <c r="I11" s="99">
        <f>'ISIRF 13C'!E29</f>
        <v>1.60572236625</v>
      </c>
      <c r="J11" s="99">
        <f>'ISIRF 13C'!F29</f>
        <v>2.654245719883016E-5</v>
      </c>
      <c r="K11" s="100">
        <f>'ISIRF 13C'!G29</f>
        <v>3.2084856859761809E-3</v>
      </c>
      <c r="L11" s="102">
        <f>'ISIRF 13C'!H29</f>
        <v>2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>
        <f>IF(SUM(L16:L20)&lt;2,"",SQRT(SUMPRODUCT(F15:F20,L15:L20)/SUM(L15:L20)))</f>
        <v>0.20893289786795202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4.5009409996515144</v>
      </c>
      <c r="F15" s="381">
        <f>'ISIRF 15N'!C33</f>
        <v>8.8236736926794387E-3</v>
      </c>
      <c r="G15" s="382">
        <f>'ISIRF 15N'!D33</f>
        <v>9.3934411653448055E-2</v>
      </c>
      <c r="H15" s="381">
        <f>'ISIRF 15N'!D7</f>
        <v>2.7467009260000004</v>
      </c>
      <c r="I15" s="381">
        <f>'ISIRF 15N'!E33</f>
        <v>2.7963870541666664</v>
      </c>
      <c r="J15" s="393">
        <f>'ISIRF 15N'!F33</f>
        <v>1.3955380272227726E-3</v>
      </c>
      <c r="K15" s="394">
        <f>'ISIRF 15N'!G33</f>
        <v>1.3358987844109473E-2</v>
      </c>
      <c r="L15" s="407">
        <f>'ISIRF 15N'!H33</f>
        <v>3</v>
      </c>
      <c r="M15" s="82" t="s">
        <v>90</v>
      </c>
      <c r="N15" s="83"/>
      <c r="O15" s="84">
        <f>AVERAGE(K15:K20)</f>
        <v>3.3793008179340701E-2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7.5266387994783441</v>
      </c>
      <c r="F16" s="125">
        <f>'ISIRF 15N'!C30</f>
        <v>3.2337634306909564E-2</v>
      </c>
      <c r="G16" s="126">
        <f>'ISIRF 15N'!D30</f>
        <v>0.17982667851825981</v>
      </c>
      <c r="H16" s="124">
        <f>'ISIRF 15N'!D4</f>
        <v>4.2927354420000006</v>
      </c>
      <c r="I16" s="124">
        <f>'ISIRF 15N'!E30</f>
        <v>4.2098787150599994</v>
      </c>
      <c r="J16" s="384">
        <f>'ISIRF 15N'!F30</f>
        <v>1.340405727235423E-2</v>
      </c>
      <c r="K16" s="126">
        <f>'ISIRF 15N'!G30</f>
        <v>2.7501004253352845E-2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-4.9647459374175327</v>
      </c>
      <c r="F17" s="384">
        <f>'ISIRF 15N'!C31</f>
        <v>1.1590700978143737E-4</v>
      </c>
      <c r="G17" s="385">
        <f>'ISIRF 15N'!D31</f>
        <v>1.0766011786239014E-2</v>
      </c>
      <c r="H17" s="129">
        <f>'ISIRF 15N'!D5</f>
        <v>6.5259674513333339</v>
      </c>
      <c r="I17" s="129">
        <f>'ISIRF 15N'!E31</f>
        <v>6.5828756191666669</v>
      </c>
      <c r="J17" s="130">
        <f>'ISIRF 15N'!F31</f>
        <v>0.15414949768692648</v>
      </c>
      <c r="K17" s="131">
        <f>'ISIRF 15N'!G31</f>
        <v>5.9642440721451521E-2</v>
      </c>
      <c r="L17" s="405">
        <f>'ISIRF 15N'!H31</f>
        <v>3</v>
      </c>
      <c r="M17" s="73" t="s">
        <v>224</v>
      </c>
      <c r="N17" s="119"/>
      <c r="O17" s="75">
        <f>IF(COUNT(E15:E16)=0,"",D15-E15)</f>
        <v>0.12577184284842424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1.9786606100956903</v>
      </c>
      <c r="F18" s="386">
        <f>'ISIRF 15N'!C32</f>
        <v>1.5884738747552144E-2</v>
      </c>
      <c r="G18" s="387">
        <f>'ISIRF 15N'!D32</f>
        <v>0.12603467279900457</v>
      </c>
      <c r="H18" s="390">
        <f>'ISIRF 15N'!D6</f>
        <v>3.046377295333333</v>
      </c>
      <c r="I18" s="390">
        <f>'ISIRF 15N'!E32</f>
        <v>3.0698709890666667</v>
      </c>
      <c r="J18" s="386">
        <f>'ISIRF 15N'!F32</f>
        <v>2.3544198411888997E-2</v>
      </c>
      <c r="K18" s="386">
        <f>'ISIRF 15N'!G32</f>
        <v>4.9982943686847345E-2</v>
      </c>
      <c r="L18" s="406">
        <f>'ISIRF 15N'!H32</f>
        <v>3</v>
      </c>
      <c r="M18" s="96" t="s">
        <v>90</v>
      </c>
      <c r="N18" s="123"/>
      <c r="O18" s="98">
        <f>IF(COUNT(I15,I17:I18)=0,"",H15-I15)</f>
        <v>-4.9686128166666066E-2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20231120_E1_A </v>
      </c>
      <c r="D19" s="507"/>
      <c r="E19" s="508">
        <f>'ISIRF 15N'!B28</f>
        <v>6.3937194618360653</v>
      </c>
      <c r="F19" s="508">
        <f>'ISIRF 15N'!C28</f>
        <v>0.21580125657168076</v>
      </c>
      <c r="G19" s="509">
        <f>'ISIRF 15N'!D28</f>
        <v>0.46454413845368964</v>
      </c>
      <c r="H19" s="390"/>
      <c r="I19" s="508">
        <f>'ISIRF 15N'!E28</f>
        <v>0.12701933825</v>
      </c>
      <c r="J19" s="508">
        <f>'ISIRF 15N'!F28</f>
        <v>1.7519678368953072E-5</v>
      </c>
      <c r="K19" s="509">
        <f>'ISIRF 15N'!G28</f>
        <v>3.2952868000005041E-2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6" t="str">
        <f>'Investigator Data'!B17</f>
        <v xml:space="preserve">20231120_E2_E </v>
      </c>
      <c r="D20" s="507"/>
      <c r="E20" s="508">
        <f>'ISIRF 15N'!B29</f>
        <v>6.6710103109035934</v>
      </c>
      <c r="F20" s="508">
        <f>'ISIRF 15N'!C29</f>
        <v>5.8994780789526483E-2</v>
      </c>
      <c r="G20" s="509">
        <f>'ISIRF 15N'!D29</f>
        <v>0.24288841221747587</v>
      </c>
      <c r="H20" s="390"/>
      <c r="I20" s="508">
        <f>'ISIRF 15N'!E29</f>
        <v>0.15413343424999998</v>
      </c>
      <c r="J20" s="508">
        <f>'ISIRF 15N'!F29</f>
        <v>8.8674585699701062E-6</v>
      </c>
      <c r="K20" s="509">
        <f>'ISIRF 15N'!G29</f>
        <v>1.9319804570278019E-2</v>
      </c>
      <c r="L20" s="510">
        <f>'ISIRF 15N'!H29</f>
        <v>2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2"/>
      <c r="Q32" s="542" t="s">
        <v>97</v>
      </c>
      <c r="R32" s="147"/>
    </row>
    <row r="33" spans="1:18">
      <c r="A33" s="581">
        <f>'ISIRF RAW'!$B$2</f>
        <v>0</v>
      </c>
      <c r="B33" s="544" t="str">
        <f>'ISIRF 15N'!B11</f>
        <v>IC15N-241218-10KansasRoarCarbon-1-Run2_3.raw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4</v>
      </c>
      <c r="G33" s="326">
        <f>'ISIRF 15N'!G11</f>
        <v>1.1910000000000001</v>
      </c>
      <c r="H33" s="325">
        <f>'ISIRF 15N'!H11</f>
        <v>4.194769</v>
      </c>
      <c r="I33" s="473">
        <f>'ISIRF 15N'!I11</f>
        <v>67101488</v>
      </c>
      <c r="J33" s="326">
        <f>'ISIRF 15N'!J11</f>
        <v>4.0217227390999994</v>
      </c>
      <c r="K33" s="326">
        <f>'ISIRF 15N'!K11</f>
        <v>7.4797433814844334</v>
      </c>
      <c r="L33" s="545">
        <f>'ISIRF 13C'!H11</f>
        <v>5.5368329999999997</v>
      </c>
      <c r="M33" s="475">
        <f>'ISIRF 13C'!I11</f>
        <v>57032676</v>
      </c>
      <c r="N33" s="326">
        <f>'ISIRF 13C'!J11</f>
        <v>31.873238809499998</v>
      </c>
      <c r="O33" s="546">
        <f>'ISIRF 13C'!K11</f>
        <v>-12.533004305408937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3" t="str">
        <f>'ISIRF 15N'!B12</f>
        <v>IC15N-241218-10KansasRoarCarbon-1-Run2_16.raw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17</v>
      </c>
      <c r="G34" s="327">
        <f>'ISIRF 15N'!G12</f>
        <v>1.1519999999999999</v>
      </c>
      <c r="H34" s="331">
        <f>'ISIRF 15N'!H12</f>
        <v>4.3204395</v>
      </c>
      <c r="I34" s="474">
        <f>'ISIRF 15N'!I12</f>
        <v>67549856</v>
      </c>
      <c r="J34" s="327">
        <f>'ISIRF 15N'!J12</f>
        <v>4.3374426116000002</v>
      </c>
      <c r="K34" s="327">
        <f>'ISIRF 15N'!K12</f>
        <v>7.8248575708435881</v>
      </c>
      <c r="L34" s="477">
        <f>'ISIRF 13C'!H12</f>
        <v>7.3085649999999998</v>
      </c>
      <c r="M34" s="476">
        <f>'ISIRF 13C'!I12</f>
        <v>76534264</v>
      </c>
      <c r="N34" s="327">
        <f>'ISIRF 13C'!J12</f>
        <v>33.789987784499999</v>
      </c>
      <c r="O34" s="328">
        <f>'ISIRF 13C'!K12</f>
        <v>-12.860810092310219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3" t="str">
        <f>'ISIRF 15N'!B13</f>
        <v>IC15N-241218-10KansasRoarCarbon-1-Run2_28.raw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29</v>
      </c>
      <c r="G35" s="327">
        <f>'ISIRF 15N'!G13</f>
        <v>1.0880000000000001</v>
      </c>
      <c r="H35" s="331">
        <f>'ISIRF 15N'!H13</f>
        <v>4.0236877499999997</v>
      </c>
      <c r="I35" s="474">
        <f>'ISIRF 15N'!I13</f>
        <v>64068376</v>
      </c>
      <c r="J35" s="327">
        <f>'ISIRF 15N'!J13</f>
        <v>4.2435979936999999</v>
      </c>
      <c r="K35" s="327">
        <f>'ISIRF 15N'!K13</f>
        <v>7.3767265521765193</v>
      </c>
      <c r="L35" s="477">
        <f>'ISIRF 13C'!H13</f>
        <v>6.8816465000000004</v>
      </c>
      <c r="M35" s="476">
        <f>'ISIRF 13C'!I13</f>
        <v>70630800</v>
      </c>
      <c r="N35" s="327">
        <f>'ISIRF 13C'!J13</f>
        <v>33.016979965499999</v>
      </c>
      <c r="O35" s="328">
        <f>'ISIRF 13C'!K13</f>
        <v>-12.847749717400037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3" t="str">
        <f>'ISIRF 15N'!B14</f>
        <v>IC15N-241218-10KansasRoarCarbon-1-Run2_41.raw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42</v>
      </c>
      <c r="G36" s="327">
        <f>'ISIRF 15N'!G14</f>
        <v>1.155</v>
      </c>
      <c r="H36" s="331">
        <f>'ISIRF 15N'!H14</f>
        <v>4.4263614999999996</v>
      </c>
      <c r="I36" s="474">
        <f>'ISIRF 15N'!I14</f>
        <v>67559832</v>
      </c>
      <c r="J36" s="327">
        <f>'ISIRF 15N'!J14</f>
        <v>4.2381970950999994</v>
      </c>
      <c r="K36" s="327">
        <f>'ISIRF 15N'!K14</f>
        <v>7.5487382369868747</v>
      </c>
      <c r="L36" s="477">
        <f>'ISIRF 13C'!H14</f>
        <v>7.3628210000000003</v>
      </c>
      <c r="M36" s="476">
        <f>'ISIRF 13C'!I14</f>
        <v>74959776</v>
      </c>
      <c r="N36" s="327">
        <f>'ISIRF 13C'!J14</f>
        <v>33.029542570500006</v>
      </c>
      <c r="O36" s="328">
        <f>'ISIRF 13C'!K14</f>
        <v>-13.124319338691274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7" t="str">
        <f>'ISIRF 15N'!B15</f>
        <v>IC15N-241218-10KansasRoarCarbon-1-Run2_53.raw</v>
      </c>
      <c r="C37" s="548"/>
      <c r="D37" s="549" t="str">
        <f>'ISIRF 15N'!D15</f>
        <v>ISIRF Ulva</v>
      </c>
      <c r="E37" s="548" t="str">
        <f>'ISIRF 15N'!E15</f>
        <v>QC.STD</v>
      </c>
      <c r="F37" s="550">
        <f>'ISIRF 15N'!F15</f>
        <v>54</v>
      </c>
      <c r="G37" s="551">
        <f>'ISIRF 15N'!G15</f>
        <v>1.131</v>
      </c>
      <c r="H37" s="550">
        <f>'ISIRF 15N'!H15</f>
        <v>4.13188025</v>
      </c>
      <c r="I37" s="552">
        <f>'ISIRF 15N'!I15</f>
        <v>65215904</v>
      </c>
      <c r="J37" s="551">
        <f>'ISIRF 15N'!J15</f>
        <v>4.2084331358</v>
      </c>
      <c r="K37" s="551">
        <f>'ISIRF 15N'!K15</f>
        <v>7.4031282559003078</v>
      </c>
      <c r="L37" s="553">
        <f>'ISIRF 13C'!H15</f>
        <v>7.1213854999999997</v>
      </c>
      <c r="M37" s="554">
        <f>'ISIRF 13C'!I15</f>
        <v>72463536</v>
      </c>
      <c r="N37" s="551">
        <f>'ISIRF 13C'!J15</f>
        <v>32.8897884645</v>
      </c>
      <c r="O37" s="555">
        <f>'ISIRF 13C'!K15</f>
        <v>-13.057677665912767</v>
      </c>
      <c r="P37" s="571" t="str">
        <f>'ISIRF 15N'!L15&amp;'ISIRF 13C'!L15</f>
        <v/>
      </c>
      <c r="Q37" s="556"/>
      <c r="R37" s="557" t="str">
        <f>IF(COUNTA('ISIRF 15N'!L15)=1,"See ISIRF 15N","")</f>
        <v/>
      </c>
    </row>
    <row r="38" spans="1:18">
      <c r="A38" s="581">
        <f>'ISIRF RAW'!$B$2</f>
        <v>0</v>
      </c>
      <c r="B38" s="544" t="str">
        <f>'ISIRF 15N'!B16</f>
        <v>IC15N-241218-10KansasRoarCarbon-1-Run2_4.raw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5</v>
      </c>
      <c r="G38" s="326">
        <f>'ISIRF 15N'!G16</f>
        <v>1.0609999999999999</v>
      </c>
      <c r="H38" s="325">
        <f>'ISIRF 15N'!H16</f>
        <v>6.0836034999999997</v>
      </c>
      <c r="I38" s="473">
        <f>'ISIRF 15N'!I16</f>
        <v>93825208</v>
      </c>
      <c r="J38" s="326">
        <f>'ISIRF 15N'!J16</f>
        <v>6.263830841299999</v>
      </c>
      <c r="K38" s="326">
        <f>'ISIRF 15N'!K16</f>
        <v>-4.9702906643566678</v>
      </c>
      <c r="L38" s="545">
        <f>'ISIRF 13C'!H16</f>
        <v>6.9315565000000001</v>
      </c>
      <c r="M38" s="475">
        <f>'ISIRF 13C'!H16</f>
        <v>6.9315565000000001</v>
      </c>
      <c r="N38" s="326">
        <f>'ISIRF 13C'!J16</f>
        <v>44.689375376999998</v>
      </c>
      <c r="O38" s="546">
        <f>'ISIRF 13C'!K16</f>
        <v>-21.364209264681151</v>
      </c>
      <c r="P38" s="678"/>
      <c r="Q38" s="679"/>
      <c r="R38" s="680"/>
    </row>
    <row r="39" spans="1:18">
      <c r="A39" s="582">
        <f>'ISIRF RAW'!$B$2</f>
        <v>0</v>
      </c>
      <c r="B39" s="543" t="str">
        <f>'ISIRF 15N'!B17</f>
        <v>IC15N-241218-10KansasRoarCarbon-1-Run2_29.raw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30</v>
      </c>
      <c r="G39" s="327">
        <f>'ISIRF 15N'!G17</f>
        <v>1.075</v>
      </c>
      <c r="H39" s="331">
        <f>'ISIRF 15N'!H17</f>
        <v>6.4612175000000001</v>
      </c>
      <c r="I39" s="474">
        <f>'ISIRF 15N'!I17</f>
        <v>98896496</v>
      </c>
      <c r="J39" s="327">
        <f>'ISIRF 15N'!J17</f>
        <v>6.4634583730999999</v>
      </c>
      <c r="K39" s="327">
        <f>'ISIRF 15N'!K17</f>
        <v>-4.9523377547218042</v>
      </c>
      <c r="L39" s="477">
        <f>'ISIRF 13C'!H17</f>
        <v>9.3226519999999997</v>
      </c>
      <c r="M39" s="476">
        <f>'ISIRF 13C'!I17</f>
        <v>97030904</v>
      </c>
      <c r="N39" s="327">
        <f>'ISIRF 13C'!J17</f>
        <v>45.826828730999999</v>
      </c>
      <c r="O39" s="328">
        <f>'ISIRF 13C'!K17</f>
        <v>-21.139944469648654</v>
      </c>
      <c r="P39" s="332"/>
      <c r="Q39" s="150"/>
      <c r="R39" s="151"/>
    </row>
    <row r="40" spans="1:18">
      <c r="A40" s="583">
        <f>'ISIRF RAW'!$B$2</f>
        <v>0</v>
      </c>
      <c r="B40" s="547" t="str">
        <f>'ISIRF 15N'!B18</f>
        <v>IC15N-241218-10KansasRoarCarbon-1-Run2_54.raw</v>
      </c>
      <c r="C40" s="548"/>
      <c r="D40" s="549" t="str">
        <f>'ISIRF 15N'!D18</f>
        <v>ISIRF Chitin</v>
      </c>
      <c r="E40" s="548" t="str">
        <f>'ISIRF 15N'!E18</f>
        <v>Cal-H.STD</v>
      </c>
      <c r="F40" s="550">
        <f>'ISIRF 15N'!F18</f>
        <v>55</v>
      </c>
      <c r="G40" s="551">
        <f>'ISIRF 15N'!G18</f>
        <v>1.0429999999999999</v>
      </c>
      <c r="H40" s="550">
        <f>'ISIRF 15N'!H18</f>
        <v>6.583037</v>
      </c>
      <c r="I40" s="552">
        <f>'ISIRF 15N'!I18</f>
        <v>103296272</v>
      </c>
      <c r="J40" s="551">
        <f>'ISIRF 15N'!J18</f>
        <v>7.0213376430999999</v>
      </c>
      <c r="K40" s="551">
        <f>'ISIRF 15N'!K18</f>
        <v>-4.971609393174127</v>
      </c>
      <c r="L40" s="553">
        <f>'ISIRF 13C'!H18</f>
        <v>9.7675400000000003</v>
      </c>
      <c r="M40" s="554">
        <f>'ISIRF 13C'!I18</f>
        <v>100063440</v>
      </c>
      <c r="N40" s="551">
        <f>'ISIRF 13C'!J18</f>
        <v>48.990208732500001</v>
      </c>
      <c r="O40" s="558">
        <f>'ISIRF 13C'!K18</f>
        <v>-21.185035260063835</v>
      </c>
      <c r="P40" s="559"/>
      <c r="Q40" s="556"/>
      <c r="R40" s="557"/>
    </row>
    <row r="41" spans="1:18">
      <c r="A41" s="581">
        <f>'ISIRF RAW'!$B$2</f>
        <v>0</v>
      </c>
      <c r="B41" s="544" t="str">
        <f>'ISIRF 15N'!B19</f>
        <v>IC15N-241218-10KansasRoarCarbon-1-Run2_5.raw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6</v>
      </c>
      <c r="G41" s="326">
        <f>'ISIRF 15N'!G19</f>
        <v>1.6339999999999999</v>
      </c>
      <c r="H41" s="325">
        <f>'ISIRF 15N'!H19</f>
        <v>4.2863274999999996</v>
      </c>
      <c r="I41" s="473">
        <f>'ISIRF 15N'!I19</f>
        <v>69335024</v>
      </c>
      <c r="J41" s="326">
        <f>'ISIRF 15N'!J19</f>
        <v>2.9811864242000001</v>
      </c>
      <c r="K41" s="326">
        <f>'ISIRF 15N'!K19</f>
        <v>2.1220709588917375</v>
      </c>
      <c r="L41" s="545">
        <f>'ISIRF 13C'!H19</f>
        <v>13.666073000000001</v>
      </c>
      <c r="M41" s="475">
        <f>'ISIRF 13C'!I19</f>
        <v>145167424</v>
      </c>
      <c r="N41" s="326">
        <f>'ISIRF 13C'!J19</f>
        <v>44.034437475000004</v>
      </c>
      <c r="O41" s="546">
        <f>'ISIRF 13C'!K19</f>
        <v>-30.415894985864924</v>
      </c>
      <c r="P41" s="329"/>
      <c r="Q41" s="148"/>
      <c r="R41" s="149"/>
    </row>
    <row r="42" spans="1:18">
      <c r="A42" s="582">
        <f>'ISIRF RAW'!$B$2</f>
        <v>0</v>
      </c>
      <c r="B42" s="543" t="str">
        <f>'ISIRF 15N'!B20</f>
        <v>IC15N-241218-10KansasRoarCarbon-1-Run2_30.raw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31</v>
      </c>
      <c r="G42" s="327">
        <f>'ISIRF 15N'!G20</f>
        <v>1.607</v>
      </c>
      <c r="H42" s="331">
        <f>'ISIRF 15N'!H20</f>
        <v>4.2894949999999996</v>
      </c>
      <c r="I42" s="474">
        <f>'ISIRF 15N'!I20</f>
        <v>67375400</v>
      </c>
      <c r="J42" s="327">
        <f>'ISIRF 15N'!J20</f>
        <v>2.9813769647999995</v>
      </c>
      <c r="K42" s="327">
        <f>'ISIRF 15N'!K20</f>
        <v>1.8855114938678819</v>
      </c>
      <c r="L42" s="477">
        <f>'ISIRF 13C'!H20</f>
        <v>13.377656999999999</v>
      </c>
      <c r="M42" s="476">
        <f>'ISIRF 13C'!I20</f>
        <v>142385920</v>
      </c>
      <c r="N42" s="327">
        <f>'ISIRF 13C'!J20</f>
        <v>44.864358630000005</v>
      </c>
      <c r="O42" s="328">
        <f>'ISIRF 13C'!K20</f>
        <v>-30.234694240668308</v>
      </c>
      <c r="P42" s="332"/>
      <c r="Q42" s="150"/>
      <c r="R42" s="151"/>
    </row>
    <row r="43" spans="1:18">
      <c r="A43" s="583">
        <f>'ISIRF RAW'!$B$2</f>
        <v>0</v>
      </c>
      <c r="B43" s="547" t="str">
        <f>'ISIRF 15N'!B21</f>
        <v>IC15N-241218-10KansasRoarCarbon-1-Run2_55.raw</v>
      </c>
      <c r="C43" s="548"/>
      <c r="D43" s="549" t="str">
        <f>'ISIRF 15N'!D21</f>
        <v>ISIRF Bamboo</v>
      </c>
      <c r="E43" s="548" t="str">
        <f>'ISIRF 15N'!E21</f>
        <v>Cal-L.STD</v>
      </c>
      <c r="F43" s="550">
        <f>'ISIRF 15N'!F21</f>
        <v>56</v>
      </c>
      <c r="G43" s="551">
        <f>'ISIRF 15N'!G21</f>
        <v>1.375</v>
      </c>
      <c r="H43" s="550">
        <f>'ISIRF 15N'!H21</f>
        <v>3.5809764999999998</v>
      </c>
      <c r="I43" s="552">
        <f>'ISIRF 15N'!I21</f>
        <v>58850852</v>
      </c>
      <c r="J43" s="551">
        <f>'ISIRF 15N'!J21</f>
        <v>3.2470495782</v>
      </c>
      <c r="K43" s="551">
        <f>'ISIRF 15N'!K21</f>
        <v>1.9283993775274513</v>
      </c>
      <c r="L43" s="553">
        <f>'ISIRF 13C'!H21</f>
        <v>11.614521</v>
      </c>
      <c r="M43" s="554">
        <f>'ISIRF 13C'!I21</f>
        <v>121068512</v>
      </c>
      <c r="N43" s="551">
        <f>'ISIRF 13C'!J21</f>
        <v>44.845564861499994</v>
      </c>
      <c r="O43" s="558">
        <f>'ISIRF 13C'!K21</f>
        <v>-30.167326438242679</v>
      </c>
      <c r="P43" s="571"/>
      <c r="Q43" s="556"/>
      <c r="R43" s="557"/>
    </row>
    <row r="44" spans="1:18">
      <c r="A44" s="581">
        <f>'ISIRF RAW'!$B$2</f>
        <v>0</v>
      </c>
      <c r="B44" s="544" t="str">
        <f>'ISIRF 15N'!B22</f>
        <v>IC15N-241218-10KansasRoarCarbon-1-Run2_6.raw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7</v>
      </c>
      <c r="G44" s="326">
        <f>'ISIRF 15N'!G22</f>
        <v>1.97</v>
      </c>
      <c r="H44" s="325">
        <f>'ISIRF 15N'!H22</f>
        <v>4.7814934999999998</v>
      </c>
      <c r="I44" s="473">
        <f>'ISIRF 15N'!I22</f>
        <v>78788104</v>
      </c>
      <c r="J44" s="326">
        <f>'ISIRF 15N'!J22</f>
        <v>2.8119315699</v>
      </c>
      <c r="K44" s="326">
        <f>'ISIRF 15N'!K22</f>
        <v>4.6070926796919132</v>
      </c>
      <c r="L44" s="545">
        <f>'ISIRF 13C'!H22</f>
        <v>15.667756000000001</v>
      </c>
      <c r="M44" s="475">
        <f>'ISIRF 13C'!I22</f>
        <v>169794016</v>
      </c>
      <c r="N44" s="326">
        <f>'ISIRF 13C'!J22</f>
        <v>43.614657053999998</v>
      </c>
      <c r="O44" s="546">
        <f>'ISIRF 13C'!K22</f>
        <v>-27.193027090239735</v>
      </c>
      <c r="P44" s="329"/>
      <c r="Q44" s="148"/>
      <c r="R44" s="149"/>
    </row>
    <row r="45" spans="1:18">
      <c r="A45" s="582">
        <f>'ISIRF RAW'!$B$2</f>
        <v>0</v>
      </c>
      <c r="B45" s="543" t="str">
        <f>'ISIRF 15N'!B23</f>
        <v>IC15N-241218-10KansasRoarCarbon-1-Run2_31.raw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32</v>
      </c>
      <c r="G45" s="327">
        <f>'ISIRF 15N'!G23</f>
        <v>1.9079999999999999</v>
      </c>
      <c r="H45" s="331">
        <f>'ISIRF 15N'!H23</f>
        <v>4.5485439999999997</v>
      </c>
      <c r="I45" s="474">
        <f>'ISIRF 15N'!I23</f>
        <v>72922992</v>
      </c>
      <c r="J45" s="152">
        <f>'ISIRF 15N'!J23</f>
        <v>2.7537677870999997</v>
      </c>
      <c r="K45" s="327">
        <f>'ISIRF 15N'!K23</f>
        <v>4.4671664370794542</v>
      </c>
      <c r="L45" s="477">
        <f>'ISIRF 13C'!H23</f>
        <v>15.108513</v>
      </c>
      <c r="M45" s="476">
        <f>'ISIRF 13C'!I23</f>
        <v>161712288</v>
      </c>
      <c r="N45" s="327">
        <f>'ISIRF 13C'!J23</f>
        <v>42.877262780999999</v>
      </c>
      <c r="O45" s="328">
        <f>'ISIRF 13C'!K23</f>
        <v>-27.139535531614968</v>
      </c>
      <c r="P45" s="332"/>
      <c r="Q45" s="150"/>
      <c r="R45" s="151"/>
    </row>
    <row r="46" spans="1:18">
      <c r="A46" s="583">
        <f>'ISIRF RAW'!$B$2</f>
        <v>0</v>
      </c>
      <c r="B46" s="547" t="str">
        <f>'ISIRF 15N'!B24</f>
        <v>IC15N-241218-10KansasRoarCarbon-1-Run2_56.raw</v>
      </c>
      <c r="C46" s="548"/>
      <c r="D46" s="560" t="str">
        <f>'ISIRF 15N'!D24</f>
        <v>NBS 1572 Citrus Leaf</v>
      </c>
      <c r="E46" s="561" t="str">
        <f>'ISIRF 15N'!E24</f>
        <v>QA STD</v>
      </c>
      <c r="F46" s="562">
        <f>'ISIRF 15N'!F24</f>
        <v>57</v>
      </c>
      <c r="G46" s="555">
        <f>'ISIRF 15N'!G24</f>
        <v>2.0579999999999998</v>
      </c>
      <c r="H46" s="563">
        <f>'ISIRF 15N'!H24</f>
        <v>4.947012</v>
      </c>
      <c r="I46" s="564">
        <f>'ISIRF 15N'!I24</f>
        <v>80278688</v>
      </c>
      <c r="J46" s="555">
        <f>'ISIRF 15N'!J24</f>
        <v>2.8234618054999996</v>
      </c>
      <c r="K46" s="555">
        <f>'ISIRF 15N'!K24</f>
        <v>4.4285638821831759</v>
      </c>
      <c r="L46" s="565">
        <f>'ISIRF 13C'!H24</f>
        <v>16.349</v>
      </c>
      <c r="M46" s="566">
        <f>'ISIRF 13C'!I24</f>
        <v>175041136</v>
      </c>
      <c r="N46" s="567">
        <f>'ISIRF 13C'!J24</f>
        <v>43.191549817500004</v>
      </c>
      <c r="O46" s="555">
        <f>'ISIRF 13C'!K24</f>
        <v>-27.228372728313083</v>
      </c>
      <c r="P46" s="559"/>
      <c r="Q46" s="556"/>
      <c r="R46" s="557"/>
    </row>
    <row r="47" spans="1:18">
      <c r="A47" s="581">
        <f>'ISIRF RAW'!$B$2</f>
        <v>0</v>
      </c>
      <c r="B47" s="544" t="str">
        <f>'ISIRF RAW'!T12</f>
        <v>IC15N-241218-10KansasRoarCarbon-1-Run2_7.raw</v>
      </c>
      <c r="C47" s="324"/>
      <c r="D47" s="568" t="str">
        <f>'ISIRF RAW'!A12</f>
        <v xml:space="preserve">R1-20231120_E1_A </v>
      </c>
      <c r="E47" s="569" t="s">
        <v>228</v>
      </c>
      <c r="F47" s="325">
        <f>'ISIRF RAW'!B12</f>
        <v>8</v>
      </c>
      <c r="G47" s="546">
        <f>'ISIRF RAW'!C12</f>
        <v>25.035</v>
      </c>
      <c r="H47" s="570">
        <f>'ISIRF RAW'!D12</f>
        <v>2.1826587499999999</v>
      </c>
      <c r="I47" s="473">
        <f>'ISIRF RAW'!E12</f>
        <v>41896320</v>
      </c>
      <c r="J47" s="546">
        <f>'ISIRF RAW'!J12</f>
        <v>0.12405963569999999</v>
      </c>
      <c r="K47" s="546">
        <f>'ISIRF RAW'!L12</f>
        <v>6.0652371513749985</v>
      </c>
      <c r="L47" s="545">
        <f>'ISIRF RAW'!F12</f>
        <v>5.2490325000000002</v>
      </c>
      <c r="M47" s="475">
        <f>'ISIRF RAW'!G12</f>
        <v>54337836</v>
      </c>
      <c r="N47" s="326">
        <f>'ISIRF RAW'!M12</f>
        <v>1.1076577890000001</v>
      </c>
      <c r="O47" s="546">
        <f>'ISIRF RAW'!O12</f>
        <v>-15.875148733033853</v>
      </c>
      <c r="P47" s="329"/>
      <c r="Q47" s="148"/>
      <c r="R47" s="149"/>
    </row>
    <row r="48" spans="1:18">
      <c r="A48" s="583">
        <f>'ISIRF RAW'!$B$2</f>
        <v>0</v>
      </c>
      <c r="B48" s="547" t="str">
        <f>'ISIRF RAW'!T56</f>
        <v>IC15N-241218-10KansasRoarCarbon-1-Run2_51.raw</v>
      </c>
      <c r="C48" s="548"/>
      <c r="D48" s="560" t="str">
        <f>'ISIRF RAW'!A56</f>
        <v xml:space="preserve">R1-20231120_E1_A </v>
      </c>
      <c r="E48" s="561" t="s">
        <v>228</v>
      </c>
      <c r="F48" s="562">
        <f>'ISIRF RAW'!B56</f>
        <v>52</v>
      </c>
      <c r="G48" s="555">
        <f>'ISIRF RAW'!C56</f>
        <v>25.306000000000001</v>
      </c>
      <c r="H48" s="563">
        <f>'ISIRF RAW'!D56</f>
        <v>2.3248574999999998</v>
      </c>
      <c r="I48" s="564">
        <f>'ISIRF RAW'!E56</f>
        <v>42736360</v>
      </c>
      <c r="J48" s="555">
        <f>'ISIRF RAW'!J56</f>
        <v>0.1299790408</v>
      </c>
      <c r="K48" s="555">
        <f>'ISIRF RAW'!L56</f>
        <v>6.7222017722971312</v>
      </c>
      <c r="L48" s="565">
        <f>'ISIRF RAW'!F56</f>
        <v>5.5147195</v>
      </c>
      <c r="M48" s="566">
        <f>'ISIRF RAW'!G56</f>
        <v>57471368</v>
      </c>
      <c r="N48" s="567">
        <f>'ISIRF RAW'!M56</f>
        <v>1.1747354145</v>
      </c>
      <c r="O48" s="555">
        <f>'ISIRF RAW'!O56</f>
        <v>-15.563857769846544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0</v>
      </c>
      <c r="B49" s="544" t="str">
        <f>'ISIRF RAW'!T26</f>
        <v>IC15N-241218-10KansasRoarCarbon-1-Run2_21.raw</v>
      </c>
      <c r="C49" s="324"/>
      <c r="D49" s="568" t="str">
        <f>'ISIRF RAW'!A26</f>
        <v xml:space="preserve">R2-20231120_E2_E </v>
      </c>
      <c r="E49" s="569" t="s">
        <v>229</v>
      </c>
      <c r="F49" s="325">
        <f>'ISIRF RAW'!B26</f>
        <v>22</v>
      </c>
      <c r="G49" s="546">
        <f>'ISIRF RAW'!C26</f>
        <v>24.876999999999999</v>
      </c>
      <c r="H49" s="570">
        <f>'ISIRF RAW'!D26</f>
        <v>2.7532800000000002</v>
      </c>
      <c r="I49" s="473">
        <f>'ISIRF RAW'!E26</f>
        <v>50987168</v>
      </c>
      <c r="J49" s="546">
        <f>'ISIRF RAW'!J26</f>
        <v>0.15202779199999999</v>
      </c>
      <c r="K49" s="546">
        <f>'ISIRF RAW'!L26</f>
        <v>6.4992622675529823</v>
      </c>
      <c r="L49" s="545">
        <f>'ISIRF RAW'!F26</f>
        <v>7.3220390000000002</v>
      </c>
      <c r="M49" s="475">
        <f>'ISIRF RAW'!G26</f>
        <v>78492288</v>
      </c>
      <c r="N49" s="326">
        <f>'ISIRF RAW'!M26</f>
        <v>1.609365336</v>
      </c>
      <c r="O49" s="546">
        <f>'ISIRF RAW'!O26</f>
        <v>-16.413126007715956</v>
      </c>
      <c r="P49" s="329"/>
      <c r="Q49" s="148"/>
      <c r="R49" s="149"/>
    </row>
    <row r="50" spans="1:18">
      <c r="A50" s="583">
        <f>'ISIRF RAW'!$B$2</f>
        <v>0</v>
      </c>
      <c r="B50" s="547" t="str">
        <f>'ISIRF RAW'!T27</f>
        <v>IC15N-241218-10KansasRoarCarbon-1-Run2_22.raw</v>
      </c>
      <c r="C50" s="548"/>
      <c r="D50" s="560" t="str">
        <f>'ISIRF RAW'!A27</f>
        <v xml:space="preserve">R2-20231120_E2_E </v>
      </c>
      <c r="E50" s="561" t="s">
        <v>229</v>
      </c>
      <c r="F50" s="562">
        <f>'ISIRF RAW'!B27</f>
        <v>23</v>
      </c>
      <c r="G50" s="555">
        <f>'ISIRF RAW'!C27</f>
        <v>24.824000000000002</v>
      </c>
      <c r="H50" s="563">
        <f>'ISIRF RAW'!D27</f>
        <v>2.7654477499999999</v>
      </c>
      <c r="I50" s="564">
        <f>'ISIRF RAW'!E27</f>
        <v>50075936</v>
      </c>
      <c r="J50" s="555">
        <f>'ISIRF RAW'!J27</f>
        <v>0.15623907649999999</v>
      </c>
      <c r="K50" s="555">
        <f>'ISIRF RAW'!L27</f>
        <v>6.8427583542542036</v>
      </c>
      <c r="L50" s="565">
        <f>'ISIRF RAW'!F27</f>
        <v>7.2804779999999996</v>
      </c>
      <c r="M50" s="566">
        <f>'ISIRF RAW'!G27</f>
        <v>78140896</v>
      </c>
      <c r="N50" s="567">
        <f>'ISIRF RAW'!M27</f>
        <v>1.6020793965</v>
      </c>
      <c r="O50" s="555">
        <f>'ISIRF RAW'!O27</f>
        <v>-16.115296735610642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6:G11">
    <cfRule type="cellIs" dxfId="10" priority="1" operator="greaterThan">
      <formula>0.3</formula>
    </cfRule>
  </conditionalFormatting>
  <conditionalFormatting sqref="G15:G20">
    <cfRule type="cellIs" dxfId="9" priority="2" operator="greaterThan">
      <formula>0.3</formula>
    </cfRule>
  </conditionalFormatting>
  <conditionalFormatting sqref="O5">
    <cfRule type="cellIs" dxfId="8" priority="6" operator="greaterThan">
      <formula>0.3</formula>
    </cfRule>
  </conditionalFormatting>
  <conditionalFormatting sqref="O6">
    <cfRule type="cellIs" dxfId="7" priority="5" operator="greaterThan">
      <formula>1</formula>
    </cfRule>
  </conditionalFormatting>
  <conditionalFormatting sqref="O8">
    <cfRule type="cellIs" dxfId="6" priority="4" operator="greaterThan">
      <formula>"abs(0.6)"</formula>
    </cfRule>
  </conditionalFormatting>
  <conditionalFormatting sqref="O9">
    <cfRule type="cellIs" dxfId="5" priority="3" operator="greaterThan">
      <formula>0.5</formula>
    </cfRule>
  </conditionalFormatting>
  <conditionalFormatting sqref="O14:O15">
    <cfRule type="cellIs" dxfId="4" priority="10" operator="greaterThan">
      <formula>0.3</formula>
    </cfRule>
  </conditionalFormatting>
  <conditionalFormatting sqref="O17">
    <cfRule type="cellIs" dxfId="3" priority="9" operator="greaterThan">
      <formula>"abs(0.6)"</formula>
    </cfRule>
  </conditionalFormatting>
  <conditionalFormatting sqref="O18">
    <cfRule type="cellIs" dxfId="2" priority="8" operator="greaterThan">
      <formula>0.5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42" activePane="bottomRight" state="frozen"/>
      <selection pane="topRight" activeCell="B1" sqref="B1"/>
      <selection pane="bottomLeft" activeCell="A5" sqref="A5"/>
      <selection pane="bottomRight" activeCell="A56" sqref="A56:XFD56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IC13C-241218-10KansasROARCarbon-1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0"/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185</v>
      </c>
      <c r="E5" s="482" t="s">
        <v>110</v>
      </c>
      <c r="F5" s="483" t="s">
        <v>186</v>
      </c>
      <c r="G5" s="482" t="s">
        <v>111</v>
      </c>
      <c r="H5" s="482" t="s">
        <v>203</v>
      </c>
      <c r="I5" s="482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4" t="s">
        <v>9</v>
      </c>
      <c r="T5" s="478" t="s">
        <v>212</v>
      </c>
    </row>
    <row r="6" spans="1:21">
      <c r="A6" s="287" t="str">
        <f>'Weigh Sheet'!C17</f>
        <v>blank</v>
      </c>
      <c r="B6" s="288">
        <v>2</v>
      </c>
      <c r="C6" s="294">
        <v>38</v>
      </c>
      <c r="D6" s="294">
        <v>7.69756328125E-2</v>
      </c>
      <c r="E6" s="467">
        <v>1852776</v>
      </c>
      <c r="F6" s="294">
        <v>0</v>
      </c>
      <c r="G6" s="467">
        <v>0</v>
      </c>
      <c r="H6" s="294"/>
      <c r="I6" s="294"/>
      <c r="J6" s="289">
        <v>4.4785471999999995E-3</v>
      </c>
      <c r="K6" s="289">
        <v>-1.9852868157443235</v>
      </c>
      <c r="L6" s="290">
        <v>-2.2391953252442707</v>
      </c>
      <c r="M6" s="289">
        <v>0</v>
      </c>
      <c r="N6" s="289">
        <v>4.8295185618394222E-2</v>
      </c>
      <c r="O6" s="290">
        <v>-0.50556125690278308</v>
      </c>
      <c r="P6" s="289"/>
      <c r="Q6" s="289"/>
      <c r="R6" s="290"/>
      <c r="S6" s="505">
        <v>45748.378275462965</v>
      </c>
      <c r="T6" s="479" t="s">
        <v>406</v>
      </c>
    </row>
    <row r="7" spans="1:21">
      <c r="A7" s="287" t="str">
        <f>'Weigh Sheet'!C18</f>
        <v>blank</v>
      </c>
      <c r="B7" s="288">
        <v>3</v>
      </c>
      <c r="C7" s="294">
        <v>38</v>
      </c>
      <c r="D7" s="295">
        <v>3.5016742187499998E-2</v>
      </c>
      <c r="E7" s="467">
        <v>773816</v>
      </c>
      <c r="F7" s="294">
        <v>0</v>
      </c>
      <c r="G7" s="467">
        <v>0</v>
      </c>
      <c r="H7" s="294"/>
      <c r="I7" s="294"/>
      <c r="J7" s="289">
        <v>4.4018250999999994E-3</v>
      </c>
      <c r="K7" s="289">
        <v>-13.282792158459923</v>
      </c>
      <c r="L7" s="290">
        <v>-13.174466496341914</v>
      </c>
      <c r="M7" s="289">
        <v>0</v>
      </c>
      <c r="N7" s="289">
        <v>3.4072434898669894E-2</v>
      </c>
      <c r="O7" s="290">
        <v>-0.5199202475511685</v>
      </c>
      <c r="P7" s="289"/>
      <c r="Q7" s="289"/>
      <c r="R7" s="290"/>
      <c r="S7" s="505">
        <v>45748.386203703703</v>
      </c>
      <c r="T7" s="479" t="s">
        <v>407</v>
      </c>
    </row>
    <row r="8" spans="1:21">
      <c r="A8" s="287" t="str">
        <f>'Weigh Sheet'!C19</f>
        <v>ISIRF Ulva</v>
      </c>
      <c r="B8" s="288">
        <v>4</v>
      </c>
      <c r="C8" s="294">
        <v>1.1910000000000001</v>
      </c>
      <c r="D8" s="295">
        <v>4.194769</v>
      </c>
      <c r="E8" s="467">
        <v>67101488</v>
      </c>
      <c r="F8" s="294">
        <v>5.5368329999999997</v>
      </c>
      <c r="G8" s="467">
        <v>57032676</v>
      </c>
      <c r="H8" s="294"/>
      <c r="I8" s="294"/>
      <c r="J8" s="289">
        <v>4.0217227390999994</v>
      </c>
      <c r="K8" s="289">
        <v>8.0555946810948331</v>
      </c>
      <c r="L8" s="290">
        <v>7.4797433814844334</v>
      </c>
      <c r="M8" s="289">
        <v>31.873238809499998</v>
      </c>
      <c r="N8" s="289">
        <v>-11.865029954252703</v>
      </c>
      <c r="O8" s="290">
        <v>-12.533004305408937</v>
      </c>
      <c r="P8" s="289"/>
      <c r="Q8" s="289"/>
      <c r="R8" s="290"/>
      <c r="S8" s="505">
        <v>45748.394074074073</v>
      </c>
      <c r="T8" s="479" t="s">
        <v>408</v>
      </c>
    </row>
    <row r="9" spans="1:21">
      <c r="A9" s="287" t="str">
        <f>'Weigh Sheet'!C20</f>
        <v>ISIRF Chitin</v>
      </c>
      <c r="B9" s="288">
        <v>5</v>
      </c>
      <c r="C9" s="294">
        <v>1.0609999999999999</v>
      </c>
      <c r="D9" s="295">
        <v>6.0836034999999997</v>
      </c>
      <c r="E9" s="467">
        <v>93825208</v>
      </c>
      <c r="F9" s="294">
        <v>6.9315565000000001</v>
      </c>
      <c r="G9" s="467">
        <v>71421280</v>
      </c>
      <c r="H9" s="294"/>
      <c r="I9" s="294"/>
      <c r="J9" s="291">
        <v>6.263830841299999</v>
      </c>
      <c r="K9" s="291">
        <v>-4.8068505156585815</v>
      </c>
      <c r="L9" s="290">
        <v>-4.9702906643566678</v>
      </c>
      <c r="M9" s="289">
        <v>44.689375376999998</v>
      </c>
      <c r="N9" s="291">
        <v>-20.612443318202843</v>
      </c>
      <c r="O9" s="290">
        <v>-21.364209264681151</v>
      </c>
      <c r="P9" s="289"/>
      <c r="Q9" s="291"/>
      <c r="R9" s="290"/>
      <c r="S9" s="505">
        <v>45748.401944444442</v>
      </c>
      <c r="T9" s="479" t="s">
        <v>409</v>
      </c>
    </row>
    <row r="10" spans="1:21">
      <c r="A10" s="287" t="str">
        <f>'Weigh Sheet'!C21</f>
        <v>ISIRF Bamboo</v>
      </c>
      <c r="B10" s="288">
        <v>6</v>
      </c>
      <c r="C10" s="295">
        <v>1.6339999999999999</v>
      </c>
      <c r="D10" s="295">
        <v>4.2863274999999996</v>
      </c>
      <c r="E10" s="467">
        <v>69335024</v>
      </c>
      <c r="F10" s="294">
        <v>13.666073000000001</v>
      </c>
      <c r="G10" s="467">
        <v>145167424</v>
      </c>
      <c r="H10" s="294"/>
      <c r="I10" s="294"/>
      <c r="J10" s="291">
        <v>2.9811864242000001</v>
      </c>
      <c r="K10" s="291">
        <v>2.5204477357918389</v>
      </c>
      <c r="L10" s="290">
        <v>2.1220709588917375</v>
      </c>
      <c r="M10" s="289">
        <v>44.034437475000004</v>
      </c>
      <c r="N10" s="291">
        <v>-29.578245494566872</v>
      </c>
      <c r="O10" s="290">
        <v>-30.415894985864924</v>
      </c>
      <c r="P10" s="289"/>
      <c r="Q10" s="291"/>
      <c r="R10" s="290"/>
      <c r="S10" s="505">
        <v>45748.409803240742</v>
      </c>
      <c r="T10" s="479" t="s">
        <v>410</v>
      </c>
    </row>
    <row r="11" spans="1:21">
      <c r="A11" s="287" t="str">
        <f>'Weigh Sheet'!C22</f>
        <v>NBS 1572 Citrus Leaf</v>
      </c>
      <c r="B11" s="288">
        <v>7</v>
      </c>
      <c r="C11" s="295">
        <v>1.97</v>
      </c>
      <c r="D11" s="295">
        <v>4.7814934999999998</v>
      </c>
      <c r="E11" s="467">
        <v>78788104</v>
      </c>
      <c r="F11" s="294">
        <v>15.667756000000001</v>
      </c>
      <c r="G11" s="467">
        <v>169794016</v>
      </c>
      <c r="H11" s="294"/>
      <c r="I11" s="294"/>
      <c r="J11" s="291">
        <v>2.8119315699</v>
      </c>
      <c r="K11" s="291">
        <v>5.0877865542114904</v>
      </c>
      <c r="L11" s="290">
        <v>4.6070926796919132</v>
      </c>
      <c r="M11" s="289">
        <v>43.614657053999998</v>
      </c>
      <c r="N11" s="291">
        <v>-26.385956579243029</v>
      </c>
      <c r="O11" s="290">
        <v>-27.193027090239735</v>
      </c>
      <c r="P11" s="289"/>
      <c r="Q11" s="291"/>
      <c r="R11" s="290"/>
      <c r="S11" s="505">
        <v>45748.417662037034</v>
      </c>
      <c r="T11" s="479" t="s">
        <v>411</v>
      </c>
    </row>
    <row r="12" spans="1:21">
      <c r="A12" s="287" t="str">
        <f>'Weigh Sheet'!C23</f>
        <v xml:space="preserve">R1-20231120_E1_A </v>
      </c>
      <c r="B12" s="288">
        <v>8</v>
      </c>
      <c r="C12" s="295">
        <v>25.035</v>
      </c>
      <c r="D12" s="295">
        <v>2.1826587499999999</v>
      </c>
      <c r="E12" s="467">
        <v>41896320</v>
      </c>
      <c r="F12" s="294">
        <v>5.2490325000000002</v>
      </c>
      <c r="G12" s="467">
        <v>54337836</v>
      </c>
      <c r="H12" s="294"/>
      <c r="I12" s="294"/>
      <c r="J12" s="291">
        <v>0.12405963569999999</v>
      </c>
      <c r="K12" s="291">
        <v>6.5942325034286169</v>
      </c>
      <c r="L12" s="290">
        <v>6.0652371513749985</v>
      </c>
      <c r="M12" s="289">
        <v>1.1076577890000001</v>
      </c>
      <c r="N12" s="291">
        <v>-15.17546369067761</v>
      </c>
      <c r="O12" s="290">
        <v>-15.875148733033853</v>
      </c>
      <c r="P12" s="289"/>
      <c r="Q12" s="291"/>
      <c r="R12" s="290"/>
      <c r="S12" s="505">
        <v>45748.425532407404</v>
      </c>
      <c r="T12" s="479" t="s">
        <v>412</v>
      </c>
    </row>
    <row r="13" spans="1:21">
      <c r="A13" s="287" t="str">
        <f>'Weigh Sheet'!C24</f>
        <v xml:space="preserve">20231120_E1_B </v>
      </c>
      <c r="B13" s="288">
        <v>9</v>
      </c>
      <c r="C13" s="295">
        <v>24.274999999999999</v>
      </c>
      <c r="D13" s="295">
        <v>2.7873957499999999</v>
      </c>
      <c r="E13" s="467">
        <v>51547848</v>
      </c>
      <c r="F13" s="294">
        <v>7.7084130000000002</v>
      </c>
      <c r="G13" s="467">
        <v>81830536</v>
      </c>
      <c r="H13" s="294"/>
      <c r="I13" s="294"/>
      <c r="J13" s="291">
        <v>0.15858289450000002</v>
      </c>
      <c r="K13" s="291">
        <v>6.8073958691456937</v>
      </c>
      <c r="L13" s="290">
        <v>6.2715658174962385</v>
      </c>
      <c r="M13" s="289">
        <v>1.7192542395000001</v>
      </c>
      <c r="N13" s="291">
        <v>-15.255221551943604</v>
      </c>
      <c r="O13" s="290">
        <v>-15.955670595971759</v>
      </c>
      <c r="P13" s="289"/>
      <c r="Q13" s="291"/>
      <c r="R13" s="290"/>
      <c r="S13" s="505">
        <v>45748.43341435185</v>
      </c>
      <c r="T13" s="479" t="s">
        <v>413</v>
      </c>
    </row>
    <row r="14" spans="1:21">
      <c r="A14" s="287" t="str">
        <f>'Weigh Sheet'!C25</f>
        <v xml:space="preserve">20231120_E1_C </v>
      </c>
      <c r="B14" s="288">
        <v>10</v>
      </c>
      <c r="C14" s="295">
        <v>26.052</v>
      </c>
      <c r="D14" s="295">
        <v>2.8471022499999998</v>
      </c>
      <c r="E14" s="467">
        <v>54246872</v>
      </c>
      <c r="F14" s="294">
        <v>8.2387435</v>
      </c>
      <c r="G14" s="467">
        <v>88739248</v>
      </c>
      <c r="H14" s="294"/>
      <c r="I14" s="294"/>
      <c r="J14" s="291">
        <v>0.15648188929999998</v>
      </c>
      <c r="K14" s="291">
        <v>6.8763674760005875</v>
      </c>
      <c r="L14" s="290">
        <v>6.3383259739365192</v>
      </c>
      <c r="M14" s="289">
        <v>1.733245806</v>
      </c>
      <c r="N14" s="291">
        <v>-15.369773577963279</v>
      </c>
      <c r="O14" s="290">
        <v>-16.071319917455611</v>
      </c>
      <c r="P14" s="289"/>
      <c r="Q14" s="291"/>
      <c r="R14" s="290"/>
      <c r="S14" s="505">
        <v>45748.44127314815</v>
      </c>
      <c r="T14" s="479" t="s">
        <v>414</v>
      </c>
    </row>
    <row r="15" spans="1:21">
      <c r="A15" s="287" t="str">
        <f>'Weigh Sheet'!C26</f>
        <v xml:space="preserve">20231120_E1_D </v>
      </c>
      <c r="B15" s="288">
        <v>11</v>
      </c>
      <c r="C15" s="295">
        <v>24.437999999999999</v>
      </c>
      <c r="D15" s="295">
        <v>2.4382575000000002</v>
      </c>
      <c r="E15" s="467">
        <v>43109696</v>
      </c>
      <c r="F15" s="294">
        <v>6.5431995000000001</v>
      </c>
      <c r="G15" s="467">
        <v>69263760</v>
      </c>
      <c r="H15" s="294"/>
      <c r="I15" s="294"/>
      <c r="J15" s="291">
        <v>0.13283799290000001</v>
      </c>
      <c r="K15" s="291">
        <v>7.598936831193762</v>
      </c>
      <c r="L15" s="290">
        <v>7.0377274434881354</v>
      </c>
      <c r="M15" s="289">
        <v>1.445585364</v>
      </c>
      <c r="N15" s="291">
        <v>-16.902872633975175</v>
      </c>
      <c r="O15" s="290">
        <v>-17.619104550831374</v>
      </c>
      <c r="P15" s="289"/>
      <c r="Q15" s="291"/>
      <c r="R15" s="290"/>
      <c r="S15" s="505">
        <v>45748.449143518519</v>
      </c>
      <c r="T15" s="479" t="s">
        <v>415</v>
      </c>
    </row>
    <row r="16" spans="1:21">
      <c r="A16" s="287" t="str">
        <f>'Weigh Sheet'!C27</f>
        <v xml:space="preserve">20231120_E1_E </v>
      </c>
      <c r="B16" s="288">
        <v>12</v>
      </c>
      <c r="C16" s="295">
        <v>25.015000000000001</v>
      </c>
      <c r="D16" s="295">
        <v>2.72781925</v>
      </c>
      <c r="E16" s="467">
        <v>51333608</v>
      </c>
      <c r="F16" s="294">
        <v>7.0611375000000001</v>
      </c>
      <c r="G16" s="467">
        <v>74447216</v>
      </c>
      <c r="H16" s="294"/>
      <c r="I16" s="294"/>
      <c r="J16" s="291">
        <v>0.14962917249999999</v>
      </c>
      <c r="K16" s="291">
        <v>7.2343106880476498</v>
      </c>
      <c r="L16" s="290">
        <v>6.684792381240511</v>
      </c>
      <c r="M16" s="289">
        <v>1.5185571074999999</v>
      </c>
      <c r="N16" s="291">
        <v>-14.516498983730457</v>
      </c>
      <c r="O16" s="290">
        <v>-15.209871793914891</v>
      </c>
      <c r="P16" s="289"/>
      <c r="Q16" s="291"/>
      <c r="R16" s="290"/>
      <c r="S16" s="505">
        <v>45748.457013888888</v>
      </c>
      <c r="T16" s="479" t="s">
        <v>416</v>
      </c>
    </row>
    <row r="17" spans="1:20">
      <c r="A17" s="287" t="str">
        <f>'Weigh Sheet'!C28</f>
        <v xml:space="preserve">20231120_E1_F </v>
      </c>
      <c r="B17" s="288">
        <v>13</v>
      </c>
      <c r="C17" s="295">
        <v>24.393999999999998</v>
      </c>
      <c r="D17" s="295">
        <v>3.0034459999999998</v>
      </c>
      <c r="E17" s="467">
        <v>55542608</v>
      </c>
      <c r="F17" s="294">
        <v>7.5657399999999999</v>
      </c>
      <c r="G17" s="467">
        <v>82060640</v>
      </c>
      <c r="H17" s="294"/>
      <c r="I17" s="294"/>
      <c r="J17" s="291">
        <v>0.17066367439999999</v>
      </c>
      <c r="K17" s="291">
        <v>6.1676024404177383</v>
      </c>
      <c r="L17" s="290">
        <v>5.6522862133367582</v>
      </c>
      <c r="M17" s="289">
        <v>1.718735208</v>
      </c>
      <c r="N17" s="291">
        <v>-14.649321597732451</v>
      </c>
      <c r="O17" s="290">
        <v>-15.343966717599645</v>
      </c>
      <c r="P17" s="289"/>
      <c r="Q17" s="291"/>
      <c r="R17" s="290"/>
      <c r="S17" s="505">
        <v>45748.464861111112</v>
      </c>
      <c r="T17" s="479" t="s">
        <v>417</v>
      </c>
    </row>
    <row r="18" spans="1:20">
      <c r="A18" s="287" t="str">
        <f>'Weigh Sheet'!C29</f>
        <v xml:space="preserve">20231120_E1_G </v>
      </c>
      <c r="B18" s="288">
        <v>14</v>
      </c>
      <c r="C18" s="295">
        <v>24.509</v>
      </c>
      <c r="D18" s="295">
        <v>2.6482782500000002</v>
      </c>
      <c r="E18" s="467">
        <v>44065036</v>
      </c>
      <c r="F18" s="294">
        <v>6.6074045000000003</v>
      </c>
      <c r="G18" s="467">
        <v>70736560</v>
      </c>
      <c r="H18" s="294"/>
      <c r="I18" s="294"/>
      <c r="J18" s="291">
        <v>0.13967637699999999</v>
      </c>
      <c r="K18" s="291">
        <v>7.8702405749739572</v>
      </c>
      <c r="L18" s="290">
        <v>7.3003323211112612</v>
      </c>
      <c r="M18" s="289">
        <v>1.461538851</v>
      </c>
      <c r="N18" s="291">
        <v>-16.10441795177902</v>
      </c>
      <c r="O18" s="290">
        <v>-16.813001460033732</v>
      </c>
      <c r="P18" s="289"/>
      <c r="Q18" s="291"/>
      <c r="R18" s="290"/>
      <c r="S18" s="505">
        <v>45748.472708333335</v>
      </c>
      <c r="T18" s="479" t="s">
        <v>418</v>
      </c>
    </row>
    <row r="19" spans="1:20">
      <c r="A19" s="287" t="str">
        <f>'Weigh Sheet'!C30</f>
        <v xml:space="preserve">20231120_E1_H </v>
      </c>
      <c r="B19" s="288">
        <v>15</v>
      </c>
      <c r="C19" s="295">
        <v>25.802</v>
      </c>
      <c r="D19" s="295">
        <v>2.3875982499999999</v>
      </c>
      <c r="E19" s="467">
        <v>46324744</v>
      </c>
      <c r="F19" s="294">
        <v>6.0374865</v>
      </c>
      <c r="G19" s="467">
        <v>64724952</v>
      </c>
      <c r="H19" s="294"/>
      <c r="I19" s="294"/>
      <c r="J19" s="291">
        <v>0.13985258489999999</v>
      </c>
      <c r="K19" s="291">
        <v>6.8498356085996122</v>
      </c>
      <c r="L19" s="290">
        <v>6.312644803102434</v>
      </c>
      <c r="M19" s="289">
        <v>1.2755315174999999</v>
      </c>
      <c r="N19" s="291">
        <v>-14.757098387241262</v>
      </c>
      <c r="O19" s="290">
        <v>-15.452775902487057</v>
      </c>
      <c r="P19" s="289"/>
      <c r="Q19" s="291"/>
      <c r="R19" s="290"/>
      <c r="S19" s="505">
        <v>45748.480567129627</v>
      </c>
      <c r="T19" s="479" t="s">
        <v>419</v>
      </c>
    </row>
    <row r="20" spans="1:20">
      <c r="A20" s="287" t="str">
        <f>'Weigh Sheet'!C31</f>
        <v xml:space="preserve">20231120_E1_I </v>
      </c>
      <c r="B20" s="288">
        <v>16</v>
      </c>
      <c r="C20" s="295">
        <v>24.381</v>
      </c>
      <c r="D20" s="295">
        <v>2.458993</v>
      </c>
      <c r="E20" s="467">
        <v>45571712</v>
      </c>
      <c r="F20" s="294">
        <v>6.539301</v>
      </c>
      <c r="G20" s="467">
        <v>70309872</v>
      </c>
      <c r="H20" s="294"/>
      <c r="I20" s="294"/>
      <c r="J20" s="291">
        <v>0.1362205101</v>
      </c>
      <c r="K20" s="291">
        <v>7.0050266856550367</v>
      </c>
      <c r="L20" s="290">
        <v>6.462859957639183</v>
      </c>
      <c r="M20" s="289">
        <v>1.4653670564999999</v>
      </c>
      <c r="N20" s="291">
        <v>-14.739874930061209</v>
      </c>
      <c r="O20" s="290">
        <v>-15.435387461569064</v>
      </c>
      <c r="P20" s="289"/>
      <c r="Q20" s="291"/>
      <c r="R20" s="290"/>
      <c r="S20" s="505">
        <v>45748.488425925927</v>
      </c>
      <c r="T20" s="479" t="s">
        <v>420</v>
      </c>
    </row>
    <row r="21" spans="1:20">
      <c r="A21" s="287" t="str">
        <f>'Weigh Sheet'!C32</f>
        <v>ISIRF Ulva</v>
      </c>
      <c r="B21" s="288">
        <v>17</v>
      </c>
      <c r="C21" s="294">
        <v>1.1519999999999999</v>
      </c>
      <c r="D21" s="295">
        <v>4.3204395</v>
      </c>
      <c r="E21" s="467">
        <v>67549856</v>
      </c>
      <c r="F21" s="294">
        <v>7.3085649999999998</v>
      </c>
      <c r="G21" s="467">
        <v>76534264</v>
      </c>
      <c r="H21" s="294"/>
      <c r="I21" s="294"/>
      <c r="J21" s="291">
        <v>4.3374426116000002</v>
      </c>
      <c r="K21" s="291">
        <v>8.4121408825678277</v>
      </c>
      <c r="L21" s="290">
        <v>7.8248575708435881</v>
      </c>
      <c r="M21" s="289">
        <v>33.789987784499999</v>
      </c>
      <c r="N21" s="291">
        <v>-12.189725478175497</v>
      </c>
      <c r="O21" s="290">
        <v>-12.860810092310219</v>
      </c>
      <c r="P21" s="289"/>
      <c r="Q21" s="291"/>
      <c r="R21" s="290"/>
      <c r="S21" s="505">
        <v>45748.49628472222</v>
      </c>
      <c r="T21" s="479" t="s">
        <v>421</v>
      </c>
    </row>
    <row r="22" spans="1:20">
      <c r="A22" s="287" t="str">
        <f>'Weigh Sheet'!C33</f>
        <v>20231120_E2_A</v>
      </c>
      <c r="B22" s="288">
        <v>18</v>
      </c>
      <c r="C22" s="295">
        <v>24.44</v>
      </c>
      <c r="D22" s="295">
        <v>2.7896209999999999</v>
      </c>
      <c r="E22" s="467">
        <v>48964824</v>
      </c>
      <c r="F22" s="294">
        <v>7.6124270000000003</v>
      </c>
      <c r="G22" s="467">
        <v>81094208</v>
      </c>
      <c r="H22" s="294"/>
      <c r="I22" s="294"/>
      <c r="J22" s="291">
        <v>0.14888724449999999</v>
      </c>
      <c r="K22" s="291">
        <v>7.0884202434927968</v>
      </c>
      <c r="L22" s="290">
        <v>6.5435796511657296</v>
      </c>
      <c r="M22" s="289">
        <v>1.688360259</v>
      </c>
      <c r="N22" s="291">
        <v>-15.251356624577642</v>
      </c>
      <c r="O22" s="290">
        <v>-15.95176864641234</v>
      </c>
      <c r="P22" s="289"/>
      <c r="Q22" s="291"/>
      <c r="R22" s="290"/>
      <c r="S22" s="505">
        <v>45748.504166666666</v>
      </c>
      <c r="T22" s="479" t="s">
        <v>422</v>
      </c>
    </row>
    <row r="23" spans="1:20">
      <c r="A23" s="287" t="str">
        <f>'Weigh Sheet'!C34</f>
        <v xml:space="preserve">20231120_E2_B </v>
      </c>
      <c r="B23" s="288">
        <v>19</v>
      </c>
      <c r="C23" s="295">
        <v>24.635999999999999</v>
      </c>
      <c r="D23" s="295">
        <v>2.7087282500000001</v>
      </c>
      <c r="E23" s="467">
        <v>47946720</v>
      </c>
      <c r="F23" s="294">
        <v>7.5774160000000004</v>
      </c>
      <c r="G23" s="467">
        <v>80911376</v>
      </c>
      <c r="H23" s="294"/>
      <c r="I23" s="294"/>
      <c r="J23" s="291">
        <v>0.1467634756</v>
      </c>
      <c r="K23" s="291">
        <v>6.7833393986868762</v>
      </c>
      <c r="L23" s="290">
        <v>6.2482806744574448</v>
      </c>
      <c r="M23" s="289">
        <v>1.6730836485</v>
      </c>
      <c r="N23" s="291">
        <v>-15.932537540156131</v>
      </c>
      <c r="O23" s="290">
        <v>-16.639474603536769</v>
      </c>
      <c r="P23" s="289"/>
      <c r="Q23" s="291"/>
      <c r="R23" s="290"/>
      <c r="S23" s="505">
        <v>45748.512013888889</v>
      </c>
      <c r="T23" s="479" t="s">
        <v>423</v>
      </c>
    </row>
    <row r="24" spans="1:20">
      <c r="A24" s="287" t="str">
        <f>'Weigh Sheet'!C35</f>
        <v xml:space="preserve">20231120_E2_C </v>
      </c>
      <c r="B24" s="288">
        <v>20</v>
      </c>
      <c r="C24" s="295">
        <v>24.483000000000001</v>
      </c>
      <c r="D24" s="295">
        <v>2.9452099999999999</v>
      </c>
      <c r="E24" s="467">
        <v>55812024</v>
      </c>
      <c r="F24" s="294">
        <v>8.0313505000000003</v>
      </c>
      <c r="G24" s="467">
        <v>86450320</v>
      </c>
      <c r="H24" s="294"/>
      <c r="I24" s="294"/>
      <c r="J24" s="291">
        <v>0.16600638999999998</v>
      </c>
      <c r="K24" s="291">
        <v>6.4382621092482948</v>
      </c>
      <c r="L24" s="290">
        <v>5.9142676671140739</v>
      </c>
      <c r="M24" s="289">
        <v>1.7940300585</v>
      </c>
      <c r="N24" s="291">
        <v>-16.113116078091355</v>
      </c>
      <c r="O24" s="290">
        <v>-16.821782905820029</v>
      </c>
      <c r="P24" s="289"/>
      <c r="Q24" s="291"/>
      <c r="R24" s="290"/>
      <c r="S24" s="505">
        <v>45748.519872685189</v>
      </c>
      <c r="T24" s="479" t="s">
        <v>424</v>
      </c>
    </row>
    <row r="25" spans="1:20">
      <c r="A25" s="287" t="str">
        <f>'Weigh Sheet'!C36</f>
        <v xml:space="preserve">20231120_E2_D </v>
      </c>
      <c r="B25" s="288">
        <v>21</v>
      </c>
      <c r="C25" s="295">
        <v>25.087</v>
      </c>
      <c r="D25" s="295">
        <v>3.2387260000000002</v>
      </c>
      <c r="E25" s="467">
        <v>58632600</v>
      </c>
      <c r="F25" s="294">
        <v>8.9895169999999993</v>
      </c>
      <c r="G25" s="467">
        <v>96465328</v>
      </c>
      <c r="H25" s="294"/>
      <c r="I25" s="294"/>
      <c r="J25" s="291">
        <v>0.17256317869999999</v>
      </c>
      <c r="K25" s="291">
        <v>6.688965139777431</v>
      </c>
      <c r="L25" s="290">
        <v>6.1569323562721756</v>
      </c>
      <c r="M25" s="289">
        <v>1.9522436729999999</v>
      </c>
      <c r="N25" s="291">
        <v>-15.424171725509229</v>
      </c>
      <c r="O25" s="290">
        <v>-16.126239145620005</v>
      </c>
      <c r="P25" s="289"/>
      <c r="Q25" s="291"/>
      <c r="R25" s="290"/>
      <c r="S25" s="505">
        <v>45748.527754629627</v>
      </c>
      <c r="T25" s="479" t="s">
        <v>425</v>
      </c>
    </row>
    <row r="26" spans="1:20">
      <c r="A26" s="287" t="str">
        <f>'Weigh Sheet'!C37</f>
        <v xml:space="preserve">R2-20231120_E2_E </v>
      </c>
      <c r="B26" s="288">
        <v>22</v>
      </c>
      <c r="C26" s="295">
        <v>24.876999999999999</v>
      </c>
      <c r="D26" s="295">
        <v>2.7532800000000002</v>
      </c>
      <c r="E26" s="467">
        <v>50987168</v>
      </c>
      <c r="F26" s="294">
        <v>7.3220390000000002</v>
      </c>
      <c r="G26" s="467">
        <v>78492288</v>
      </c>
      <c r="H26" s="294"/>
      <c r="I26" s="294"/>
      <c r="J26" s="291">
        <v>0.15202779199999999</v>
      </c>
      <c r="K26" s="291">
        <v>7.0426348331169208</v>
      </c>
      <c r="L26" s="290">
        <v>6.4992622675529823</v>
      </c>
      <c r="M26" s="289">
        <v>1.609365336</v>
      </c>
      <c r="N26" s="291">
        <v>-15.708336568587074</v>
      </c>
      <c r="O26" s="290">
        <v>-16.413126007715956</v>
      </c>
      <c r="P26" s="289"/>
      <c r="Q26" s="291"/>
      <c r="R26" s="290"/>
      <c r="S26" s="505">
        <v>45748.53565972222</v>
      </c>
      <c r="T26" s="479" t="s">
        <v>426</v>
      </c>
    </row>
    <row r="27" spans="1:20">
      <c r="A27" s="287" t="str">
        <f>'Weigh Sheet'!C38</f>
        <v xml:space="preserve">R2-20231120_E2_E </v>
      </c>
      <c r="B27" s="288">
        <v>23</v>
      </c>
      <c r="C27" s="295">
        <v>24.824000000000002</v>
      </c>
      <c r="D27" s="295">
        <v>2.7654477499999999</v>
      </c>
      <c r="E27" s="467">
        <v>50075936</v>
      </c>
      <c r="F27" s="294">
        <v>7.2804779999999996</v>
      </c>
      <c r="G27" s="467">
        <v>78140896</v>
      </c>
      <c r="H27" s="294"/>
      <c r="I27" s="294"/>
      <c r="J27" s="291">
        <v>0.15623907649999999</v>
      </c>
      <c r="K27" s="291">
        <v>7.3975093317910519</v>
      </c>
      <c r="L27" s="290">
        <v>6.8427583542542036</v>
      </c>
      <c r="M27" s="289">
        <v>1.6020793965</v>
      </c>
      <c r="N27" s="291">
        <v>-15.413333138477094</v>
      </c>
      <c r="O27" s="290">
        <v>-16.115296735610642</v>
      </c>
      <c r="P27" s="289"/>
      <c r="Q27" s="291"/>
      <c r="R27" s="290"/>
      <c r="S27" s="505">
        <v>45748.543530092589</v>
      </c>
      <c r="T27" s="479" t="s">
        <v>427</v>
      </c>
    </row>
    <row r="28" spans="1:20">
      <c r="A28" s="287" t="str">
        <f>'Weigh Sheet'!C39</f>
        <v xml:space="preserve">20231120_E2_F </v>
      </c>
      <c r="B28" s="288">
        <v>24</v>
      </c>
      <c r="C28" s="295">
        <v>24.309000000000001</v>
      </c>
      <c r="D28" s="295">
        <v>2.5899529999999999</v>
      </c>
      <c r="E28" s="467">
        <v>47771208</v>
      </c>
      <c r="F28" s="294">
        <v>7.0500005000000003</v>
      </c>
      <c r="G28" s="467">
        <v>74793792</v>
      </c>
      <c r="H28" s="294"/>
      <c r="I28" s="294"/>
      <c r="J28" s="291">
        <v>0.148141101</v>
      </c>
      <c r="K28" s="291">
        <v>7.0447383603613067</v>
      </c>
      <c r="L28" s="290">
        <v>6.5012983489829397</v>
      </c>
      <c r="M28" s="289">
        <v>1.5647741234999999</v>
      </c>
      <c r="N28" s="289">
        <v>-15.005284191809645</v>
      </c>
      <c r="O28" s="290">
        <v>-15.703339082358953</v>
      </c>
      <c r="P28" s="289"/>
      <c r="Q28" s="289"/>
      <c r="R28" s="290"/>
      <c r="S28" s="505">
        <v>45748.551400462966</v>
      </c>
      <c r="T28" s="479" t="s">
        <v>428</v>
      </c>
    </row>
    <row r="29" spans="1:20">
      <c r="A29" s="287" t="str">
        <f>'Weigh Sheet'!C40</f>
        <v xml:space="preserve">20231120_E2_G </v>
      </c>
      <c r="B29" s="288">
        <v>25</v>
      </c>
      <c r="C29" s="295">
        <v>24.257000000000001</v>
      </c>
      <c r="D29" s="295">
        <v>2.7476712499999998</v>
      </c>
      <c r="E29" s="467">
        <v>48133904</v>
      </c>
      <c r="F29" s="294">
        <v>7.7724454999999999</v>
      </c>
      <c r="G29" s="467">
        <v>82738712</v>
      </c>
      <c r="H29" s="294"/>
      <c r="I29" s="294"/>
      <c r="J29" s="291">
        <v>0.14744638660000001</v>
      </c>
      <c r="K29" s="291">
        <v>7.4866917192039413</v>
      </c>
      <c r="L29" s="290">
        <v>6.9290812689563097</v>
      </c>
      <c r="M29" s="289">
        <v>1.7346561975000001</v>
      </c>
      <c r="N29" s="291">
        <v>-15.122364981089007</v>
      </c>
      <c r="O29" s="290">
        <v>-15.821541390161231</v>
      </c>
      <c r="P29" s="289"/>
      <c r="Q29" s="291"/>
      <c r="R29" s="290"/>
      <c r="S29" s="505">
        <v>45748.559293981481</v>
      </c>
      <c r="T29" s="479" t="s">
        <v>429</v>
      </c>
    </row>
    <row r="30" spans="1:20">
      <c r="A30" s="287" t="str">
        <f>'Weigh Sheet'!C41</f>
        <v xml:space="preserve">20231120_E3_A </v>
      </c>
      <c r="B30" s="288">
        <v>26</v>
      </c>
      <c r="C30" s="295">
        <v>25.152999999999999</v>
      </c>
      <c r="D30" s="295">
        <v>2.4734612500000002</v>
      </c>
      <c r="E30" s="467">
        <v>44534480</v>
      </c>
      <c r="F30" s="294">
        <v>5.8947934999999996</v>
      </c>
      <c r="G30" s="467">
        <v>63578912</v>
      </c>
      <c r="H30" s="294"/>
      <c r="I30" s="294"/>
      <c r="J30" s="291">
        <v>0.13218037490000001</v>
      </c>
      <c r="K30" s="291">
        <v>6.6354173054359871</v>
      </c>
      <c r="L30" s="290">
        <v>6.1051014368447944</v>
      </c>
      <c r="M30" s="289">
        <v>1.2932872230000001</v>
      </c>
      <c r="N30" s="291">
        <v>-15.742778314040573</v>
      </c>
      <c r="O30" s="290">
        <v>-16.447897671132303</v>
      </c>
      <c r="P30" s="289"/>
      <c r="Q30" s="291"/>
      <c r="R30" s="290"/>
      <c r="S30" s="505">
        <v>45748.567129629628</v>
      </c>
      <c r="T30" s="479" t="s">
        <v>430</v>
      </c>
    </row>
    <row r="31" spans="1:20">
      <c r="A31" s="287" t="str">
        <f>'Weigh Sheet'!C42</f>
        <v xml:space="preserve">20231120_E3_B </v>
      </c>
      <c r="B31" s="288">
        <v>27</v>
      </c>
      <c r="C31" s="295">
        <v>25.344999999999999</v>
      </c>
      <c r="D31" s="295">
        <v>2.8583150000000002</v>
      </c>
      <c r="E31" s="467">
        <v>54370104</v>
      </c>
      <c r="F31" s="294">
        <v>7.1423050000000003</v>
      </c>
      <c r="G31" s="467">
        <v>77671168</v>
      </c>
      <c r="H31" s="294"/>
      <c r="I31" s="294"/>
      <c r="J31" s="291">
        <v>0.1583105732</v>
      </c>
      <c r="K31" s="291">
        <v>6.2100693454691491</v>
      </c>
      <c r="L31" s="290">
        <v>5.6933914935244649</v>
      </c>
      <c r="M31" s="289">
        <v>1.5628474859999999</v>
      </c>
      <c r="N31" s="291">
        <v>-15.980886557461613</v>
      </c>
      <c r="O31" s="290">
        <v>-16.688286756757257</v>
      </c>
      <c r="P31" s="289"/>
      <c r="Q31" s="291"/>
      <c r="R31" s="290"/>
      <c r="S31" s="505">
        <v>45748.574999999997</v>
      </c>
      <c r="T31" s="479" t="s">
        <v>431</v>
      </c>
    </row>
    <row r="32" spans="1:20">
      <c r="A32" s="287" t="str">
        <f>'Weigh Sheet'!C43</f>
        <v>blank</v>
      </c>
      <c r="B32" s="288">
        <v>28</v>
      </c>
      <c r="C32" s="295">
        <v>38</v>
      </c>
      <c r="D32" s="295">
        <v>7.8468328125E-2</v>
      </c>
      <c r="E32" s="467">
        <v>1855856</v>
      </c>
      <c r="F32" s="294">
        <v>0.1059463828125</v>
      </c>
      <c r="G32" s="467">
        <v>2054976</v>
      </c>
      <c r="H32" s="294"/>
      <c r="I32" s="294"/>
      <c r="J32" s="291">
        <v>6.9935144999999999E-3</v>
      </c>
      <c r="K32" s="291">
        <v>4.3142830489057999</v>
      </c>
      <c r="L32" s="290">
        <v>3.8583901718620641</v>
      </c>
      <c r="M32" s="289">
        <v>2.96795025E-2</v>
      </c>
      <c r="N32" s="291">
        <v>-15.888260554325504</v>
      </c>
      <c r="O32" s="290">
        <v>-16.594773487837749</v>
      </c>
      <c r="P32" s="289"/>
      <c r="Q32" s="291"/>
      <c r="R32" s="290"/>
      <c r="S32" s="505">
        <v>45748.582928240743</v>
      </c>
      <c r="T32" s="479" t="s">
        <v>432</v>
      </c>
    </row>
    <row r="33" spans="1:37">
      <c r="A33" s="287" t="str">
        <f>'Weigh Sheet'!C44</f>
        <v>ISIRF Ulva</v>
      </c>
      <c r="B33" s="288">
        <v>29</v>
      </c>
      <c r="C33" s="294">
        <v>1.0880000000000001</v>
      </c>
      <c r="D33" s="295">
        <v>4.0236877499999997</v>
      </c>
      <c r="E33" s="467">
        <v>64068376</v>
      </c>
      <c r="F33" s="294">
        <v>6.8816465000000004</v>
      </c>
      <c r="G33" s="467">
        <v>70630800</v>
      </c>
      <c r="H33" s="294"/>
      <c r="I33" s="294"/>
      <c r="J33" s="291">
        <v>4.2435979936999999</v>
      </c>
      <c r="K33" s="291">
        <v>7.949165388095512</v>
      </c>
      <c r="L33" s="290">
        <v>7.3767265521765193</v>
      </c>
      <c r="M33" s="289">
        <v>33.016979965499999</v>
      </c>
      <c r="N33" s="291">
        <v>-12.176789021762763</v>
      </c>
      <c r="O33" s="290">
        <v>-12.847749717400037</v>
      </c>
      <c r="P33" s="289"/>
      <c r="Q33" s="291"/>
      <c r="R33" s="290"/>
      <c r="S33" s="505">
        <v>45748.590775462966</v>
      </c>
      <c r="T33" s="479" t="s">
        <v>433</v>
      </c>
    </row>
    <row r="34" spans="1:37">
      <c r="A34" s="287" t="str">
        <f>'Weigh Sheet'!C45</f>
        <v>ISIRF Chitin</v>
      </c>
      <c r="B34" s="288">
        <v>30</v>
      </c>
      <c r="C34" s="295">
        <v>1.075</v>
      </c>
      <c r="D34" s="295">
        <v>6.4612175000000001</v>
      </c>
      <c r="E34" s="467">
        <v>98896496</v>
      </c>
      <c r="F34" s="294">
        <v>9.3226519999999997</v>
      </c>
      <c r="G34" s="467">
        <v>97030904</v>
      </c>
      <c r="H34" s="294"/>
      <c r="I34" s="294"/>
      <c r="J34" s="291">
        <v>6.4634583730999999</v>
      </c>
      <c r="K34" s="291">
        <v>-4.7883029104512014</v>
      </c>
      <c r="L34" s="290">
        <v>-4.9523377547218042</v>
      </c>
      <c r="M34" s="289">
        <v>45.826828730999999</v>
      </c>
      <c r="N34" s="291">
        <v>-20.390306376055317</v>
      </c>
      <c r="O34" s="290">
        <v>-21.139944469648654</v>
      </c>
      <c r="P34" s="289"/>
      <c r="Q34" s="291"/>
      <c r="R34" s="290"/>
      <c r="S34" s="505">
        <v>45748.598634259259</v>
      </c>
      <c r="T34" s="479" t="s">
        <v>434</v>
      </c>
    </row>
    <row r="35" spans="1:37">
      <c r="A35" s="287" t="str">
        <f>'Weigh Sheet'!C46</f>
        <v>ISIRF Bamboo</v>
      </c>
      <c r="B35" s="288">
        <v>31</v>
      </c>
      <c r="C35" s="295">
        <v>1.607</v>
      </c>
      <c r="D35" s="295">
        <v>4.2894949999999996</v>
      </c>
      <c r="E35" s="467">
        <v>67375400</v>
      </c>
      <c r="F35" s="294">
        <v>13.377656999999999</v>
      </c>
      <c r="G35" s="467">
        <v>142385920</v>
      </c>
      <c r="H35" s="294"/>
      <c r="I35" s="294"/>
      <c r="J35" s="291">
        <v>2.9813769647999995</v>
      </c>
      <c r="K35" s="291">
        <v>2.2760521667966631</v>
      </c>
      <c r="L35" s="290">
        <v>1.8855114938678819</v>
      </c>
      <c r="M35" s="289">
        <v>44.864358630000005</v>
      </c>
      <c r="N35" s="291">
        <v>-29.398764005075858</v>
      </c>
      <c r="O35" s="290">
        <v>-30.234694240668308</v>
      </c>
      <c r="P35" s="289"/>
      <c r="Q35" s="291"/>
      <c r="R35" s="290"/>
      <c r="S35" s="505">
        <v>45748.606493055559</v>
      </c>
      <c r="T35" s="479" t="s">
        <v>435</v>
      </c>
    </row>
    <row r="36" spans="1:37">
      <c r="A36" s="287" t="str">
        <f>'Weigh Sheet'!C47</f>
        <v>NBS 1572 Citrus Leaf</v>
      </c>
      <c r="B36" s="288">
        <v>32</v>
      </c>
      <c r="C36" s="295">
        <v>1.9079999999999999</v>
      </c>
      <c r="D36" s="295">
        <v>4.5485439999999997</v>
      </c>
      <c r="E36" s="467">
        <v>72922992</v>
      </c>
      <c r="F36" s="294">
        <v>15.108513</v>
      </c>
      <c r="G36" s="467">
        <v>161712288</v>
      </c>
      <c r="H36" s="294"/>
      <c r="I36" s="294"/>
      <c r="J36" s="291">
        <v>2.7537677870999997</v>
      </c>
      <c r="K36" s="291">
        <v>4.9432252124060359</v>
      </c>
      <c r="L36" s="290">
        <v>4.4671664370794542</v>
      </c>
      <c r="M36" s="289">
        <v>42.877262780999999</v>
      </c>
      <c r="N36" s="291">
        <v>-26.332972555326617</v>
      </c>
      <c r="O36" s="290">
        <v>-27.139535531614968</v>
      </c>
      <c r="P36" s="289"/>
      <c r="Q36" s="291"/>
      <c r="R36" s="290"/>
      <c r="S36" s="505">
        <v>45748.614374999997</v>
      </c>
      <c r="T36" s="479" t="s">
        <v>436</v>
      </c>
    </row>
    <row r="37" spans="1:37">
      <c r="A37" s="287" t="str">
        <f>'Weigh Sheet'!C48</f>
        <v xml:space="preserve">20231120_E3_C </v>
      </c>
      <c r="B37" s="288">
        <v>33</v>
      </c>
      <c r="C37" s="295">
        <v>24.297999999999998</v>
      </c>
      <c r="D37" s="295">
        <v>2.6422639999999999</v>
      </c>
      <c r="E37" s="467">
        <v>47748328</v>
      </c>
      <c r="F37" s="294">
        <v>7.3569849999999999</v>
      </c>
      <c r="G37" s="467">
        <v>79190056</v>
      </c>
      <c r="H37" s="294"/>
      <c r="I37" s="294"/>
      <c r="J37" s="291">
        <v>0.1446498239</v>
      </c>
      <c r="K37" s="291">
        <v>6.2594408394576329</v>
      </c>
      <c r="L37" s="290">
        <v>5.7411799794342677</v>
      </c>
      <c r="M37" s="289">
        <v>1.6605461130000001</v>
      </c>
      <c r="N37" s="291">
        <v>-15.329273270394427</v>
      </c>
      <c r="O37" s="290">
        <v>-16.03043165687242</v>
      </c>
      <c r="P37" s="289"/>
      <c r="Q37" s="291"/>
      <c r="R37" s="290"/>
      <c r="S37" s="505">
        <v>45748.622233796297</v>
      </c>
      <c r="T37" s="479" t="s">
        <v>437</v>
      </c>
    </row>
    <row r="38" spans="1:37">
      <c r="A38" s="287" t="str">
        <f>'Weigh Sheet'!C49</f>
        <v xml:space="preserve">20231120_E3_D </v>
      </c>
      <c r="B38" s="288">
        <v>34</v>
      </c>
      <c r="C38" s="295">
        <v>25.091999999999999</v>
      </c>
      <c r="D38" s="295">
        <v>3.0716070000000002</v>
      </c>
      <c r="E38" s="467">
        <v>57604024</v>
      </c>
      <c r="F38" s="294">
        <v>8.3669344999999993</v>
      </c>
      <c r="G38" s="467">
        <v>89112200</v>
      </c>
      <c r="H38" s="294"/>
      <c r="I38" s="294"/>
      <c r="J38" s="291">
        <v>0.1709351526</v>
      </c>
      <c r="K38" s="291">
        <v>6.2665005199299335</v>
      </c>
      <c r="L38" s="290">
        <v>5.7480133039607031</v>
      </c>
      <c r="M38" s="289">
        <v>1.8030847904999998</v>
      </c>
      <c r="N38" s="291">
        <v>-15.914737044110186</v>
      </c>
      <c r="O38" s="290">
        <v>-16.621503596289493</v>
      </c>
      <c r="P38" s="289"/>
      <c r="Q38" s="291"/>
      <c r="R38" s="290"/>
      <c r="S38" s="505">
        <v>45748.630127314813</v>
      </c>
      <c r="T38" s="479" t="s">
        <v>438</v>
      </c>
    </row>
    <row r="39" spans="1:37">
      <c r="A39" s="287" t="str">
        <f>'Weigh Sheet'!C50</f>
        <v xml:space="preserve">20231120_E3_E </v>
      </c>
      <c r="B39" s="288">
        <v>35</v>
      </c>
      <c r="C39" s="295">
        <v>25.885999999999999</v>
      </c>
      <c r="D39" s="295">
        <v>2.7111730000000001</v>
      </c>
      <c r="E39" s="467">
        <v>51048264</v>
      </c>
      <c r="F39" s="294">
        <v>7.5581145000000003</v>
      </c>
      <c r="G39" s="467">
        <v>81723616</v>
      </c>
      <c r="H39" s="294"/>
      <c r="I39" s="294"/>
      <c r="J39" s="291">
        <v>0.1484151085</v>
      </c>
      <c r="K39" s="291">
        <v>6.5209223397947493</v>
      </c>
      <c r="L39" s="290">
        <v>5.9942775461688118</v>
      </c>
      <c r="M39" s="289">
        <v>1.6072065735000001</v>
      </c>
      <c r="N39" s="291">
        <v>-14.916666216044996</v>
      </c>
      <c r="O39" s="290">
        <v>-15.61387223376132</v>
      </c>
      <c r="P39" s="289"/>
      <c r="Q39" s="291"/>
      <c r="R39" s="290"/>
      <c r="S39" s="505">
        <v>45748.637997685182</v>
      </c>
      <c r="T39" s="479" t="s">
        <v>439</v>
      </c>
    </row>
    <row r="40" spans="1:37">
      <c r="A40" s="287" t="str">
        <f>'Weigh Sheet'!C51</f>
        <v xml:space="preserve">20231120_E3_F </v>
      </c>
      <c r="B40" s="288">
        <v>36</v>
      </c>
      <c r="C40" s="295">
        <v>25.902000000000001</v>
      </c>
      <c r="D40" s="295">
        <v>2.2525672499999998</v>
      </c>
      <c r="E40" s="467">
        <v>38427232</v>
      </c>
      <c r="F40" s="294">
        <v>5.6572674999999997</v>
      </c>
      <c r="G40" s="467">
        <v>59288696</v>
      </c>
      <c r="H40" s="294"/>
      <c r="I40" s="294"/>
      <c r="J40" s="291">
        <v>0.1185676823</v>
      </c>
      <c r="K40" s="291">
        <v>7.6405528422041096</v>
      </c>
      <c r="L40" s="290">
        <v>7.0780091120204691</v>
      </c>
      <c r="M40" s="289">
        <v>1.1686101</v>
      </c>
      <c r="N40" s="291">
        <v>-14.669536929350743</v>
      </c>
      <c r="O40" s="290">
        <v>-15.36437569216309</v>
      </c>
      <c r="P40" s="289"/>
      <c r="Q40" s="291"/>
      <c r="R40" s="290"/>
      <c r="S40" s="505">
        <v>45748.645868055559</v>
      </c>
      <c r="T40" s="479" t="s">
        <v>440</v>
      </c>
    </row>
    <row r="41" spans="1:37">
      <c r="A41" s="287" t="str">
        <f>'Weigh Sheet'!C52</f>
        <v xml:space="preserve">20231120_E3_G </v>
      </c>
      <c r="B41" s="288">
        <v>37</v>
      </c>
      <c r="C41" s="295">
        <v>25.771000000000001</v>
      </c>
      <c r="D41" s="295">
        <v>2.5808477500000002</v>
      </c>
      <c r="E41" s="467">
        <v>50407040</v>
      </c>
      <c r="F41" s="294">
        <v>6.4563435</v>
      </c>
      <c r="G41" s="467">
        <v>68414816</v>
      </c>
      <c r="H41" s="294"/>
      <c r="I41" s="294"/>
      <c r="J41" s="291">
        <v>0.14455371049999999</v>
      </c>
      <c r="K41" s="291">
        <v>6.1235226962060336</v>
      </c>
      <c r="L41" s="290">
        <v>5.6096198067730816</v>
      </c>
      <c r="M41" s="289">
        <v>1.3511299875</v>
      </c>
      <c r="N41" s="291">
        <v>-16.448634904029845</v>
      </c>
      <c r="O41" s="290">
        <v>-17.160515671298846</v>
      </c>
      <c r="P41" s="289"/>
      <c r="Q41" s="291"/>
      <c r="R41" s="290"/>
      <c r="S41" s="505">
        <v>45748.653738425928</v>
      </c>
      <c r="T41" s="479" t="s">
        <v>441</v>
      </c>
    </row>
    <row r="42" spans="1:37">
      <c r="A42" s="287" t="str">
        <f>'Weigh Sheet'!C53</f>
        <v xml:space="preserve">20231120_E3_H </v>
      </c>
      <c r="B42" s="288">
        <v>38</v>
      </c>
      <c r="C42" s="295">
        <v>25.09</v>
      </c>
      <c r="D42" s="295">
        <v>2.85095125</v>
      </c>
      <c r="E42" s="467">
        <v>50689712</v>
      </c>
      <c r="F42" s="294">
        <v>7.6116250000000001</v>
      </c>
      <c r="G42" s="467">
        <v>80227544</v>
      </c>
      <c r="H42" s="294"/>
      <c r="I42" s="294"/>
      <c r="J42" s="291">
        <v>0.1563208572</v>
      </c>
      <c r="K42" s="291">
        <v>7.0485146795310705</v>
      </c>
      <c r="L42" s="290">
        <v>6.5049535872764634</v>
      </c>
      <c r="M42" s="289">
        <v>1.625389389</v>
      </c>
      <c r="N42" s="291">
        <v>-14.588553941490593</v>
      </c>
      <c r="O42" s="290">
        <v>-15.282616967126199</v>
      </c>
      <c r="P42" s="289"/>
      <c r="Q42" s="291"/>
      <c r="R42" s="290"/>
      <c r="S42" s="505">
        <v>45748.661608796298</v>
      </c>
      <c r="T42" s="479" t="s">
        <v>442</v>
      </c>
    </row>
    <row r="43" spans="1:37">
      <c r="A43" s="287" t="str">
        <f>'Weigh Sheet'!C54</f>
        <v xml:space="preserve">20231120_E3_I </v>
      </c>
      <c r="B43" s="288">
        <v>39</v>
      </c>
      <c r="C43" s="295">
        <v>25.611999999999998</v>
      </c>
      <c r="D43" s="295">
        <v>2.3511972499999998</v>
      </c>
      <c r="E43" s="467">
        <v>44643792</v>
      </c>
      <c r="F43" s="294">
        <v>6.1329419999999999</v>
      </c>
      <c r="G43" s="467">
        <v>64021032</v>
      </c>
      <c r="H43" s="294"/>
      <c r="I43" s="294"/>
      <c r="J43" s="291">
        <v>0.13262215929999999</v>
      </c>
      <c r="K43" s="291">
        <v>6.6908973418693485</v>
      </c>
      <c r="L43" s="290">
        <v>6.1588026057822676</v>
      </c>
      <c r="M43" s="289">
        <v>1.2703709145000002</v>
      </c>
      <c r="N43" s="291">
        <v>-14.5450392114252</v>
      </c>
      <c r="O43" s="290">
        <v>-15.238685408851085</v>
      </c>
      <c r="P43" s="289"/>
      <c r="Q43" s="291"/>
      <c r="R43" s="290"/>
      <c r="S43" s="505">
        <v>45748.66946759259</v>
      </c>
      <c r="T43" s="479" t="s">
        <v>443</v>
      </c>
    </row>
    <row r="44" spans="1:37">
      <c r="A44" s="287" t="str">
        <f>'Weigh Sheet'!C55</f>
        <v xml:space="preserve">20231120_S2_A </v>
      </c>
      <c r="B44" s="288">
        <v>40</v>
      </c>
      <c r="C44" s="295">
        <v>25.896000000000001</v>
      </c>
      <c r="D44" s="295">
        <v>3.2665367500000002</v>
      </c>
      <c r="E44" s="467">
        <v>59408552</v>
      </c>
      <c r="F44" s="294">
        <v>8.0177659999999999</v>
      </c>
      <c r="G44" s="467">
        <v>84378528</v>
      </c>
      <c r="H44" s="294"/>
      <c r="I44" s="294"/>
      <c r="J44" s="291">
        <v>0.17149750029999999</v>
      </c>
      <c r="K44" s="291">
        <v>6.9145629784792035</v>
      </c>
      <c r="L44" s="290">
        <v>6.3752968063857649</v>
      </c>
      <c r="M44" s="289">
        <v>1.6537940609999999</v>
      </c>
      <c r="N44" s="291">
        <v>-18.026999937785401</v>
      </c>
      <c r="O44" s="290">
        <v>-18.753999885854064</v>
      </c>
      <c r="P44" s="289"/>
      <c r="Q44" s="291"/>
      <c r="R44" s="290"/>
      <c r="S44" s="505">
        <v>45748.677349537036</v>
      </c>
      <c r="T44" s="479" t="s">
        <v>444</v>
      </c>
    </row>
    <row r="45" spans="1:37">
      <c r="A45" s="287" t="str">
        <f>'Weigh Sheet'!C56</f>
        <v xml:space="preserve">20231120_S2_B </v>
      </c>
      <c r="B45" s="288">
        <v>41</v>
      </c>
      <c r="C45" s="294">
        <v>24.954000000000001</v>
      </c>
      <c r="D45" s="295">
        <v>2.3805437500000002</v>
      </c>
      <c r="E45" s="467">
        <v>43710712</v>
      </c>
      <c r="F45" s="294">
        <v>5.5646304999999998</v>
      </c>
      <c r="G45" s="467">
        <v>58097532</v>
      </c>
      <c r="H45" s="294"/>
      <c r="I45" s="294"/>
      <c r="J45" s="291">
        <v>0.12938549839999999</v>
      </c>
      <c r="K45" s="291">
        <v>6.5132535656998698</v>
      </c>
      <c r="L45" s="290">
        <v>5.9868546575103458</v>
      </c>
      <c r="M45" s="289">
        <v>1.187044539</v>
      </c>
      <c r="N45" s="291">
        <v>-17.037389146379432</v>
      </c>
      <c r="O45" s="290">
        <v>-17.754909598794949</v>
      </c>
      <c r="P45" s="289"/>
      <c r="Q45" s="291"/>
      <c r="R45" s="290"/>
      <c r="S45" s="505">
        <v>45748.685208333336</v>
      </c>
      <c r="T45" s="479" t="s">
        <v>445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>
        <v>42</v>
      </c>
      <c r="C46" s="295">
        <v>1.155</v>
      </c>
      <c r="D46" s="295">
        <v>4.4263614999999996</v>
      </c>
      <c r="E46" s="467">
        <v>67559832</v>
      </c>
      <c r="F46" s="294">
        <v>7.3628210000000003</v>
      </c>
      <c r="G46" s="467">
        <v>74959776</v>
      </c>
      <c r="H46" s="294"/>
      <c r="I46" s="294"/>
      <c r="J46" s="291">
        <v>4.2381970950999994</v>
      </c>
      <c r="K46" s="291">
        <v>8.1268750120955762</v>
      </c>
      <c r="L46" s="290">
        <v>7.5487382369868747</v>
      </c>
      <c r="M46" s="289">
        <v>33.029542570500006</v>
      </c>
      <c r="N46" s="291">
        <v>-12.450734515328229</v>
      </c>
      <c r="O46" s="290">
        <v>-13.124319338691274</v>
      </c>
      <c r="P46" s="289"/>
      <c r="Q46" s="291"/>
      <c r="R46" s="290"/>
      <c r="S46" s="505">
        <v>45748.693067129629</v>
      </c>
      <c r="T46" s="479" t="s">
        <v>446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>20231120_S2_B_Dup</v>
      </c>
      <c r="B47" s="288">
        <v>43</v>
      </c>
      <c r="C47" s="295">
        <v>25.31</v>
      </c>
      <c r="D47" s="295">
        <v>2.33767725</v>
      </c>
      <c r="E47" s="467">
        <v>43185720</v>
      </c>
      <c r="F47" s="294">
        <v>5.9682345000000003</v>
      </c>
      <c r="G47" s="467">
        <v>62450088</v>
      </c>
      <c r="H47" s="294"/>
      <c r="I47" s="294"/>
      <c r="J47" s="291">
        <v>0.12841930579999999</v>
      </c>
      <c r="K47" s="291">
        <v>6.7996882044136751</v>
      </c>
      <c r="L47" s="290">
        <v>6.2641052851589043</v>
      </c>
      <c r="M47" s="289">
        <v>1.2617135804999999</v>
      </c>
      <c r="N47" s="291">
        <v>-16.191690161726669</v>
      </c>
      <c r="O47" s="290">
        <v>-16.901109651704726</v>
      </c>
      <c r="P47" s="289"/>
      <c r="Q47" s="291"/>
      <c r="R47" s="290"/>
      <c r="S47" s="505">
        <v>45748.700949074075</v>
      </c>
      <c r="T47" s="479" t="s">
        <v>447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20231120_S2_C </v>
      </c>
      <c r="B48" s="288">
        <v>44</v>
      </c>
      <c r="C48" s="295">
        <v>24.462</v>
      </c>
      <c r="D48" s="295">
        <v>2.57153375</v>
      </c>
      <c r="E48" s="467">
        <v>48249024</v>
      </c>
      <c r="F48" s="294">
        <v>6.8336790000000001</v>
      </c>
      <c r="G48" s="467">
        <v>71844544</v>
      </c>
      <c r="H48" s="294"/>
      <c r="I48" s="294"/>
      <c r="J48" s="291">
        <v>0.14506715839999998</v>
      </c>
      <c r="K48" s="291">
        <v>7.0083609592558833</v>
      </c>
      <c r="L48" s="290">
        <v>6.4660873237592087</v>
      </c>
      <c r="M48" s="289">
        <v>1.5060455699999999</v>
      </c>
      <c r="N48" s="291">
        <v>-15.928213159815362</v>
      </c>
      <c r="O48" s="290">
        <v>-16.635108799896052</v>
      </c>
      <c r="P48" s="289"/>
      <c r="Q48" s="291"/>
      <c r="R48" s="290"/>
      <c r="S48" s="505">
        <v>45748.70884259259</v>
      </c>
      <c r="T48" s="479" t="s">
        <v>448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20231120_S2_D </v>
      </c>
      <c r="B49" s="288">
        <v>45</v>
      </c>
      <c r="C49" s="295">
        <v>25.257999999999999</v>
      </c>
      <c r="D49" s="295">
        <v>2.9732242499999999</v>
      </c>
      <c r="E49" s="467">
        <v>53175592</v>
      </c>
      <c r="F49" s="294">
        <v>7.3210115</v>
      </c>
      <c r="G49" s="467">
        <v>77216096</v>
      </c>
      <c r="H49" s="294"/>
      <c r="I49" s="294"/>
      <c r="J49" s="291">
        <v>0.15828359399999997</v>
      </c>
      <c r="K49" s="291">
        <v>7.1014379816287878</v>
      </c>
      <c r="L49" s="290">
        <v>6.5561799989622616</v>
      </c>
      <c r="M49" s="289">
        <v>1.5654788549999998</v>
      </c>
      <c r="N49" s="291">
        <v>-18.156062076941364</v>
      </c>
      <c r="O49" s="290">
        <v>-18.884298313051488</v>
      </c>
      <c r="P49" s="289"/>
      <c r="Q49" s="291"/>
      <c r="R49" s="290"/>
      <c r="S49" s="505">
        <v>45748.71671296296</v>
      </c>
      <c r="T49" s="479" t="s">
        <v>449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20231120_S2_E </v>
      </c>
      <c r="B50" s="288">
        <v>46</v>
      </c>
      <c r="C50" s="295">
        <v>25.324999999999999</v>
      </c>
      <c r="D50" s="295">
        <v>2.3696415000000002</v>
      </c>
      <c r="E50" s="467">
        <v>43081216</v>
      </c>
      <c r="F50" s="294">
        <v>5.9507124999999998</v>
      </c>
      <c r="G50" s="467">
        <v>61388604</v>
      </c>
      <c r="H50" s="294"/>
      <c r="I50" s="294"/>
      <c r="J50" s="291">
        <v>0.1252829738</v>
      </c>
      <c r="K50" s="291">
        <v>7.0031156895612128</v>
      </c>
      <c r="L50" s="290">
        <v>6.4610102341950295</v>
      </c>
      <c r="M50" s="289">
        <v>1.2486792975000001</v>
      </c>
      <c r="N50" s="291">
        <v>-15.481704956404613</v>
      </c>
      <c r="O50" s="290">
        <v>-16.18432348814121</v>
      </c>
      <c r="P50" s="289"/>
      <c r="Q50" s="291"/>
      <c r="R50" s="290"/>
      <c r="S50" s="505">
        <v>45748.724583333336</v>
      </c>
      <c r="T50" s="479" t="s">
        <v>450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20231120_S2_F </v>
      </c>
      <c r="B51" s="288">
        <v>47</v>
      </c>
      <c r="C51" s="295">
        <v>24.765999999999998</v>
      </c>
      <c r="D51" s="295">
        <v>2.3278542500000001</v>
      </c>
      <c r="E51" s="467">
        <v>42090160</v>
      </c>
      <c r="F51" s="294">
        <v>5.9603155000000001</v>
      </c>
      <c r="G51" s="467">
        <v>62682232</v>
      </c>
      <c r="H51" s="294"/>
      <c r="I51" s="294"/>
      <c r="J51" s="291">
        <v>0.12909800130000001</v>
      </c>
      <c r="K51" s="291">
        <v>7.2528387995809176</v>
      </c>
      <c r="L51" s="290">
        <v>6.7027264222308318</v>
      </c>
      <c r="M51" s="289">
        <v>1.3047012734999999</v>
      </c>
      <c r="N51" s="291">
        <v>-15.565087915242378</v>
      </c>
      <c r="O51" s="290">
        <v>-16.268505173511379</v>
      </c>
      <c r="P51" s="289"/>
      <c r="Q51" s="291"/>
      <c r="R51" s="290"/>
      <c r="S51" s="505">
        <v>45748.732465277775</v>
      </c>
      <c r="T51" s="479" t="s">
        <v>451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20231120_S2_G </v>
      </c>
      <c r="B52" s="288">
        <v>48</v>
      </c>
      <c r="C52" s="295">
        <v>24.949000000000002</v>
      </c>
      <c r="D52" s="295">
        <v>2.7216277500000001</v>
      </c>
      <c r="E52" s="467">
        <v>50702800</v>
      </c>
      <c r="F52" s="294">
        <v>7.5464134999999999</v>
      </c>
      <c r="G52" s="467">
        <v>79144992</v>
      </c>
      <c r="H52" s="294"/>
      <c r="I52" s="294"/>
      <c r="J52" s="291">
        <v>0.14844630319999999</v>
      </c>
      <c r="K52" s="291">
        <v>7.0543826638889771</v>
      </c>
      <c r="L52" s="290">
        <v>6.5106334252791811</v>
      </c>
      <c r="M52" s="289">
        <v>1.632445989</v>
      </c>
      <c r="N52" s="291">
        <v>-15.972071176537366</v>
      </c>
      <c r="O52" s="290">
        <v>-16.679386933175476</v>
      </c>
      <c r="P52" s="289"/>
      <c r="Q52" s="291"/>
      <c r="R52" s="290"/>
      <c r="S52" s="505">
        <v>45748.740335648145</v>
      </c>
      <c r="T52" s="479" t="s">
        <v>452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20231120_S2_H</v>
      </c>
      <c r="B53" s="288">
        <v>49</v>
      </c>
      <c r="C53" s="295">
        <v>25.83</v>
      </c>
      <c r="D53" s="295">
        <v>2.9214522500000002</v>
      </c>
      <c r="E53" s="467">
        <v>54341176</v>
      </c>
      <c r="F53" s="294">
        <v>7.6972674999999997</v>
      </c>
      <c r="G53" s="467">
        <v>82798432</v>
      </c>
      <c r="H53" s="294"/>
      <c r="I53" s="294"/>
      <c r="J53" s="291">
        <v>0.15570960969999997</v>
      </c>
      <c r="K53" s="291">
        <v>6.3682480998512885</v>
      </c>
      <c r="L53" s="290">
        <v>5.8464985308927133</v>
      </c>
      <c r="M53" s="289">
        <v>1.6554402914999999</v>
      </c>
      <c r="N53" s="291">
        <v>-15.343667625791923</v>
      </c>
      <c r="O53" s="290">
        <v>-16.044963896002194</v>
      </c>
      <c r="P53" s="289"/>
      <c r="Q53" s="291"/>
      <c r="R53" s="290"/>
      <c r="S53" s="505">
        <v>45748.748206018521</v>
      </c>
      <c r="T53" s="479" t="s">
        <v>453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20231120_S2_I </v>
      </c>
      <c r="B54" s="288">
        <v>50</v>
      </c>
      <c r="C54" s="295">
        <v>26.013999999999999</v>
      </c>
      <c r="D54" s="295">
        <v>2.4154385</v>
      </c>
      <c r="E54" s="467">
        <v>41582888</v>
      </c>
      <c r="F54" s="294">
        <v>5.8855554999999997</v>
      </c>
      <c r="G54" s="467">
        <v>61788520</v>
      </c>
      <c r="H54" s="294"/>
      <c r="I54" s="294"/>
      <c r="J54" s="291">
        <v>0.11935429459999999</v>
      </c>
      <c r="K54" s="291">
        <v>7.7816204772255464</v>
      </c>
      <c r="L54" s="290">
        <v>7.2145536672677464</v>
      </c>
      <c r="M54" s="289">
        <v>1.2345623834999999</v>
      </c>
      <c r="N54" s="291">
        <v>-15.743029492264013</v>
      </c>
      <c r="O54" s="290">
        <v>-16.448151255395469</v>
      </c>
      <c r="P54" s="289"/>
      <c r="Q54" s="291"/>
      <c r="R54" s="290"/>
      <c r="S54" s="505">
        <v>45748.756041666667</v>
      </c>
      <c r="T54" s="479" t="s">
        <v>454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20231120_S2_J </v>
      </c>
      <c r="B55" s="288">
        <v>51</v>
      </c>
      <c r="C55" s="295">
        <v>26.116</v>
      </c>
      <c r="D55" s="295">
        <v>2.8508810000000002</v>
      </c>
      <c r="E55" s="467">
        <v>51424120</v>
      </c>
      <c r="F55" s="294">
        <v>7.8258429999999999</v>
      </c>
      <c r="G55" s="467">
        <v>84481296</v>
      </c>
      <c r="H55" s="294"/>
      <c r="I55" s="294"/>
      <c r="J55" s="291">
        <v>0.14624328289999999</v>
      </c>
      <c r="K55" s="291">
        <v>7.1076773749567757</v>
      </c>
      <c r="L55" s="290">
        <v>6.5622193373750273</v>
      </c>
      <c r="M55" s="289">
        <v>1.6782210389999999</v>
      </c>
      <c r="N55" s="291">
        <v>-15.638166676208073</v>
      </c>
      <c r="O55" s="290">
        <v>-16.342283956953516</v>
      </c>
      <c r="P55" s="289"/>
      <c r="Q55" s="291"/>
      <c r="R55" s="290"/>
      <c r="S55" s="505">
        <v>45748.763912037037</v>
      </c>
      <c r="T55" s="479" t="s">
        <v>455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R1-20231120_E1_A </v>
      </c>
      <c r="B56" s="288">
        <v>52</v>
      </c>
      <c r="C56" s="295">
        <v>25.306000000000001</v>
      </c>
      <c r="D56" s="295">
        <v>2.3248574999999998</v>
      </c>
      <c r="E56" s="467">
        <v>42736360</v>
      </c>
      <c r="F56" s="294">
        <v>5.5147195</v>
      </c>
      <c r="G56" s="467">
        <v>57471368</v>
      </c>
      <c r="H56" s="294"/>
      <c r="I56" s="294"/>
      <c r="J56" s="291">
        <v>0.1299790408</v>
      </c>
      <c r="K56" s="291">
        <v>7.2729592765204201</v>
      </c>
      <c r="L56" s="290">
        <v>6.7222017722971312</v>
      </c>
      <c r="M56" s="289">
        <v>1.1747354145</v>
      </c>
      <c r="N56" s="291">
        <v>-14.867126295721942</v>
      </c>
      <c r="O56" s="290">
        <v>-15.563857769846544</v>
      </c>
      <c r="P56" s="289"/>
      <c r="Q56" s="291"/>
      <c r="R56" s="290"/>
      <c r="S56" s="505">
        <v>45748.771793981483</v>
      </c>
      <c r="T56" s="479" t="s">
        <v>456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53</v>
      </c>
      <c r="C57" s="295">
        <v>38</v>
      </c>
      <c r="D57" s="295">
        <v>7.6032374999999999E-2</v>
      </c>
      <c r="E57" s="467">
        <v>1726888</v>
      </c>
      <c r="F57" s="294">
        <v>0</v>
      </c>
      <c r="G57" s="467">
        <v>0</v>
      </c>
      <c r="H57" s="294"/>
      <c r="I57" s="294"/>
      <c r="J57" s="291">
        <v>6.5728075999999993E-3</v>
      </c>
      <c r="K57" s="291">
        <v>4.189753151547345</v>
      </c>
      <c r="L57" s="290">
        <v>3.7378531014900016</v>
      </c>
      <c r="M57" s="289">
        <v>0</v>
      </c>
      <c r="N57" s="291">
        <v>0.10792434113682503</v>
      </c>
      <c r="O57" s="290">
        <v>-0.44536091286716284</v>
      </c>
      <c r="P57" s="289"/>
      <c r="Q57" s="291"/>
      <c r="R57" s="290"/>
      <c r="S57" s="505">
        <v>45748.779710648145</v>
      </c>
      <c r="T57" s="479" t="s">
        <v>457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54</v>
      </c>
      <c r="C58" s="295">
        <v>1.131</v>
      </c>
      <c r="D58" s="295">
        <v>4.13188025</v>
      </c>
      <c r="E58" s="467">
        <v>65215904</v>
      </c>
      <c r="F58" s="294">
        <v>7.1213854999999997</v>
      </c>
      <c r="G58" s="467">
        <v>72463536</v>
      </c>
      <c r="H58" s="294"/>
      <c r="I58" s="294"/>
      <c r="J58" s="291">
        <v>4.2084331358</v>
      </c>
      <c r="K58" s="291">
        <v>7.9764416562565286</v>
      </c>
      <c r="L58" s="290">
        <v>7.4031282559003078</v>
      </c>
      <c r="M58" s="289">
        <v>32.8897884645</v>
      </c>
      <c r="N58" s="291">
        <v>-12.384725147212878</v>
      </c>
      <c r="O58" s="290">
        <v>-13.057677665912767</v>
      </c>
      <c r="P58" s="289"/>
      <c r="Q58" s="291"/>
      <c r="R58" s="290"/>
      <c r="S58" s="505">
        <v>45748.787638888891</v>
      </c>
      <c r="T58" s="479" t="s">
        <v>458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55</v>
      </c>
      <c r="C59" s="295">
        <v>1.0429999999999999</v>
      </c>
      <c r="D59" s="295">
        <v>6.583037</v>
      </c>
      <c r="E59" s="467">
        <v>103296272</v>
      </c>
      <c r="F59" s="294">
        <v>9.7675400000000003</v>
      </c>
      <c r="G59" s="467">
        <v>100063440</v>
      </c>
      <c r="H59" s="294"/>
      <c r="I59" s="294"/>
      <c r="J59" s="291">
        <v>7.0213376430999999</v>
      </c>
      <c r="K59" s="291">
        <v>-4.8082129277677765</v>
      </c>
      <c r="L59" s="290">
        <v>-4.971609393174127</v>
      </c>
      <c r="M59" s="289">
        <v>48.990208732500001</v>
      </c>
      <c r="N59" s="291">
        <v>-20.434969339318865</v>
      </c>
      <c r="O59" s="290">
        <v>-21.185035260063835</v>
      </c>
      <c r="P59" s="289"/>
      <c r="Q59" s="291"/>
      <c r="R59" s="290"/>
      <c r="S59" s="505">
        <v>45748.79550925926</v>
      </c>
      <c r="T59" s="479" t="s">
        <v>459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56</v>
      </c>
      <c r="C60" s="295">
        <v>1.375</v>
      </c>
      <c r="D60" s="295">
        <v>3.5809764999999998</v>
      </c>
      <c r="E60" s="467">
        <v>58850852</v>
      </c>
      <c r="F60" s="294">
        <v>11.614521</v>
      </c>
      <c r="G60" s="467">
        <v>121068512</v>
      </c>
      <c r="H60" s="294"/>
      <c r="I60" s="294"/>
      <c r="J60" s="291">
        <v>3.2470495782</v>
      </c>
      <c r="K60" s="291">
        <v>2.3203607246001834</v>
      </c>
      <c r="L60" s="290">
        <v>1.9283993775274513</v>
      </c>
      <c r="M60" s="289">
        <v>44.845564861499994</v>
      </c>
      <c r="N60" s="291">
        <v>-29.332035396923789</v>
      </c>
      <c r="O60" s="290">
        <v>-30.167326438242679</v>
      </c>
      <c r="P60" s="289"/>
      <c r="Q60" s="291"/>
      <c r="R60" s="290"/>
      <c r="S60" s="505">
        <v>45748.803402777776</v>
      </c>
      <c r="T60" s="479" t="s">
        <v>460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>
        <v>57</v>
      </c>
      <c r="C61" s="295">
        <v>2.0579999999999998</v>
      </c>
      <c r="D61" s="295">
        <v>4.947012</v>
      </c>
      <c r="E61" s="467">
        <v>80278688</v>
      </c>
      <c r="F61" s="294">
        <v>16.349</v>
      </c>
      <c r="G61" s="467">
        <v>175041136</v>
      </c>
      <c r="H61" s="294"/>
      <c r="I61" s="294"/>
      <c r="J61" s="291">
        <v>2.8234618054999996</v>
      </c>
      <c r="K61" s="291">
        <v>4.903343936179815</v>
      </c>
      <c r="L61" s="290">
        <v>4.4285638821831759</v>
      </c>
      <c r="M61" s="289">
        <v>43.191549817500004</v>
      </c>
      <c r="N61" s="291">
        <v>-26.420966853409016</v>
      </c>
      <c r="O61" s="290">
        <v>-27.228372728313083</v>
      </c>
      <c r="P61" s="289"/>
      <c r="Q61" s="291"/>
      <c r="R61" s="290"/>
      <c r="S61" s="505">
        <v>45748.811307870368</v>
      </c>
      <c r="T61" s="479" t="s">
        <v>461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" thickBot="1">
      <c r="A63" s="364" t="s">
        <v>249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0.96793680014928973</v>
      </c>
      <c r="J63" s="372">
        <v>-0.31756315743413754</v>
      </c>
      <c r="K63" s="372">
        <v>1.009579014028009</v>
      </c>
      <c r="L63" s="373">
        <v>-0.55431906278170118</v>
      </c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 t="s">
        <v>255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254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" thickBot="1">
      <c r="A66" s="366" t="s">
        <v>355</v>
      </c>
      <c r="B66" s="367" t="s">
        <v>462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" priority="2" operator="notBetween">
      <formula>1</formula>
      <formula>40</formula>
    </cfRule>
  </conditionalFormatting>
  <conditionalFormatting sqref="F6:F61">
    <cfRule type="cellIs" dxfId="0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D33" sqref="D33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IC13C-241218-10KansasROARCarbon-1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214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45748.394074074073</v>
      </c>
      <c r="B11" s="490" t="str">
        <f>'ISIRF RAW'!T8</f>
        <v>IC15N-241218-10KansasRoarCarbon-1-Run2_3.raw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4</v>
      </c>
      <c r="G11" s="447">
        <f>'ISIRF RAW'!C8</f>
        <v>1.1910000000000001</v>
      </c>
      <c r="H11" s="447">
        <f>'ISIRF RAW'!D8</f>
        <v>4.194769</v>
      </c>
      <c r="I11" s="468">
        <f>'ISIRF RAW'!E8</f>
        <v>67101488</v>
      </c>
      <c r="J11" s="447">
        <f>'ISIRF RAW'!J8</f>
        <v>4.0217227390999994</v>
      </c>
      <c r="K11" s="447">
        <f>'ISIRF RAW'!L8</f>
        <v>7.4797433814844334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45748.49628472222</v>
      </c>
      <c r="B12" s="492" t="str">
        <f>'ISIRF RAW'!T21</f>
        <v>IC15N-241218-10KansasRoarCarbon-1-Run2_16.raw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17</v>
      </c>
      <c r="G12" s="450">
        <f>'ISIRF RAW'!C21</f>
        <v>1.1519999999999999</v>
      </c>
      <c r="H12" s="450">
        <f>'ISIRF RAW'!D21</f>
        <v>4.3204395</v>
      </c>
      <c r="I12" s="469">
        <f>'ISIRF RAW'!E21</f>
        <v>67549856</v>
      </c>
      <c r="J12" s="450">
        <f>'ISIRF RAW'!J21</f>
        <v>4.3374426116000002</v>
      </c>
      <c r="K12" s="450">
        <f>'ISIRF RAW'!L21</f>
        <v>7.8248575708435881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45748.590775462966</v>
      </c>
      <c r="B13" s="492" t="str">
        <f>'ISIRF RAW'!T33</f>
        <v>IC15N-241218-10KansasRoarCarbon-1-Run2_28.raw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29</v>
      </c>
      <c r="G13" s="450">
        <f>'ISIRF RAW'!C33</f>
        <v>1.0880000000000001</v>
      </c>
      <c r="H13" s="450">
        <f>'ISIRF RAW'!D33</f>
        <v>4.0236877499999997</v>
      </c>
      <c r="I13" s="469">
        <f>'ISIRF RAW'!E33</f>
        <v>64068376</v>
      </c>
      <c r="J13" s="450">
        <f>'ISIRF RAW'!J33</f>
        <v>4.2435979936999999</v>
      </c>
      <c r="K13" s="450">
        <f>'ISIRF RAW'!L33</f>
        <v>7.3767265521765193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45748.693067129629</v>
      </c>
      <c r="B14" s="492" t="str">
        <f>'ISIRF RAW'!T46</f>
        <v>IC15N-241218-10KansasRoarCarbon-1-Run2_41.raw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42</v>
      </c>
      <c r="G14" s="450">
        <f>'ISIRF RAW'!C46</f>
        <v>1.155</v>
      </c>
      <c r="H14" s="450">
        <f>'ISIRF RAW'!D46</f>
        <v>4.4263614999999996</v>
      </c>
      <c r="I14" s="469">
        <f>'ISIRF RAW'!E46</f>
        <v>67559832</v>
      </c>
      <c r="J14" s="450">
        <f>'ISIRF RAW'!J46</f>
        <v>4.2381970950999994</v>
      </c>
      <c r="K14" s="450">
        <f>'ISIRF RAW'!L46</f>
        <v>7.5487382369868747</v>
      </c>
      <c r="L14" s="451"/>
      <c r="M14" s="189"/>
      <c r="N14" s="242"/>
      <c r="O14" s="334"/>
      <c r="P14" s="334"/>
      <c r="Q14" s="242"/>
    </row>
    <row r="15" spans="1:19" ht="12" customHeight="1">
      <c r="A15" s="502">
        <f>'ISIRF RAW'!S58</f>
        <v>45748.787638888891</v>
      </c>
      <c r="B15" s="494" t="str">
        <f>'ISIRF RAW'!T58</f>
        <v>IC15N-241218-10KansasRoarCarbon-1-Run2_53.raw</v>
      </c>
      <c r="C15" s="495"/>
      <c r="D15" s="458" t="str">
        <f>'ISIRF RAW'!A58</f>
        <v>ISIRF Ulva</v>
      </c>
      <c r="E15" s="459" t="str">
        <f>$B$4</f>
        <v>QC.STD</v>
      </c>
      <c r="F15" s="458">
        <f>'ISIRF RAW'!B58</f>
        <v>54</v>
      </c>
      <c r="G15" s="459">
        <f>'ISIRF RAW'!C58</f>
        <v>1.131</v>
      </c>
      <c r="H15" s="459">
        <f>'ISIRF RAW'!D58</f>
        <v>4.13188025</v>
      </c>
      <c r="I15" s="470">
        <f>'ISIRF RAW'!E58</f>
        <v>65215904</v>
      </c>
      <c r="J15" s="459">
        <f>'ISIRF RAW'!J58</f>
        <v>4.2084331358</v>
      </c>
      <c r="K15" s="459">
        <f>'ISIRF RAW'!L58</f>
        <v>7.4031282559003078</v>
      </c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45748.401944444442</v>
      </c>
      <c r="B16" s="496" t="str">
        <f>'ISIRF RAW'!T9</f>
        <v>IC15N-241218-10KansasRoarCarbon-1-Run2_4.raw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5</v>
      </c>
      <c r="G16" s="456">
        <f>'ISIRF RAW'!C9</f>
        <v>1.0609999999999999</v>
      </c>
      <c r="H16" s="456">
        <f>'ISIRF RAW'!D9</f>
        <v>6.0836034999999997</v>
      </c>
      <c r="I16" s="471">
        <f>'ISIRF RAW'!E9</f>
        <v>93825208</v>
      </c>
      <c r="J16" s="456">
        <f>'ISIRF RAW'!J9</f>
        <v>6.263830841299999</v>
      </c>
      <c r="K16" s="456">
        <f>'ISIRF RAW'!L9</f>
        <v>-4.9702906643566678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45748.598634259259</v>
      </c>
      <c r="B17" s="492" t="str">
        <f>'ISIRF RAW'!T34</f>
        <v>IC15N-241218-10KansasRoarCarbon-1-Run2_29.raw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30</v>
      </c>
      <c r="G17" s="450">
        <f>'ISIRF RAW'!C34</f>
        <v>1.075</v>
      </c>
      <c r="H17" s="450">
        <f>'ISIRF RAW'!D34</f>
        <v>6.4612175000000001</v>
      </c>
      <c r="I17" s="469">
        <f>'ISIRF RAW'!E34</f>
        <v>98896496</v>
      </c>
      <c r="J17" s="450">
        <f>'ISIRF RAW'!J34</f>
        <v>6.4634583730999999</v>
      </c>
      <c r="K17" s="450">
        <f>'ISIRF RAW'!L34</f>
        <v>-4.9523377547218042</v>
      </c>
      <c r="L17" s="451"/>
      <c r="M17" s="189"/>
      <c r="N17" s="242"/>
      <c r="O17" s="334"/>
      <c r="P17" s="334"/>
      <c r="Q17" s="242"/>
    </row>
    <row r="18" spans="1:19" ht="12" customHeight="1">
      <c r="A18" s="502">
        <f>'ISIRF RAW'!S59</f>
        <v>45748.79550925926</v>
      </c>
      <c r="B18" s="494" t="str">
        <f>'ISIRF RAW'!T59</f>
        <v>IC15N-241218-10KansasRoarCarbon-1-Run2_54.raw</v>
      </c>
      <c r="C18" s="495"/>
      <c r="D18" s="459" t="str">
        <f>'ISIRF RAW'!A59</f>
        <v>ISIRF Chitin</v>
      </c>
      <c r="E18" s="459" t="str">
        <f t="shared" si="0"/>
        <v>Cal-H.STD</v>
      </c>
      <c r="F18" s="458">
        <f>'ISIRF RAW'!B59</f>
        <v>55</v>
      </c>
      <c r="G18" s="459">
        <f>'ISIRF RAW'!C59</f>
        <v>1.0429999999999999</v>
      </c>
      <c r="H18" s="459">
        <f>'ISIRF RAW'!D59</f>
        <v>6.583037</v>
      </c>
      <c r="I18" s="470">
        <f>'ISIRF RAW'!E59</f>
        <v>103296272</v>
      </c>
      <c r="J18" s="459">
        <f>'ISIRF RAW'!J59</f>
        <v>7.0213376430999999</v>
      </c>
      <c r="K18" s="459">
        <f>'ISIRF RAW'!L59</f>
        <v>-4.971609393174127</v>
      </c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45748.409803240742</v>
      </c>
      <c r="B19" s="496" t="str">
        <f>'ISIRF RAW'!T10</f>
        <v>IC15N-241218-10KansasRoarCarbon-1-Run2_5.raw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6</v>
      </c>
      <c r="G19" s="456">
        <f>'ISIRF RAW'!C10</f>
        <v>1.6339999999999999</v>
      </c>
      <c r="H19" s="456">
        <f>'ISIRF RAW'!D10</f>
        <v>4.2863274999999996</v>
      </c>
      <c r="I19" s="471">
        <f>'ISIRF RAW'!E10</f>
        <v>69335024</v>
      </c>
      <c r="J19" s="456">
        <f>'ISIRF RAW'!J10</f>
        <v>2.9811864242000001</v>
      </c>
      <c r="K19" s="456">
        <f>'ISIRF RAW'!L10</f>
        <v>2.1220709588917375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45748.606493055559</v>
      </c>
      <c r="B20" s="492" t="str">
        <f>'ISIRF RAW'!T35</f>
        <v>IC15N-241218-10KansasRoarCarbon-1-Run2_30.raw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31</v>
      </c>
      <c r="G20" s="450">
        <f>'ISIRF RAW'!C35</f>
        <v>1.607</v>
      </c>
      <c r="H20" s="450">
        <f>'ISIRF RAW'!D35</f>
        <v>4.2894949999999996</v>
      </c>
      <c r="I20" s="469">
        <f>'ISIRF RAW'!E35</f>
        <v>67375400</v>
      </c>
      <c r="J20" s="450">
        <f>'ISIRF RAW'!J35</f>
        <v>2.9813769647999995</v>
      </c>
      <c r="K20" s="450">
        <f>'ISIRF RAW'!L35</f>
        <v>1.8855114938678819</v>
      </c>
      <c r="L20" s="451"/>
      <c r="M20" s="194"/>
      <c r="N20" s="335"/>
      <c r="O20" s="335"/>
      <c r="P20" s="335"/>
      <c r="Q20" s="242"/>
    </row>
    <row r="21" spans="1:19" ht="12" customHeight="1">
      <c r="A21" s="502">
        <f>'ISIRF RAW'!S60</f>
        <v>45748.803402777776</v>
      </c>
      <c r="B21" s="494" t="str">
        <f>'ISIRF RAW'!T60</f>
        <v>IC15N-241218-10KansasRoarCarbon-1-Run2_55.raw</v>
      </c>
      <c r="C21" s="495"/>
      <c r="D21" s="458" t="str">
        <f>'ISIRF RAW'!A60</f>
        <v>ISIRF Bamboo</v>
      </c>
      <c r="E21" s="458" t="str">
        <f t="shared" si="1"/>
        <v>Cal-L.STD</v>
      </c>
      <c r="F21" s="458">
        <f>'ISIRF RAW'!B60</f>
        <v>56</v>
      </c>
      <c r="G21" s="459">
        <f>'ISIRF RAW'!C60</f>
        <v>1.375</v>
      </c>
      <c r="H21" s="459">
        <f>'ISIRF RAW'!D60</f>
        <v>3.5809764999999998</v>
      </c>
      <c r="I21" s="470">
        <f>'ISIRF RAW'!E60</f>
        <v>58850852</v>
      </c>
      <c r="J21" s="459">
        <f>'ISIRF RAW'!J60</f>
        <v>3.2470495782</v>
      </c>
      <c r="K21" s="459">
        <f>'ISIRF RAW'!L60</f>
        <v>1.9283993775274513</v>
      </c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45748.417662037034</v>
      </c>
      <c r="B22" s="496" t="str">
        <f>'ISIRF RAW'!T11</f>
        <v>IC15N-241218-10KansasRoarCarbon-1-Run2_6.raw</v>
      </c>
      <c r="C22" s="497"/>
      <c r="D22" s="455" t="str">
        <f>'ISIRF RAW'!A11</f>
        <v>NBS 1572 Citrus Leaf</v>
      </c>
      <c r="E22" s="456" t="s">
        <v>165</v>
      </c>
      <c r="F22" s="455">
        <f>'ISIRF RAW'!B11</f>
        <v>7</v>
      </c>
      <c r="G22" s="456">
        <f>'ISIRF RAW'!C11</f>
        <v>1.97</v>
      </c>
      <c r="H22" s="456">
        <f>'ISIRF RAW'!D11</f>
        <v>4.7814934999999998</v>
      </c>
      <c r="I22" s="471">
        <f>'ISIRF RAW'!E11</f>
        <v>78788104</v>
      </c>
      <c r="J22" s="456">
        <f>'ISIRF RAW'!J11</f>
        <v>2.8119315699</v>
      </c>
      <c r="K22" s="456">
        <f>'ISIRF RAW'!L11</f>
        <v>4.6070926796919132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45748.614374999997</v>
      </c>
      <c r="B23" s="492" t="str">
        <f>'ISIRF RAW'!T36</f>
        <v>IC15N-241218-10KansasRoarCarbon-1-Run2_31.raw</v>
      </c>
      <c r="C23" s="493"/>
      <c r="D23" s="449" t="str">
        <f>'ISIRF RAW'!A36</f>
        <v>NBS 1572 Citrus Leaf</v>
      </c>
      <c r="E23" s="450" t="s">
        <v>165</v>
      </c>
      <c r="F23" s="449">
        <f>'ISIRF RAW'!B36</f>
        <v>32</v>
      </c>
      <c r="G23" s="450">
        <f>'ISIRF RAW'!C36</f>
        <v>1.9079999999999999</v>
      </c>
      <c r="H23" s="450">
        <f>'ISIRF RAW'!D36</f>
        <v>4.5485439999999997</v>
      </c>
      <c r="I23" s="469">
        <f>'ISIRF RAW'!E36</f>
        <v>72922992</v>
      </c>
      <c r="J23" s="450">
        <f>'ISIRF RAW'!J36</f>
        <v>2.7537677870999997</v>
      </c>
      <c r="K23" s="450">
        <f>'ISIRF RAW'!L36</f>
        <v>4.4671664370794542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>
        <f>'ISIRF RAW'!S61</f>
        <v>45748.811307870368</v>
      </c>
      <c r="B24" s="498" t="str">
        <f>'ISIRF RAW'!T61</f>
        <v>IC15N-241218-10KansasRoarCarbon-1-Run2_56.raw</v>
      </c>
      <c r="C24" s="499"/>
      <c r="D24" s="452" t="str">
        <f>'ISIRF RAW'!A61</f>
        <v>NBS 1572 Citrus Leaf</v>
      </c>
      <c r="E24" s="453" t="s">
        <v>165</v>
      </c>
      <c r="F24" s="452">
        <f>'ISIRF RAW'!B61</f>
        <v>57</v>
      </c>
      <c r="G24" s="453">
        <f>'ISIRF RAW'!C61</f>
        <v>2.0579999999999998</v>
      </c>
      <c r="H24" s="453">
        <f>'ISIRF RAW'!D61</f>
        <v>4.947012</v>
      </c>
      <c r="I24" s="472">
        <f>'ISIRF RAW'!E61</f>
        <v>80278688</v>
      </c>
      <c r="J24" s="453">
        <f>'ISIRF RAW'!J61</f>
        <v>2.8234618054999996</v>
      </c>
      <c r="K24" s="453">
        <f>'ISIRF RAW'!L61</f>
        <v>4.4285638821831759</v>
      </c>
      <c r="L24" s="454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>
        <f>AVERAGE('ISIRF RAW'!L12,'ISIRF RAW'!L56)</f>
        <v>6.3937194618360653</v>
      </c>
      <c r="C28" s="226">
        <f>VAR('ISIRF RAW'!L12,'ISIRF RAW'!L56)</f>
        <v>0.21580125657168076</v>
      </c>
      <c r="D28" s="227">
        <f>STDEV('ISIRF RAW'!L12,'ISIRF RAW'!L56)</f>
        <v>0.46454413845368964</v>
      </c>
      <c r="E28" s="225">
        <f>AVERAGE('ISIRF RAW'!J12,'ISIRF RAW'!J56)</f>
        <v>0.12701933825</v>
      </c>
      <c r="F28" s="226">
        <f>VAR('ISIRF RAW'!J12,'ISIRF RAW'!J56)</f>
        <v>1.7519678368953072E-5</v>
      </c>
      <c r="G28" s="227">
        <f>(STDEV('ISIRF RAW'!J12,'ISIRF RAW'!J56))/E28</f>
        <v>3.2952868000005041E-2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>
        <f>AVERAGE('ISIRF RAW'!L26:L27)</f>
        <v>6.6710103109035934</v>
      </c>
      <c r="C29" s="226">
        <f>VAR('ISIRF RAW'!L26:L27)</f>
        <v>5.8994780789526483E-2</v>
      </c>
      <c r="D29" s="227">
        <f>STDEV('ISIRF RAW'!L26:L27)</f>
        <v>0.24288841221747587</v>
      </c>
      <c r="E29" s="229">
        <f>AVERAGE('ISIRF RAW'!J26:J27)</f>
        <v>0.15413343424999998</v>
      </c>
      <c r="F29" s="226">
        <f>VAR('ISIRF RAW'!J26:J27)</f>
        <v>8.8674585699701062E-6</v>
      </c>
      <c r="G29" s="227">
        <f>(STDEV('ISIRF RAW'!J26:J27))/E29</f>
        <v>1.9319804570278019E-2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7.5266387994783441</v>
      </c>
      <c r="C30" s="232">
        <f>VAR(K11:K15)</f>
        <v>3.2337634306909564E-2</v>
      </c>
      <c r="D30" s="233">
        <f>STDEV(K11:K15)</f>
        <v>0.17982667851825981</v>
      </c>
      <c r="E30" s="225">
        <f>AVERAGE(J11:J15)</f>
        <v>4.2098787150599994</v>
      </c>
      <c r="F30" s="232">
        <f>VAR(J11:J15)</f>
        <v>1.340405727235423E-2</v>
      </c>
      <c r="G30" s="233">
        <f>(STDEV(J11:J15))/E30</f>
        <v>2.7501004253352845E-2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-4.9647459374175327</v>
      </c>
      <c r="C31" s="238">
        <f>VAR(K16:K18)</f>
        <v>1.1590700978143737E-4</v>
      </c>
      <c r="D31" s="239">
        <f>STDEV(K16:K18)</f>
        <v>1.0766011786239014E-2</v>
      </c>
      <c r="E31" s="237">
        <f>AVERAGE(J16:J18)</f>
        <v>6.5828756191666669</v>
      </c>
      <c r="F31" s="238">
        <f>VAR(J16:J18)</f>
        <v>0.15414949768692648</v>
      </c>
      <c r="G31" s="374">
        <f>(STDEV(J16:J18))/E31</f>
        <v>5.9642440721451521E-2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2" t="str">
        <f>B6</f>
        <v>Cal-L.STD</v>
      </c>
      <c r="B32" s="533">
        <f>AVERAGE(K19:K21)</f>
        <v>1.9786606100956903</v>
      </c>
      <c r="C32" s="534">
        <f>VAR(K19:K21)</f>
        <v>1.5884738747552144E-2</v>
      </c>
      <c r="D32" s="535">
        <f>STDEV(K19:K21)</f>
        <v>0.12603467279900457</v>
      </c>
      <c r="E32" s="533">
        <f>AVERAGE(J19:J21)</f>
        <v>3.0698709890666667</v>
      </c>
      <c r="F32" s="534">
        <f>VAR(J19:J21)</f>
        <v>2.3544198411888997E-2</v>
      </c>
      <c r="G32" s="536">
        <f>(STDEV(J19:J21))/E32</f>
        <v>4.9982943686847345E-2</v>
      </c>
      <c r="H32" s="525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6" t="str">
        <f>B7</f>
        <v>Check QC</v>
      </c>
      <c r="B33" s="527">
        <f>AVERAGE(K22:K24)</f>
        <v>4.5009409996515144</v>
      </c>
      <c r="C33" s="528">
        <f>VAR(K22:K24)</f>
        <v>8.8236736926794387E-3</v>
      </c>
      <c r="D33" s="529">
        <f>STDEV(K22:K24)</f>
        <v>9.3934411653448055E-2</v>
      </c>
      <c r="E33" s="527">
        <f>AVERAGE(J22:J24)</f>
        <v>2.7963870541666664</v>
      </c>
      <c r="F33" s="528">
        <f>VAR(J22:J24)</f>
        <v>1.3955380272227726E-3</v>
      </c>
      <c r="G33" s="530">
        <f>(STDEV(J22:J24))/E33</f>
        <v>1.3358987844109473E-2</v>
      </c>
      <c r="H33" s="531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D33" sqref="D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IC13C-241218-10KansasROARCarbon-1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214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45748.394074074073</v>
      </c>
      <c r="B11" s="516" t="str">
        <f>'ISIRF RAW'!T8</f>
        <v>IC15N-241218-10KansasRoarCarbon-1-Run2_3.raw</v>
      </c>
      <c r="C11" s="517"/>
      <c r="D11" s="446" t="str">
        <f>'ISIRF RAW'!A8</f>
        <v>ISIRF Ulva</v>
      </c>
      <c r="E11" s="205" t="s">
        <v>137</v>
      </c>
      <c r="F11" s="205">
        <f>'ISIRF RAW'!B8</f>
        <v>4</v>
      </c>
      <c r="G11" s="206">
        <f>'ISIRF RAW'!C8</f>
        <v>1.1910000000000001</v>
      </c>
      <c r="H11" s="206">
        <f>'ISIRF RAW'!F8</f>
        <v>5.5368329999999997</v>
      </c>
      <c r="I11" s="511">
        <f>'ISIRF RAW'!G8</f>
        <v>57032676</v>
      </c>
      <c r="J11" s="206">
        <f>'ISIRF RAW'!M8</f>
        <v>31.873238809499998</v>
      </c>
      <c r="K11" s="206">
        <f>'ISIRF RAW'!O8</f>
        <v>-12.533004305408937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45748.49628472222</v>
      </c>
      <c r="B12" s="492" t="str">
        <f>'ISIRF RAW'!T21</f>
        <v>IC15N-241218-10KansasRoarCarbon-1-Run2_16.raw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17</v>
      </c>
      <c r="G12" s="206">
        <f>'ISIRF RAW'!C21</f>
        <v>1.1519999999999999</v>
      </c>
      <c r="H12" s="206">
        <f>'ISIRF RAW'!F21</f>
        <v>7.3085649999999998</v>
      </c>
      <c r="I12" s="511">
        <f>'ISIRF RAW'!G21</f>
        <v>76534264</v>
      </c>
      <c r="J12" s="206">
        <f>'ISIRF RAW'!M21</f>
        <v>33.789987784499999</v>
      </c>
      <c r="K12" s="206">
        <f>'ISIRF RAW'!O21</f>
        <v>-12.860810092310219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45748.590775462966</v>
      </c>
      <c r="B13" s="492" t="str">
        <f>'ISIRF RAW'!T33</f>
        <v>IC15N-241218-10KansasRoarCarbon-1-Run2_28.raw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29</v>
      </c>
      <c r="G13" s="206">
        <f>'ISIRF RAW'!C33</f>
        <v>1.0880000000000001</v>
      </c>
      <c r="H13" s="206">
        <f>'ISIRF RAW'!F33</f>
        <v>6.8816465000000004</v>
      </c>
      <c r="I13" s="511">
        <f>'ISIRF RAW'!G33</f>
        <v>70630800</v>
      </c>
      <c r="J13" s="206">
        <f>'ISIRF RAW'!M33</f>
        <v>33.016979965499999</v>
      </c>
      <c r="K13" s="206">
        <f>'ISIRF RAW'!O33</f>
        <v>-12.847749717400037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45748.693067129629</v>
      </c>
      <c r="B14" s="492" t="str">
        <f>'ISIRF RAW'!T46</f>
        <v>IC15N-241218-10KansasRoarCarbon-1-Run2_41.raw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42</v>
      </c>
      <c r="G14" s="206">
        <f>'ISIRF RAW'!C46</f>
        <v>1.155</v>
      </c>
      <c r="H14" s="206">
        <f>'ISIRF RAW'!F46</f>
        <v>7.3628210000000003</v>
      </c>
      <c r="I14" s="511">
        <f>'ISIRF RAW'!G46</f>
        <v>74959776</v>
      </c>
      <c r="J14" s="206">
        <f>'ISIRF RAW'!M46</f>
        <v>33.029542570500006</v>
      </c>
      <c r="K14" s="206">
        <f>'ISIRF RAW'!O46</f>
        <v>-13.124319338691274</v>
      </c>
      <c r="L14" s="253"/>
      <c r="M14" s="194"/>
      <c r="N14" s="240"/>
      <c r="O14" s="334"/>
      <c r="P14" s="334"/>
      <c r="Q14" s="242"/>
      <c r="R14" s="242"/>
    </row>
    <row r="15" spans="1:18">
      <c r="A15" s="502">
        <f>'ISIRF RAW'!S58</f>
        <v>45748.787638888891</v>
      </c>
      <c r="B15" s="494" t="str">
        <f>'ISIRF RAW'!T58</f>
        <v>IC15N-241218-10KansasRoarCarbon-1-Run2_53.raw</v>
      </c>
      <c r="C15" s="495"/>
      <c r="D15" s="512" t="str">
        <f>'ISIRF RAW'!A58</f>
        <v>ISIRF Ulva</v>
      </c>
      <c r="E15" s="512" t="s">
        <v>137</v>
      </c>
      <c r="F15" s="512">
        <f>'ISIRF RAW'!B58</f>
        <v>54</v>
      </c>
      <c r="G15" s="513">
        <f>'ISIRF RAW'!C58</f>
        <v>1.131</v>
      </c>
      <c r="H15" s="513">
        <f>'ISIRF RAW'!F58</f>
        <v>7.1213854999999997</v>
      </c>
      <c r="I15" s="514">
        <f>'ISIRF RAW'!G58</f>
        <v>72463536</v>
      </c>
      <c r="J15" s="513">
        <f>'ISIRF RAW'!M58</f>
        <v>32.8897884645</v>
      </c>
      <c r="K15" s="513">
        <f>'ISIRF RAW'!O58</f>
        <v>-13.057677665912767</v>
      </c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45748.401944444442</v>
      </c>
      <c r="B16" s="496" t="str">
        <f>'ISIRF RAW'!T9</f>
        <v>IC15N-241218-10KansasRoarCarbon-1-Run2_4.raw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5</v>
      </c>
      <c r="G16" s="206">
        <f>'ISIRF RAW'!C9</f>
        <v>1.0609999999999999</v>
      </c>
      <c r="H16" s="206">
        <f>'ISIRF RAW'!F9</f>
        <v>6.9315565000000001</v>
      </c>
      <c r="I16" s="511">
        <f>'ISIRF RAW'!G9</f>
        <v>71421280</v>
      </c>
      <c r="J16" s="206">
        <f>'ISIRF RAW'!M9</f>
        <v>44.689375376999998</v>
      </c>
      <c r="K16" s="206">
        <f>'ISIRF RAW'!O9</f>
        <v>-21.364209264681151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45748.598634259259</v>
      </c>
      <c r="B17" s="492" t="str">
        <f>'ISIRF RAW'!T34</f>
        <v>IC15N-241218-10KansasRoarCarbon-1-Run2_29.raw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30</v>
      </c>
      <c r="G17" s="206">
        <f>'ISIRF RAW'!C34</f>
        <v>1.075</v>
      </c>
      <c r="H17" s="206">
        <f>'ISIRF RAW'!F34</f>
        <v>9.3226519999999997</v>
      </c>
      <c r="I17" s="511">
        <f>'ISIRF RAW'!G34</f>
        <v>97030904</v>
      </c>
      <c r="J17" s="206">
        <f>'ISIRF RAW'!M34</f>
        <v>45.826828730999999</v>
      </c>
      <c r="K17" s="206">
        <f>'ISIRF RAW'!O34</f>
        <v>-21.139944469648654</v>
      </c>
      <c r="L17" s="253"/>
      <c r="M17" s="194"/>
      <c r="N17" s="335"/>
      <c r="O17" s="335"/>
      <c r="P17" s="335"/>
      <c r="Q17" s="242"/>
      <c r="R17" s="242"/>
    </row>
    <row r="18" spans="1:18">
      <c r="A18" s="502">
        <f>'ISIRF RAW'!S59</f>
        <v>45748.79550925926</v>
      </c>
      <c r="B18" s="494" t="str">
        <f>'ISIRF RAW'!T59</f>
        <v>IC15N-241218-10KansasRoarCarbon-1-Run2_54.raw</v>
      </c>
      <c r="C18" s="495"/>
      <c r="D18" s="512" t="str">
        <f>'ISIRF RAW'!A59</f>
        <v>ISIRF Chitin</v>
      </c>
      <c r="E18" s="512" t="s">
        <v>129</v>
      </c>
      <c r="F18" s="518">
        <f>'ISIRF RAW'!B59</f>
        <v>55</v>
      </c>
      <c r="G18" s="519">
        <f>'ISIRF RAW'!C59</f>
        <v>1.0429999999999999</v>
      </c>
      <c r="H18" s="519">
        <f>'ISIRF RAW'!F59</f>
        <v>9.7675400000000003</v>
      </c>
      <c r="I18" s="520">
        <f>'ISIRF RAW'!G59</f>
        <v>100063440</v>
      </c>
      <c r="J18" s="519">
        <f>'ISIRF RAW'!M59</f>
        <v>48.990208732500001</v>
      </c>
      <c r="K18" s="519">
        <f>'ISIRF RAW'!O59</f>
        <v>-21.185035260063835</v>
      </c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45748.409803240742</v>
      </c>
      <c r="B19" s="496" t="str">
        <f>'ISIRF RAW'!T10</f>
        <v>IC15N-241218-10KansasRoarCarbon-1-Run2_5.raw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6</v>
      </c>
      <c r="G19" s="206">
        <f>'ISIRF RAW'!C10</f>
        <v>1.6339999999999999</v>
      </c>
      <c r="H19" s="206">
        <f>'ISIRF RAW'!F10</f>
        <v>13.666073000000001</v>
      </c>
      <c r="I19" s="511">
        <f>'ISIRF RAW'!G10</f>
        <v>145167424</v>
      </c>
      <c r="J19" s="206">
        <f>'ISIRF RAW'!M10</f>
        <v>44.034437475000004</v>
      </c>
      <c r="K19" s="206">
        <f>'ISIRF RAW'!O10</f>
        <v>-30.415894985864924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45748.606493055559</v>
      </c>
      <c r="B20" s="492" t="str">
        <f>'ISIRF RAW'!T35</f>
        <v>IC15N-241218-10KansasRoarCarbon-1-Run2_30.raw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31</v>
      </c>
      <c r="G20" s="206">
        <f>'ISIRF RAW'!C35</f>
        <v>1.607</v>
      </c>
      <c r="H20" s="206">
        <f>'ISIRF RAW'!F35</f>
        <v>13.377656999999999</v>
      </c>
      <c r="I20" s="511">
        <f>'ISIRF RAW'!G35</f>
        <v>142385920</v>
      </c>
      <c r="J20" s="206">
        <f>'ISIRF RAW'!M35</f>
        <v>44.864358630000005</v>
      </c>
      <c r="K20" s="206">
        <f>'ISIRF RAW'!O35</f>
        <v>-30.234694240668308</v>
      </c>
      <c r="L20" s="253"/>
      <c r="M20" s="194"/>
      <c r="N20" s="242"/>
      <c r="O20" s="242"/>
      <c r="P20" s="242"/>
      <c r="Q20" s="242"/>
      <c r="R20" s="242"/>
    </row>
    <row r="21" spans="1:18">
      <c r="A21" s="502">
        <f>'ISIRF RAW'!S60</f>
        <v>45748.803402777776</v>
      </c>
      <c r="B21" s="494" t="str">
        <f>'ISIRF RAW'!T60</f>
        <v>IC15N-241218-10KansasRoarCarbon-1-Run2_55.raw</v>
      </c>
      <c r="C21" s="495"/>
      <c r="D21" s="512" t="str">
        <f>'ISIRF RAW'!A60</f>
        <v>ISIRF Bamboo</v>
      </c>
      <c r="E21" s="512" t="s">
        <v>130</v>
      </c>
      <c r="F21" s="518">
        <f>'ISIRF RAW'!B60</f>
        <v>56</v>
      </c>
      <c r="G21" s="519">
        <f>'ISIRF RAW'!C60</f>
        <v>1.375</v>
      </c>
      <c r="H21" s="519">
        <f>'ISIRF RAW'!F60</f>
        <v>11.614521</v>
      </c>
      <c r="I21" s="520">
        <f>'ISIRF RAW'!G60</f>
        <v>121068512</v>
      </c>
      <c r="J21" s="519">
        <f>'ISIRF RAW'!M60</f>
        <v>44.845564861499994</v>
      </c>
      <c r="K21" s="519">
        <f>'ISIRF RAW'!O60</f>
        <v>-30.167326438242679</v>
      </c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45748.417662037034</v>
      </c>
      <c r="B22" s="496" t="str">
        <f>'ISIRF RAW'!T11</f>
        <v>IC15N-241218-10KansasRoarCarbon-1-Run2_6.raw</v>
      </c>
      <c r="C22" s="497"/>
      <c r="D22" s="205" t="str">
        <f>'ISIRF RAW'!A11</f>
        <v>NBS 1572 Citrus Leaf</v>
      </c>
      <c r="E22" s="205" t="s">
        <v>130</v>
      </c>
      <c r="F22" s="205">
        <f>'ISIRF RAW'!B11</f>
        <v>7</v>
      </c>
      <c r="G22" s="206">
        <f>'ISIRF RAW'!C11</f>
        <v>1.97</v>
      </c>
      <c r="H22" s="206">
        <f>'ISIRF RAW'!F11</f>
        <v>15.667756000000001</v>
      </c>
      <c r="I22" s="511">
        <f>'ISIRF RAW'!G11</f>
        <v>169794016</v>
      </c>
      <c r="J22" s="206">
        <f>'ISIRF RAW'!M11</f>
        <v>43.614657053999998</v>
      </c>
      <c r="K22" s="206">
        <f>'ISIRF RAW'!O11</f>
        <v>-27.193027090239735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45748.614374999997</v>
      </c>
      <c r="B23" s="492" t="str">
        <f>'ISIRF RAW'!T36</f>
        <v>IC15N-241218-10KansasRoarCarbon-1-Run2_31.raw</v>
      </c>
      <c r="C23" s="493"/>
      <c r="D23" s="207" t="str">
        <f>'ISIRF RAW'!A36</f>
        <v>NBS 1572 Citrus Leaf</v>
      </c>
      <c r="E23" s="207" t="s">
        <v>130</v>
      </c>
      <c r="F23" s="205">
        <f>'ISIRF RAW'!B36</f>
        <v>32</v>
      </c>
      <c r="G23" s="206">
        <f>'ISIRF RAW'!C36</f>
        <v>1.9079999999999999</v>
      </c>
      <c r="H23" s="206">
        <f>'ISIRF RAW'!F36</f>
        <v>15.108513</v>
      </c>
      <c r="I23" s="511">
        <f>'ISIRF RAW'!G36</f>
        <v>161712288</v>
      </c>
      <c r="J23" s="206">
        <f>'ISIRF RAW'!M36</f>
        <v>42.877262780999999</v>
      </c>
      <c r="K23" s="206">
        <f>'ISIRF RAW'!O36</f>
        <v>-27.139535531614968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4">
        <f>'ISIRF RAW'!S61</f>
        <v>45748.811307870368</v>
      </c>
      <c r="B24" s="498" t="str">
        <f>'ISIRF RAW'!T61</f>
        <v>IC15N-241218-10KansasRoarCarbon-1-Run2_56.raw</v>
      </c>
      <c r="C24" s="499"/>
      <c r="D24" s="537" t="str">
        <f>'ISIRF RAW'!A61</f>
        <v>NBS 1572 Citrus Leaf</v>
      </c>
      <c r="E24" s="537" t="s">
        <v>130</v>
      </c>
      <c r="F24" s="538">
        <f>'ISIRF RAW'!B61</f>
        <v>57</v>
      </c>
      <c r="G24" s="539">
        <f>'ISIRF RAW'!C61</f>
        <v>2.0579999999999998</v>
      </c>
      <c r="H24" s="539">
        <f>'ISIRF RAW'!F61</f>
        <v>16.349</v>
      </c>
      <c r="I24" s="540">
        <f>'ISIRF RAW'!G61</f>
        <v>175041136</v>
      </c>
      <c r="J24" s="539">
        <f>'ISIRF RAW'!M61</f>
        <v>43.191549817500004</v>
      </c>
      <c r="K24" s="539">
        <f>'ISIRF RAW'!O61</f>
        <v>-27.228372728313083</v>
      </c>
      <c r="L24" s="541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>
        <f>AVERAGE('ISIRF RAW'!O12,'ISIRF RAW'!O56)</f>
        <v>-15.719503251440198</v>
      </c>
      <c r="C28" s="264">
        <f>VAR('ISIRF RAW'!O12,'ISIRF RAW'!O56)</f>
        <v>4.8451031881041315E-2</v>
      </c>
      <c r="D28" s="424">
        <f>STDEV('ISIRF RAW'!O12,'ISIRF RAW'!O56)</f>
        <v>0.2201159509918382</v>
      </c>
      <c r="E28" s="265">
        <f>AVERAGE('ISIRF RAW'!M12,'ISIRF RAW'!M56)</f>
        <v>1.1411966017499999</v>
      </c>
      <c r="F28" s="265">
        <f>VAR('ISIRF RAW'!M12,'ISIRF RAW'!M56)</f>
        <v>2.2497039213591153E-3</v>
      </c>
      <c r="G28" s="424">
        <f>(STDEV('ISIRF RAW'!M12,'ISIRF RAW'!M56))/E28</f>
        <v>4.1562552661134039E-2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>
        <f>AVERAGE('ISIRF RAW'!O26:O27)</f>
        <v>-16.264211371663301</v>
      </c>
      <c r="C29" s="264">
        <f>VAR('ISIRF RAW'!O26:O27)</f>
        <v>4.4351137661390705E-2</v>
      </c>
      <c r="D29" s="424">
        <f>STDEV('ISIRF RAW'!O26:O27)</f>
        <v>0.21059709794152129</v>
      </c>
      <c r="E29" s="265">
        <f>AVERAGE('ISIRF RAW'!M26:M27)</f>
        <v>1.60572236625</v>
      </c>
      <c r="F29" s="265">
        <f>VAR('ISIRF RAW'!M26:M27)</f>
        <v>2.654245719883016E-5</v>
      </c>
      <c r="G29" s="424">
        <f>(STDEV('ISIRF RAW'!M26:M27))/E29</f>
        <v>3.2084856859761809E-3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-12.884712223944646</v>
      </c>
      <c r="C30" s="425">
        <f>VAR(K11:K15)</f>
        <v>5.3241153074970397E-2</v>
      </c>
      <c r="D30" s="268">
        <f>STDEV(K11:K15)</f>
        <v>0.2307404452517382</v>
      </c>
      <c r="E30" s="267">
        <f>AVERAGE(J11:J15)</f>
        <v>32.919907518900004</v>
      </c>
      <c r="F30" s="263">
        <f>VAR(J11:J15)</f>
        <v>0.46872627942245648</v>
      </c>
      <c r="G30" s="268">
        <f>(STDEV(J11:J15))/E30</f>
        <v>2.0797016917763353E-2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-21.22972966479788</v>
      </c>
      <c r="C31" s="426">
        <f>VAR(K16:K18)</f>
        <v>1.40718669336399E-2</v>
      </c>
      <c r="D31" s="271">
        <f>STDEV(K16:K18)</f>
        <v>0.11862490014174891</v>
      </c>
      <c r="E31" s="270">
        <f>AVERAGE(J16:J18)</f>
        <v>46.502137613499997</v>
      </c>
      <c r="F31" s="266">
        <f>VAR(J16:J18)</f>
        <v>4.9663234530329046</v>
      </c>
      <c r="G31" s="271">
        <f>(STDEV(J16:J18))/E31</f>
        <v>4.7923064711147025E-2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1" t="str">
        <f t="shared" si="0"/>
        <v>Cal-L.STD</v>
      </c>
      <c r="B32" s="522">
        <f>AVERAGE(K19:K21)</f>
        <v>-30.272638554925305</v>
      </c>
      <c r="C32" s="523">
        <f>VAR(K19:K21)</f>
        <v>1.6526408955083303E-2</v>
      </c>
      <c r="D32" s="524">
        <f>STDEV(K19:K21)</f>
        <v>0.12855508140514441</v>
      </c>
      <c r="E32" s="522">
        <f>AVERAGE(J19:J21)</f>
        <v>44.581453655499992</v>
      </c>
      <c r="F32" s="522">
        <f>VAR(J19:J21)</f>
        <v>0.22450832773021204</v>
      </c>
      <c r="G32" s="524">
        <f>(STDEV(J19:J21))/E32</f>
        <v>1.0628255892404667E-2</v>
      </c>
      <c r="H32" s="525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6" t="str">
        <f t="shared" si="0"/>
        <v>Check QC</v>
      </c>
      <c r="B33" s="527">
        <f>AVERAGE(K22:K24)</f>
        <v>-27.186978450055932</v>
      </c>
      <c r="C33" s="528">
        <f>VAR(K22:K24)</f>
        <v>2.0004514153497783E-3</v>
      </c>
      <c r="D33" s="529">
        <f>STDEV(K22:K24)</f>
        <v>4.4726406242283523E-2</v>
      </c>
      <c r="E33" s="527">
        <f>AVERAGE(J22:J24)</f>
        <v>43.227823217500003</v>
      </c>
      <c r="F33" s="528">
        <f>VAR(J22:J24)</f>
        <v>0.13692439812396928</v>
      </c>
      <c r="G33" s="530">
        <f>(STDEV(J22:J24))/E33</f>
        <v>8.5600648246183242E-3</v>
      </c>
      <c r="H33" s="531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4" t="s">
        <v>236</v>
      </c>
      <c r="B1" s="585" t="s">
        <v>0</v>
      </c>
      <c r="C1" s="639" t="s">
        <v>335</v>
      </c>
      <c r="E1" s="595" t="s">
        <v>257</v>
      </c>
      <c r="F1" s="596" t="s">
        <v>258</v>
      </c>
      <c r="G1" s="596" t="s">
        <v>259</v>
      </c>
      <c r="H1" s="596" t="s">
        <v>260</v>
      </c>
      <c r="I1" s="597" t="s">
        <v>261</v>
      </c>
      <c r="J1" s="597" t="s">
        <v>262</v>
      </c>
      <c r="K1" s="598" t="s">
        <v>263</v>
      </c>
    </row>
    <row r="2" spans="1:11" ht="13">
      <c r="A2" s="590" t="s">
        <v>352</v>
      </c>
      <c r="B2" s="591" t="s">
        <v>251</v>
      </c>
      <c r="C2" s="636">
        <v>3</v>
      </c>
      <c r="E2" s="599" t="s">
        <v>264</v>
      </c>
      <c r="F2" s="600" t="s">
        <v>265</v>
      </c>
      <c r="G2" s="600" t="s">
        <v>266</v>
      </c>
      <c r="H2" s="601">
        <v>11</v>
      </c>
      <c r="I2" s="602" t="s">
        <v>267</v>
      </c>
      <c r="J2" s="603" t="s">
        <v>268</v>
      </c>
      <c r="K2" s="604">
        <v>4791</v>
      </c>
    </row>
    <row r="3" spans="1:11" ht="14.5">
      <c r="A3" s="588" t="s">
        <v>353</v>
      </c>
      <c r="B3" s="589" t="s">
        <v>246</v>
      </c>
      <c r="C3" s="637">
        <v>3</v>
      </c>
      <c r="E3" s="599" t="s">
        <v>269</v>
      </c>
      <c r="F3" s="600" t="s">
        <v>270</v>
      </c>
      <c r="G3" s="600" t="s">
        <v>266</v>
      </c>
      <c r="H3" s="600">
        <v>8</v>
      </c>
      <c r="I3" s="605" t="s">
        <v>271</v>
      </c>
      <c r="J3" s="603" t="s">
        <v>272</v>
      </c>
      <c r="K3" s="604">
        <v>4684</v>
      </c>
    </row>
    <row r="4" spans="1:11" ht="13">
      <c r="A4" s="586" t="s">
        <v>254</v>
      </c>
      <c r="B4" s="587" t="s">
        <v>238</v>
      </c>
      <c r="C4" s="638">
        <v>1.5</v>
      </c>
      <c r="E4" s="599" t="s">
        <v>273</v>
      </c>
      <c r="F4" s="600" t="s">
        <v>274</v>
      </c>
      <c r="G4" s="600" t="s">
        <v>275</v>
      </c>
      <c r="H4" s="600">
        <v>10</v>
      </c>
      <c r="I4" s="605" t="s">
        <v>276</v>
      </c>
      <c r="J4" s="603" t="s">
        <v>277</v>
      </c>
      <c r="K4" s="604">
        <v>4620</v>
      </c>
    </row>
    <row r="5" spans="1:11" ht="13">
      <c r="A5" s="586" t="s">
        <v>354</v>
      </c>
      <c r="B5" s="587" t="s">
        <v>239</v>
      </c>
      <c r="C5" s="638">
        <v>1</v>
      </c>
      <c r="E5" s="599" t="s">
        <v>278</v>
      </c>
      <c r="F5" s="600" t="s">
        <v>279</v>
      </c>
      <c r="G5" s="600" t="s">
        <v>280</v>
      </c>
      <c r="H5" s="600">
        <v>19</v>
      </c>
      <c r="I5" s="605" t="s">
        <v>281</v>
      </c>
      <c r="J5" s="603" t="s">
        <v>282</v>
      </c>
      <c r="K5" s="604">
        <v>4029</v>
      </c>
    </row>
    <row r="6" spans="1:11" ht="13">
      <c r="A6" s="586" t="s">
        <v>255</v>
      </c>
      <c r="B6" s="587" t="s">
        <v>240</v>
      </c>
      <c r="C6" s="638">
        <v>1</v>
      </c>
      <c r="E6" s="599" t="s">
        <v>283</v>
      </c>
      <c r="F6" s="600" t="s">
        <v>284</v>
      </c>
      <c r="G6" s="600" t="s">
        <v>285</v>
      </c>
      <c r="H6" s="600">
        <v>23</v>
      </c>
      <c r="I6" s="605"/>
      <c r="J6" s="603"/>
      <c r="K6" s="604"/>
    </row>
    <row r="7" spans="1:11" ht="13">
      <c r="A7" s="586" t="s">
        <v>355</v>
      </c>
      <c r="B7" s="587" t="s">
        <v>241</v>
      </c>
      <c r="C7" s="638">
        <v>2</v>
      </c>
      <c r="E7" s="599" t="s">
        <v>286</v>
      </c>
      <c r="F7" s="600" t="s">
        <v>287</v>
      </c>
      <c r="G7" s="600" t="s">
        <v>285</v>
      </c>
      <c r="H7" s="600">
        <v>22</v>
      </c>
      <c r="I7" s="605"/>
      <c r="J7" s="603"/>
      <c r="K7" s="604"/>
    </row>
    <row r="8" spans="1:11" ht="13">
      <c r="A8" s="586" t="s">
        <v>356</v>
      </c>
      <c r="B8" s="587" t="s">
        <v>242</v>
      </c>
      <c r="C8" s="638">
        <v>6.5</v>
      </c>
      <c r="E8" s="599" t="s">
        <v>288</v>
      </c>
      <c r="F8" s="600" t="s">
        <v>289</v>
      </c>
      <c r="G8" s="600" t="s">
        <v>266</v>
      </c>
      <c r="H8" s="600">
        <v>2</v>
      </c>
      <c r="I8" s="605" t="s">
        <v>290</v>
      </c>
      <c r="J8" s="603" t="s">
        <v>291</v>
      </c>
      <c r="K8" s="604">
        <v>4696</v>
      </c>
    </row>
    <row r="9" spans="1:11" ht="13">
      <c r="A9" s="586" t="s">
        <v>357</v>
      </c>
      <c r="B9" s="587" t="s">
        <v>245</v>
      </c>
      <c r="C9" s="638">
        <v>6.5</v>
      </c>
      <c r="E9" s="599" t="s">
        <v>292</v>
      </c>
      <c r="F9" s="600" t="s">
        <v>293</v>
      </c>
      <c r="G9" s="600" t="s">
        <v>294</v>
      </c>
      <c r="H9" s="600">
        <v>16</v>
      </c>
      <c r="I9" s="605" t="s">
        <v>295</v>
      </c>
      <c r="J9" s="603" t="s">
        <v>296</v>
      </c>
      <c r="K9" s="604">
        <v>4026</v>
      </c>
    </row>
    <row r="10" spans="1:11" ht="13">
      <c r="A10" s="588" t="s">
        <v>350</v>
      </c>
      <c r="B10" s="589" t="s">
        <v>243</v>
      </c>
      <c r="C10" s="637">
        <v>0.5</v>
      </c>
      <c r="E10" s="599" t="s">
        <v>297</v>
      </c>
      <c r="F10" s="600" t="s">
        <v>298</v>
      </c>
      <c r="G10" s="600" t="s">
        <v>266</v>
      </c>
      <c r="H10" s="600">
        <v>17</v>
      </c>
      <c r="I10" s="605" t="s">
        <v>299</v>
      </c>
      <c r="J10" s="603"/>
      <c r="K10" s="604">
        <v>4832</v>
      </c>
    </row>
    <row r="11" spans="1:11" ht="13">
      <c r="A11" s="588" t="s">
        <v>351</v>
      </c>
      <c r="B11" s="589" t="s">
        <v>247</v>
      </c>
      <c r="C11" s="637">
        <v>1</v>
      </c>
      <c r="E11" s="599" t="s">
        <v>300</v>
      </c>
      <c r="F11" s="600" t="s">
        <v>301</v>
      </c>
      <c r="G11" s="600" t="s">
        <v>266</v>
      </c>
      <c r="H11" s="600">
        <v>14</v>
      </c>
      <c r="I11" s="605" t="s">
        <v>302</v>
      </c>
      <c r="J11" s="603"/>
      <c r="K11" s="604">
        <v>4631</v>
      </c>
    </row>
    <row r="12" spans="1:11" ht="13">
      <c r="A12" s="588" t="s">
        <v>348</v>
      </c>
      <c r="B12" s="589" t="s">
        <v>237</v>
      </c>
      <c r="C12" s="637">
        <v>0.5</v>
      </c>
      <c r="E12" s="599" t="s">
        <v>303</v>
      </c>
      <c r="F12" s="600" t="s">
        <v>304</v>
      </c>
      <c r="G12" s="600" t="s">
        <v>275</v>
      </c>
      <c r="H12" s="600">
        <v>24</v>
      </c>
      <c r="I12" s="605" t="s">
        <v>347</v>
      </c>
      <c r="J12" s="603" t="s">
        <v>256</v>
      </c>
      <c r="K12" s="604">
        <v>4581</v>
      </c>
    </row>
    <row r="13" spans="1:11" ht="13">
      <c r="A13" s="588" t="s">
        <v>349</v>
      </c>
      <c r="B13" s="589" t="s">
        <v>237</v>
      </c>
      <c r="C13" s="637">
        <v>0.5</v>
      </c>
      <c r="E13" s="599" t="s">
        <v>305</v>
      </c>
      <c r="F13" s="600" t="s">
        <v>306</v>
      </c>
      <c r="G13" s="600" t="s">
        <v>266</v>
      </c>
      <c r="H13" s="600">
        <v>13</v>
      </c>
      <c r="I13" s="605" t="s">
        <v>307</v>
      </c>
      <c r="J13" s="603"/>
      <c r="K13" s="604">
        <v>4397</v>
      </c>
    </row>
    <row r="14" spans="1:11" ht="13">
      <c r="A14" s="588" t="s">
        <v>358</v>
      </c>
      <c r="B14" s="589" t="s">
        <v>244</v>
      </c>
      <c r="C14" s="637">
        <v>0.5</v>
      </c>
      <c r="E14" s="606" t="s">
        <v>308</v>
      </c>
      <c r="F14" s="607" t="s">
        <v>309</v>
      </c>
      <c r="G14" s="607" t="s">
        <v>310</v>
      </c>
      <c r="H14" s="607">
        <v>0</v>
      </c>
      <c r="I14" s="608" t="s">
        <v>345</v>
      </c>
      <c r="J14" s="609" t="s">
        <v>311</v>
      </c>
      <c r="K14" s="610">
        <v>4604</v>
      </c>
    </row>
    <row r="15" spans="1:11" ht="13">
      <c r="A15" s="588" t="s">
        <v>359</v>
      </c>
      <c r="B15" s="589" t="s">
        <v>244</v>
      </c>
      <c r="C15" s="637">
        <v>0.5</v>
      </c>
      <c r="E15" s="606" t="s">
        <v>344</v>
      </c>
      <c r="F15" s="607" t="s">
        <v>309</v>
      </c>
      <c r="G15" s="607" t="s">
        <v>310</v>
      </c>
      <c r="H15" s="607">
        <v>0</v>
      </c>
      <c r="I15" s="608" t="s">
        <v>345</v>
      </c>
      <c r="J15" s="603" t="s">
        <v>346</v>
      </c>
      <c r="K15" s="610"/>
    </row>
    <row r="16" spans="1:11" ht="13">
      <c r="A16" s="586" t="s">
        <v>249</v>
      </c>
      <c r="B16" s="587" t="s">
        <v>250</v>
      </c>
      <c r="C16" s="638">
        <v>1.2</v>
      </c>
      <c r="E16" s="606" t="s">
        <v>312</v>
      </c>
      <c r="F16" s="607" t="s">
        <v>313</v>
      </c>
      <c r="G16" s="607" t="s">
        <v>314</v>
      </c>
      <c r="H16" s="607">
        <v>25</v>
      </c>
      <c r="I16" s="611" t="s">
        <v>315</v>
      </c>
      <c r="J16" s="609" t="s">
        <v>316</v>
      </c>
      <c r="K16" s="612"/>
    </row>
    <row r="17" spans="1:8" ht="13.5" thickBot="1">
      <c r="A17" s="646" t="s">
        <v>360</v>
      </c>
      <c r="B17" s="647" t="s">
        <v>248</v>
      </c>
      <c r="C17" s="648">
        <v>0.6</v>
      </c>
    </row>
    <row r="18" spans="1:8" ht="15" thickTop="1">
      <c r="E18" s="613" t="s">
        <v>317</v>
      </c>
      <c r="H18" s="621" t="s">
        <v>322</v>
      </c>
    </row>
    <row r="19" spans="1:8" ht="14.5">
      <c r="E19" s="614" t="s">
        <v>318</v>
      </c>
      <c r="H19" s="622" t="s">
        <v>323</v>
      </c>
    </row>
    <row r="20" spans="1:8" ht="15" thickBot="1">
      <c r="E20" s="615" t="s">
        <v>319</v>
      </c>
      <c r="H20" s="622" t="s">
        <v>324</v>
      </c>
    </row>
    <row r="21" spans="1:8" ht="13" thickTop="1">
      <c r="E21" s="616"/>
      <c r="H21" s="623" t="s">
        <v>325</v>
      </c>
    </row>
    <row r="22" spans="1:8">
      <c r="E22" s="616"/>
    </row>
    <row r="23" spans="1:8">
      <c r="E23" s="616" t="s">
        <v>320</v>
      </c>
      <c r="H23" s="621" t="s">
        <v>326</v>
      </c>
    </row>
    <row r="24" spans="1:8">
      <c r="E24" s="617">
        <f ca="1">TODAY()</f>
        <v>44292</v>
      </c>
      <c r="H24" s="622" t="s">
        <v>327</v>
      </c>
    </row>
    <row r="25" spans="1:8">
      <c r="E25" s="616"/>
      <c r="H25" s="622" t="s">
        <v>328</v>
      </c>
    </row>
    <row r="26" spans="1:8">
      <c r="E26" s="616"/>
      <c r="H26" s="623" t="s">
        <v>329</v>
      </c>
    </row>
    <row r="27" spans="1:8">
      <c r="E27" s="681" t="s">
        <v>321</v>
      </c>
      <c r="F27" s="682"/>
    </row>
    <row r="28" spans="1:8">
      <c r="E28" s="618" t="str">
        <f ca="1">TEXT(E24,"yymmdd")</f>
        <v>250407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1" t="s">
        <v>9</v>
      </c>
      <c r="B1" s="641" t="s">
        <v>338</v>
      </c>
      <c r="C1" s="641" t="s">
        <v>339</v>
      </c>
    </row>
    <row r="2" spans="1:3">
      <c r="A2" s="427">
        <v>42542</v>
      </c>
      <c r="B2" t="s">
        <v>336</v>
      </c>
      <c r="C2" t="s">
        <v>337</v>
      </c>
    </row>
    <row r="3" spans="1:3">
      <c r="A3" s="427"/>
    </row>
    <row r="4" spans="1:3">
      <c r="A4" s="427"/>
    </row>
    <row r="5" spans="1:3">
      <c r="A5" s="427"/>
    </row>
    <row r="6" spans="1:3">
      <c r="A6" s="427"/>
    </row>
    <row r="7" spans="1:3">
      <c r="A7" s="427"/>
    </row>
    <row r="8" spans="1:3">
      <c r="A8" s="427"/>
    </row>
    <row r="9" spans="1:3">
      <c r="A9" s="427"/>
    </row>
    <row r="10" spans="1:3">
      <c r="A10" s="42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777AE3-FED0-4751-ACCC-DAF9D5947B68}">
  <ds:schemaRefs>
    <ds:schemaRef ds:uri="4ffa91fb-a0ff-4ac5-b2db-65c790d184a4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76c74a2d-1fa5-4d4e-9abe-6a07335fa29f"/>
    <ds:schemaRef ds:uri="http://schemas.microsoft.com/office/2006/metadata/properties"/>
    <ds:schemaRef ds:uri="http://www.w3.org/XML/1998/namespace"/>
    <ds:schemaRef ds:uri="http://purl.org/dc/terms/"/>
    <ds:schemaRef ds:uri="http://schemas.microsoft.com/sharepoint/v3"/>
    <ds:schemaRef ds:uri="f7dc0521-1f3b-405e-a9d3-ebbbf74d10ad"/>
    <ds:schemaRef ds:uri="http://schemas.microsoft.com/sharepoint/v3/fields"/>
    <ds:schemaRef ds:uri="http://schemas.microsoft.com/sharepoint.v3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</cp:lastModifiedBy>
  <cp:lastPrinted>2025-03-28T22:20:14Z</cp:lastPrinted>
  <dcterms:created xsi:type="dcterms:W3CDTF">2000-03-01T21:58:50Z</dcterms:created>
  <dcterms:modified xsi:type="dcterms:W3CDTF">2025-04-07T17:57:44Z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